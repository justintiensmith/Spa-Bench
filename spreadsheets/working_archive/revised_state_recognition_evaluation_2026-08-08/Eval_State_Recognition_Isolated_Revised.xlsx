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b8e8ce13404549" /></Relationships>
</file>

<file path=xl/workbook.xml><?xml version="1.0" encoding="utf-8"?>
<x:workbook xmlns:x="http://schemas.openxmlformats.org/spreadsheetml/2006/main">
  <x:sheets>
    <x:sheet xmlns:r="http://schemas.openxmlformats.org/officeDocument/2006/relationships" name="Evaluation Plan" sheetId="1" r:id="Rfa9f590a60ff48b7"/>
    <x:sheet xmlns:r="http://schemas.openxmlformats.org/officeDocument/2006/relationships" name="Object Inventory" sheetId="2" r:id="R2b7b207f4cc0419d"/>
    <x:sheet xmlns:r="http://schemas.openxmlformats.org/officeDocument/2006/relationships" name="Training Alignment" sheetId="3" r:id="R6f83a7e088484292"/>
    <x:sheet xmlns:r="http://schemas.openxmlformats.org/officeDocument/2006/relationships" name="Protocol" sheetId="4" r:id="R18ebc75bd095498d"/>
    <x:sheet xmlns:r="http://schemas.openxmlformats.org/officeDocument/2006/relationships" name="Design QA" sheetId="5" r:id="R3af4cc207cd34e25"/>
    <x:sheet xmlns:r="http://schemas.openxmlformats.org/officeDocument/2006/relationships" name="pi0.5 Results" sheetId="6" r:id="R8673523c8518411e"/>
    <x:sheet xmlns:r="http://schemas.openxmlformats.org/officeDocument/2006/relationships" name="VLA0 Results" sheetId="7" r:id="R1b6d58bb360443af"/>
    <x:sheet xmlns:r="http://schemas.openxmlformats.org/officeDocument/2006/relationships" name="MolmoAct2 Results" sheetId="8" r:id="Rb79b380336a2419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6"/>
      <x:color rgb="FFFFFFFF"/>
      <x:name val="Carlito"/>
    </x:font>
    <x:font>
      <x:b/>
      <x:sz val="11"/>
      <x:name val="Carlito"/>
    </x:font>
    <x:font>
      <x:sz val="10"/>
      <x:color rgb="FF1F2937"/>
      <x:name val="Carlito"/>
    </x:font>
    <x:font>
      <x:b/>
      <x:sz val="10"/>
      <x:color rgb="FFFFFFFF"/>
      <x:name val="Carlito"/>
    </x:font>
  </x:fonts>
  <x:fills count="13">
    <x:fill>
      <x:patternFill patternType="none"/>
    </x:fill>
    <x:fill>
      <x:patternFill patternType="gray125"/>
    </x:fill>
    <x:fill>
      <x:patternFill patternType="solid">
        <x:fgColor rgb="FF1F4E78"/>
      </x:patternFill>
    </x:fill>
    <x:fill>
      <x:patternFill patternType="solid">
        <x:fgColor rgb="FFFCE4D6"/>
      </x:patternFill>
    </x:fill>
    <x:fill>
      <x:patternFill patternType="solid">
        <x:fgColor rgb="FFD9EAF7"/>
      </x:patternFill>
    </x:fill>
    <x:fill>
      <x:patternFill patternType="solid">
        <x:fgColor rgb="FF1F4E78"/>
      </x:patternFill>
    </x:fill>
    <x:fill>
      <x:patternFill patternType="solid">
        <x:fgColor rgb="FFFFFFFF"/>
      </x:patternFill>
    </x:fill>
    <x:fill>
      <x:patternFill patternType="solid">
        <x:fgColor rgb="FFD9EAF7"/>
      </x:patternFill>
    </x:fill>
    <x:fill>
      <x:patternFill patternType="solid">
        <x:fgColor rgb="FFDDEBF7"/>
      </x:patternFill>
    </x:fill>
    <x:fill>
      <x:patternFill patternType="solid">
        <x:fgColor rgb="FFFFF2CC"/>
      </x:patternFill>
    </x:fill>
    <x:fill>
      <x:patternFill patternType="solid">
        <x:fgColor rgb="FFE2F0D9"/>
      </x:patternFill>
    </x:fill>
    <x:fill>
      <x:patternFill patternType="solid">
        <x:fgColor rgb="FFE4DFEC"/>
      </x:patternFill>
    </x:fill>
    <x:fill>
      <x:patternFill patternType="solid">
        <x:fgColor rgb="FFFCE4D6"/>
      </x:patternFill>
    </x:fill>
  </x:fills>
  <x:borders count="6">
    <x:border/>
    <x:border>
      <x:top style="medium">
        <x:color rgb="FF1F4E78"/>
      </x:top>
    </x:border>
    <x:border>
      <x:left style="thin">
        <x:color rgb="FFB7C9D6"/>
      </x:left>
      <x:right style="thin">
        <x:color rgb="FFB7C9D6"/>
      </x:right>
      <x:top style="thin">
        <x:color rgb="FFB7C9D6"/>
      </x:top>
      <x:bottom style="thin">
        <x:color rgb="FFB7C9D6"/>
      </x:bottom>
    </x:border>
    <x:border>
      <x:left style="thin">
        <x:color rgb="FFB4C7DC"/>
      </x:left>
      <x:right style="thin">
        <x:color rgb="FFB4C7DC"/>
      </x:right>
      <x:top style="thin">
        <x:color rgb="FFB4C7DC"/>
      </x:top>
      <x:bottom style="thin">
        <x:color rgb="FFB4C7DC"/>
      </x:bottom>
    </x:border>
    <x:border>
      <x:left style="thin">
        <x:color rgb="FF9FBAD0"/>
      </x:left>
      <x:right style="thin">
        <x:color rgb="FF9FBAD0"/>
      </x:right>
      <x:top style="thin">
        <x:color rgb="FF9FBAD0"/>
      </x:top>
      <x:bottom style="thin">
        <x:color rgb="FF9FBAD0"/>
      </x:bottom>
    </x:border>
    <x:border>
      <x:left style="thin">
        <x:color rgb="FFB4C7DC"/>
      </x:left>
      <x:right style="thin">
        <x:color rgb="FFB4C7DC"/>
      </x:right>
      <x:top style="medium">
        <x:color rgb="FF1F4E78"/>
      </x:top>
      <x:bottom style="thin">
        <x:color rgb="FFB4C7DC"/>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4"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4" fillId="0" borderId="0" xfId="0" applyNumberFormat="1" applyFont="1" applyFill="1" applyBorder="1"/>
    <x:xf numFmtId="0" fontId="4" fillId="0" borderId="3" xfId="0" applyNumberFormat="1" applyFont="1" applyFill="1" applyBorder="1"/>
    <x:xf numFmtId="0" fontId="4" fillId="0" borderId="3" xfId="0" applyNumberFormat="1" applyFont="1" applyFill="1" applyBorder="1" applyAlignment="1">
      <x:alignment wrapText="1"/>
    </x:xf>
    <x:xf numFmtId="0" fontId="4"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4" xfId="0" applyNumberFormat="1" applyFont="1" applyFill="1" applyBorder="1" applyAlignment="1">
      <x:alignment horizontal="center" vertical="top" wrapText="1"/>
    </x:xf>
    <x:xf numFmtId="0" fontId="5" fillId="5" borderId="4" xfId="0" applyNumberFormat="1" applyFont="1" applyFill="1" applyBorder="1" applyAlignment="1">
      <x:alignment horizontal="center" vertical="center" wrapText="1"/>
    </x:xf>
    <x:xf numFmtId="0" fontId="4" fillId="6" borderId="3" xfId="0" applyNumberFormat="1" applyFont="1" applyFill="1" applyBorder="1" applyAlignment="1">
      <x:alignment vertical="top" wrapText="1"/>
    </x:xf>
    <x:xf numFmtId="0" fontId="4" fillId="7" borderId="3" xfId="0" applyNumberFormat="1" applyFont="1" applyFill="1" applyBorder="1" applyAlignment="1">
      <x:alignment vertical="top" wrapText="1"/>
    </x:xf>
    <x:xf numFmtId="0" fontId="4" fillId="6" borderId="3" xfId="0" applyNumberFormat="1" applyFont="1" applyFill="1" applyBorder="1" applyAlignment="1">
      <x:alignment horizontal="center" vertical="top" wrapText="1"/>
    </x:xf>
    <x:xf numFmtId="0" fontId="4" fillId="7" borderId="3" xfId="0" applyNumberFormat="1" applyFont="1" applyFill="1" applyBorder="1" applyAlignment="1">
      <x:alignment horizontal="center" vertical="top" wrapText="1"/>
    </x:xf>
    <x:xf numFmtId="0" fontId="4" fillId="8" borderId="3"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10" borderId="3"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5" xfId="0" applyNumberFormat="1" applyFont="1" applyFill="1" applyBorder="1" applyAlignment="1">
      <x:alignment horizontal="center" vertical="top" wrapText="1"/>
    </x:xf>
    <x:xf numFmtId="0" fontId="4" fillId="8" borderId="5" xfId="0" applyNumberFormat="1" applyFont="1" applyFill="1" applyBorder="1" applyAlignment="1">
      <x:alignment vertical="top" wrapText="1"/>
    </x:xf>
    <x:xf numFmtId="0" fontId="4" fillId="7" borderId="5" xfId="0" applyNumberFormat="1" applyFont="1" applyFill="1" applyBorder="1" applyAlignment="1">
      <x:alignment vertical="top" wrapText="1"/>
    </x:xf>
    <x:xf numFmtId="0" fontId="4" fillId="7" borderId="5" xfId="0" applyNumberFormat="1" applyFont="1" applyFill="1" applyBorder="1" applyAlignment="1">
      <x:alignment horizontal="center" vertical="top" wrapText="1"/>
    </x:xf>
    <x:xf numFmtId="0" fontId="4" fillId="9" borderId="5" xfId="0" applyNumberFormat="1" applyFont="1" applyFill="1" applyBorder="1" applyAlignment="1">
      <x:alignment vertical="top" wrapText="1"/>
    </x:xf>
    <x:xf numFmtId="0" fontId="4" fillId="12" borderId="5" xfId="0" applyNumberFormat="1" applyFont="1" applyFill="1" applyBorder="1" applyAlignment="1">
      <x:alignment vertical="top" wrapText="1"/>
    </x:xf>
  </x:cellXfs>
  <x:cellStyles count="1">
    <x:cellStyle name="Normal" xfId="0"/>
  </x:cellStyles>
  <x:dxfs count="29">
    <x:dxf>
      <x:font>
        <x:color rgb="FFFFFFFF"/>
      </x:font>
      <x:fill>
        <x:patternFill>
          <x:bgColor rgb="FF374151"/>
        </x:patternFill>
      </x:fill>
    </x:dxf>
    <x:dxf>
      <x:font>
        <x:b/>
        <x:color rgb="FF7F0000"/>
      </x:font>
      <x:fill>
        <x:patternFill>
          <x:bgColor rgb="FFF4CCCC"/>
        </x:patternFill>
      </x:fill>
    </x:dxf>
    <x:dxf>
      <x:fill>
        <x:patternFill>
          <x:bgColor rgb="FFE2F0D9"/>
        </x:patternFill>
      </x:fill>
    </x:dxf>
    <x:dxf>
      <x:fill>
        <x:patternFill>
          <x:bgColor rgb="FFFCE4D6"/>
        </x:patternFill>
      </x:fill>
    </x:dxf>
    <x:dxf>
      <x:fill>
        <x:patternFill>
          <x:bgColor rgb="FFFFF2CC"/>
        </x:patternFill>
      </x:fill>
    </x:dxf>
    <x:dxf>
      <x:fill>
        <x:patternFill>
          <x:bgColor rgb="FFE4DFEC"/>
        </x:patternFill>
      </x:fill>
    </x:dxf>
    <x:dxf>
      <x:fill>
        <x:patternFill>
          <x:bgColor rgb="FFDDEBF7"/>
        </x:patternFill>
      </x:fill>
    </x:dxf>
    <x:dxf>
      <x:font>
        <x:b/>
      </x:font>
      <x:fill>
        <x:patternFill>
          <x:bgColor rgb="FFD9EAD3"/>
        </x:patternFill>
      </x:fill>
    </x:dxf>
    <x:dxf>
      <x:font>
        <x:b/>
      </x:font>
      <x:fill>
        <x:patternFill>
          <x:bgColor rgb="FFF4CCCC"/>
        </x:patternFill>
      </x:fill>
    </x:dxf>
    <x:dxf>
      <x:font>
        <x:color rgb="FFFFFFFF"/>
      </x:font>
      <x:fill>
        <x:patternFill>
          <x:bgColor rgb="FF374151"/>
        </x:patternFill>
      </x:fill>
    </x:dxf>
    <x:dxf>
      <x:font>
        <x:b/>
        <x:color rgb="FF7F0000"/>
      </x:font>
      <x:fill>
        <x:patternFill>
          <x:bgColor rgb="FFF4CCC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FCE4D6"/>
        </x:patternFill>
      </x:fill>
    </x:dxf>
    <x:dxf>
      <x:font>
        <x:color rgb="FFFFFFFF"/>
      </x:font>
      <x:fill>
        <x:patternFill>
          <x:bgColor rgb="FF374151"/>
        </x:patternFill>
      </x:fill>
    </x:dxf>
    <x:dxf>
      <x:font>
        <x:b/>
        <x:color rgb="FF7F0000"/>
      </x:font>
      <x:fill>
        <x:patternFill>
          <x:bgColor rgb="FFF4CCCC"/>
        </x:patternFill>
      </x:fill>
    </x:dxf>
    <x:dxf>
      <x:fill>
        <x:patternFill>
          <x:bgColor rgb="FFFCE4D6"/>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FFFFFF"/>
      </x:font>
      <x:fill>
        <x:patternFill patternType="solid">
          <x:bgColor rgb="FF548235"/>
        </x:patternFill>
      </x:fill>
    </x:dxf>
    <x:dxf>
      <x:font>
        <x:b/>
        <x:color rgb="FFFFFFFF"/>
      </x:font>
      <x:fill>
        <x:patternFill patternType="solid">
          <x:bgColor rgb="FFC00000"/>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19f09739824b37" /><Relationship Type="http://schemas.openxmlformats.org/officeDocument/2006/relationships/theme" Target="/xl/theme/theme1.xml" Id="Rdf9ebd6abbc94f26" /><Relationship Type="http://schemas.openxmlformats.org/officeDocument/2006/relationships/sharedStrings" Target="/xl/sharedStrings.xml" Id="Ra3416bd8e9944ee1" /><Relationship Type="http://schemas.openxmlformats.org/officeDocument/2006/relationships/worksheet" Target="/xl/worksheets/sheet1.xml" Id="Rfa9f590a60ff48b7" /><Relationship Type="http://schemas.openxmlformats.org/officeDocument/2006/relationships/worksheet" Target="/xl/worksheets/sheet2.xml" Id="R2b7b207f4cc0419d" /><Relationship Type="http://schemas.openxmlformats.org/officeDocument/2006/relationships/worksheet" Target="/xl/worksheets/sheet3.xml" Id="R6f83a7e088484292" /><Relationship Type="http://schemas.openxmlformats.org/officeDocument/2006/relationships/worksheet" Target="/xl/worksheets/sheet4.xml" Id="R18ebc75bd095498d" /><Relationship Type="http://schemas.openxmlformats.org/officeDocument/2006/relationships/worksheet" Target="/xl/worksheets/sheet5.xml" Id="R3af4cc207cd34e25" /><Relationship Type="http://schemas.openxmlformats.org/officeDocument/2006/relationships/worksheet" Target="/xl/worksheets/sheet6.xml" Id="R8673523c8518411e" /><Relationship Type="http://schemas.openxmlformats.org/officeDocument/2006/relationships/worksheet" Target="/xl/worksheets/sheet7.xml" Id="R1b6d58bb360443af" /><Relationship Type="http://schemas.openxmlformats.org/officeDocument/2006/relationships/worksheet" Target="/xl/worksheets/sheet8.xml" Id="Rb79b380336a241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0" hidden="0" customWidth="1"/>
    <x:col min="4" max="4" width="48.88999938964844" hidden="0" customWidth="1"/>
    <x:col min="5" max="5" width="9.4399995803833" hidden="0" customWidth="1"/>
    <x:col min="6" max="6" width="12.779999732971191" hidden="0" customWidth="1"/>
    <x:col min="7" max="7" width="40" hidden="0" customWidth="1"/>
    <x:col min="8" max="8" width="25.559999465942383" hidden="0" customWidth="1"/>
    <x:col min="9" max="9" width="28.889999389648438" hidden="0" customWidth="1"/>
    <x:col min="10" max="10" width="23.889999389648438" hidden="0" customWidth="1"/>
    <x:col min="11" max="11" width="10.5600004196167" hidden="0" customWidth="1"/>
    <x:col min="12" max="12" width="8.890000343322754" hidden="0" customWidth="1"/>
    <x:col min="13" max="13" width="20" hidden="0" customWidth="1"/>
    <x:col min="14" max="14" width="8.329999923706055" hidden="0" customWidth="1"/>
    <x:col min="15" max="15" width="10" hidden="0" customWidth="1"/>
    <x:col min="16" max="16" width="8.890000343322754" hidden="0" customWidth="1"/>
    <x:col min="17" max="17" width="30.559999465942383" hidden="0" customWidth="1"/>
    <x:col min="18" max="18" width="9.4399995803833" hidden="0" customWidth="1"/>
    <x:col min="19" max="19" width="27.780000686645508" hidden="0" customWidth="1"/>
    <x:col min="20" max="20" width="36.66999816894531" hidden="0" customWidth="1"/>
    <x:col min="21" max="21" width="20.559999465942383" hidden="0" customWidth="1"/>
  </x:cols>
  <x:sheetData>
    <x:row r="1" ht="30" customHeight="1">
      <x:c r="A1" s="30" t="str">
        <x:v>Status</x:v>
      </x:c>
      <x:c r="B1" s="30" t="str">
        <x:v>Episode</x:v>
      </x:c>
      <x:c r="C1" s="30" t="str">
        <x:v>Prompt</x:v>
      </x:c>
      <x:c r="D1" s="30" t="str">
        <x:v>Objects and States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Queried State</x:v>
      </x:c>
      <x:c r="M1" s="30" t="str">
        <x:v>Queried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0" t="str">
        <x:v>Not collected</x:v>
      </x:c>
      <x:c r="B2" s="41" t="n">
        <x:v>0</x:v>
      </x:c>
      <x:c r="C2" s="40" t="str">
        <x:v>Put the open white cup in the bowl.</x:v>
      </x:c>
      <x:c r="D2" s="40" t="str">
        <x:v>white cup A (O, RU); white cup B (C, RU); glass spice container A (O, RU); yellow-white striped cup B (O, RU)</x:v>
      </x:c>
      <x:c r="E2" s="41" t="str"/>
      <x:c r="F2" s="41" t="str">
        <x:v>2</x:v>
      </x:c>
      <x:c r="G2" s="40" t="str">
        <x:v>Exact manifest episode: trained state-object cell, prompt, same-category candidate structure, and object membership match; physical layout is manually recreated.</x:v>
      </x:c>
      <x:c r="H2" s="40" t="str">
        <x:v>white cup A</x:v>
      </x:c>
      <x:c r="I2" s="40" t="str"/>
      <x:c r="J2" s="42" t="str">
        <x:v>In-distribution concept baseline</x:v>
      </x:c>
      <x:c r="K2" s="41" t="str">
        <x:v>SR-ID01</x:v>
      </x:c>
      <x:c r="L2" s="41" t="str">
        <x:v>O</x:v>
      </x:c>
      <x:c r="M2" s="41" t="str">
        <x:v>white cup</x:v>
      </x:c>
      <x:c r="N2" s="41" t="n">
        <x:v>4</x:v>
      </x:c>
      <x:c r="O2" s="41" t="n">
        <x:v>1</x:v>
      </x:c>
      <x:c r="P2" s="41" t="str">
        <x:v>Empty</x:v>
      </x:c>
      <x:c r="Q2" s="40" t="str">
        <x:v>Exact training-supported state-object baseline</x:v>
      </x:c>
      <x:c r="R2" s="41" t="n">
        <x:v>1</x:v>
      </x:c>
      <x:c r="S2" s="40" t="str">
        <x:v>Recreate the listed manifest scene with the bowl empty.</x:v>
      </x:c>
      <x:c r="T2" s="40" t="str">
        <x:v>The queried state-object combination and same-category discrimination structure are explicitly represented in training.</x:v>
      </x:c>
      <x:c r="U2" s="40" t="str"/>
    </x:row>
    <x:row r="3" ht="51" customHeight="1">
      <x:c r="A3" s="43" t="str">
        <x:v>Not collected</x:v>
      </x:c>
      <x:c r="B3" s="44" t="n">
        <x:v>1</x:v>
      </x:c>
      <x:c r="C3" s="43" t="str">
        <x:v>Put the upright white cup in the bowl.</x:v>
      </x:c>
      <x:c r="D3" s="43" t="str">
        <x:v>white cup A (O, RU); white cup B (O, UD)</x:v>
      </x:c>
      <x:c r="E3" s="44" t="str"/>
      <x:c r="F3" s="44" t="str">
        <x:v>26</x:v>
      </x:c>
      <x:c r="G3" s="43" t="str">
        <x:v>Exact manifest episode: trained state-object cell, prompt, same-category candidate structure, and object membership match; physical layout is manually recreated.</x:v>
      </x:c>
      <x:c r="H3" s="43" t="str">
        <x:v>white cup A</x:v>
      </x:c>
      <x:c r="I3" s="43" t="str"/>
      <x:c r="J3" s="42" t="str">
        <x:v>In-distribution concept baseline</x:v>
      </x:c>
      <x:c r="K3" s="44" t="str">
        <x:v>SR-ID02</x:v>
      </x:c>
      <x:c r="L3" s="44" t="str">
        <x:v>RU</x:v>
      </x:c>
      <x:c r="M3" s="44" t="str">
        <x:v>white cup</x:v>
      </x:c>
      <x:c r="N3" s="44" t="n">
        <x:v>2</x:v>
      </x:c>
      <x:c r="O3" s="44" t="n">
        <x:v>1</x:v>
      </x:c>
      <x:c r="P3" s="44" t="str">
        <x:v>Empty</x:v>
      </x:c>
      <x:c r="Q3" s="43" t="str">
        <x:v>Exact training-supported state-object baseline</x:v>
      </x:c>
      <x:c r="R3" s="44" t="n">
        <x:v>1</x:v>
      </x:c>
      <x:c r="S3" s="43" t="str">
        <x:v>Recreate the listed manifest scene with the bowl empty.</x:v>
      </x:c>
      <x:c r="T3" s="43" t="str">
        <x:v>The queried state-object combination and same-category discrimination structure are explicitly represented in training.</x:v>
      </x:c>
      <x:c r="U3" s="43" t="str"/>
    </x:row>
    <x:row r="4" ht="51" customHeight="1">
      <x:c r="A4" s="40" t="str">
        <x:v>Not collected</x:v>
      </x:c>
      <x:c r="B4" s="41" t="n">
        <x:v>2</x:v>
      </x:c>
      <x:c r="C4" s="40" t="str">
        <x:v>Move the closed yellow-white striped cup into the bowl.</x:v>
      </x:c>
      <x:c r="D4" s="40" t="str">
        <x:v>yellow-white striped cup B (C, RU); yellow-white striped cup A (O, RU); white cup A (C, RU)</x:v>
      </x:c>
      <x:c r="E4" s="41" t="str"/>
      <x:c r="F4" s="41" t="str">
        <x:v>51</x:v>
      </x:c>
      <x:c r="G4" s="40" t="str">
        <x:v>Exact manifest episode: trained state-object cell, prompt, same-category candidate structure, and object membership match; physical layout is manually recreated.</x:v>
      </x:c>
      <x:c r="H4" s="40" t="str">
        <x:v>yellow-white striped cup B</x:v>
      </x:c>
      <x:c r="I4" s="40" t="str"/>
      <x:c r="J4" s="42" t="str">
        <x:v>In-distribution concept baseline</x:v>
      </x:c>
      <x:c r="K4" s="41" t="str">
        <x:v>SR-ID03</x:v>
      </x:c>
      <x:c r="L4" s="41" t="str">
        <x:v>C</x:v>
      </x:c>
      <x:c r="M4" s="41" t="str">
        <x:v>yellow-white striped cup</x:v>
      </x:c>
      <x:c r="N4" s="41" t="n">
        <x:v>3</x:v>
      </x:c>
      <x:c r="O4" s="41" t="n">
        <x:v>1</x:v>
      </x:c>
      <x:c r="P4" s="41" t="str">
        <x:v>Empty</x:v>
      </x:c>
      <x:c r="Q4" s="40" t="str">
        <x:v>Exact training-supported state-object baseline</x:v>
      </x:c>
      <x:c r="R4" s="41" t="n">
        <x:v>1</x:v>
      </x:c>
      <x:c r="S4" s="40" t="str">
        <x:v>Recreate the listed manifest scene with the bowl empty.</x:v>
      </x:c>
      <x:c r="T4" s="40" t="str">
        <x:v>The queried state-object combination and same-category discrimination structure are explicitly represented in training.</x:v>
      </x:c>
      <x:c r="U4" s="40" t="str"/>
    </x:row>
    <x:row r="5" ht="51" customHeight="1">
      <x:c r="A5" s="43" t="str">
        <x:v>Not collected</x:v>
      </x:c>
      <x:c r="B5" s="44" t="n">
        <x:v>3</x:v>
      </x:c>
      <x:c r="C5" s="43" t="str">
        <x:v>Move the upside-down yellow-white striped cup into the bowl.</x:v>
      </x:c>
      <x:c r="D5" s="43" t="str">
        <x:v>yellow-white striped cup B (O, UD); yellow-white striped cup A (O, RU); brown cup B (C, RU); glass spice container A (O, RU)</x:v>
      </x:c>
      <x:c r="E5" s="44" t="str"/>
      <x:c r="F5" s="44" t="str">
        <x:v>78</x:v>
      </x:c>
      <x:c r="G5" s="43" t="str">
        <x:v>Exact manifest episode: trained state-object cell, prompt, same-category candidate structure, and object membership match; physical layout is manually recreated.</x:v>
      </x:c>
      <x:c r="H5" s="43" t="str">
        <x:v>yellow-white striped cup B</x:v>
      </x:c>
      <x:c r="I5" s="43" t="str"/>
      <x:c r="J5" s="42" t="str">
        <x:v>In-distribution concept baseline</x:v>
      </x:c>
      <x:c r="K5" s="44" t="str">
        <x:v>SR-ID04</x:v>
      </x:c>
      <x:c r="L5" s="44" t="str">
        <x:v>UD</x:v>
      </x:c>
      <x:c r="M5" s="44" t="str">
        <x:v>yellow-white striped cup</x:v>
      </x:c>
      <x:c r="N5" s="44" t="n">
        <x:v>4</x:v>
      </x:c>
      <x:c r="O5" s="44" t="n">
        <x:v>1</x:v>
      </x:c>
      <x:c r="P5" s="44" t="str">
        <x:v>Empty</x:v>
      </x:c>
      <x:c r="Q5" s="43" t="str">
        <x:v>Exact training-supported state-object baseline</x:v>
      </x:c>
      <x:c r="R5" s="44" t="n">
        <x:v>1</x:v>
      </x:c>
      <x:c r="S5" s="43" t="str">
        <x:v>Recreate the listed manifest scene with the bowl empty.</x:v>
      </x:c>
      <x:c r="T5" s="43" t="str">
        <x:v>The queried state-object combination and same-category discrimination structure are explicitly represented in training.</x:v>
      </x:c>
      <x:c r="U5" s="43" t="str"/>
    </x:row>
    <x:row r="6" ht="51" customHeight="1">
      <x:c r="A6" s="40" t="str">
        <x:v>Not collected</x:v>
      </x:c>
      <x:c r="B6" s="41" t="n">
        <x:v>4</x:v>
      </x:c>
      <x:c r="C6" s="40" t="str">
        <x:v>Put the open brown cup in the bowl.</x:v>
      </x:c>
      <x:c r="D6" s="40" t="str">
        <x:v>brown cup B (O, RU); brown cup A (C, RU); glass spice container A (O, RU)</x:v>
      </x:c>
      <x:c r="E6" s="41" t="str"/>
      <x:c r="F6" s="41" t="str">
        <x:v>104</x:v>
      </x:c>
      <x:c r="G6" s="40" t="str">
        <x:v>Exact manifest episode: trained state-object cell, prompt, same-category candidate structure, and object membership match; physical layout is manually recreated.</x:v>
      </x:c>
      <x:c r="H6" s="40" t="str">
        <x:v>brown cup B</x:v>
      </x:c>
      <x:c r="I6" s="40" t="str"/>
      <x:c r="J6" s="42" t="str">
        <x:v>In-distribution concept baseline</x:v>
      </x:c>
      <x:c r="K6" s="41" t="str">
        <x:v>SR-ID05</x:v>
      </x:c>
      <x:c r="L6" s="41" t="str">
        <x:v>O</x:v>
      </x:c>
      <x:c r="M6" s="41" t="str">
        <x:v>brown cup</x:v>
      </x:c>
      <x:c r="N6" s="41" t="n">
        <x:v>3</x:v>
      </x:c>
      <x:c r="O6" s="41" t="n">
        <x:v>1</x:v>
      </x:c>
      <x:c r="P6" s="41" t="str">
        <x:v>Empty</x:v>
      </x:c>
      <x:c r="Q6" s="40" t="str">
        <x:v>Exact training-supported state-object baseline</x:v>
      </x:c>
      <x:c r="R6" s="41" t="n">
        <x:v>1</x:v>
      </x:c>
      <x:c r="S6" s="40" t="str">
        <x:v>Recreate the listed manifest scene with the bowl empty.</x:v>
      </x:c>
      <x:c r="T6" s="40" t="str">
        <x:v>The queried state-object combination and same-category discrimination structure are explicitly represented in training.</x:v>
      </x:c>
      <x:c r="U6" s="40" t="str"/>
    </x:row>
    <x:row r="7" ht="51" customHeight="1">
      <x:c r="A7" s="43" t="str">
        <x:v>Not collected</x:v>
      </x:c>
      <x:c r="B7" s="44" t="n">
        <x:v>5</x:v>
      </x:c>
      <x:c r="C7" s="43" t="str">
        <x:v>Put the upside-down brown cup in the bowl.</x:v>
      </x:c>
      <x:c r="D7" s="43" t="str">
        <x:v>brown cup A (O, UD); brown cup B (O, RU)</x:v>
      </x:c>
      <x:c r="E7" s="44" t="str"/>
      <x:c r="F7" s="44" t="str">
        <x:v>125</x:v>
      </x:c>
      <x:c r="G7" s="43" t="str">
        <x:v>Exact manifest episode: trained state-object cell, prompt, same-category candidate structure, and object membership match; physical layout is manually recreated.</x:v>
      </x:c>
      <x:c r="H7" s="43" t="str">
        <x:v>brown cup A</x:v>
      </x:c>
      <x:c r="I7" s="43" t="str"/>
      <x:c r="J7" s="42" t="str">
        <x:v>In-distribution concept baseline</x:v>
      </x:c>
      <x:c r="K7" s="44" t="str">
        <x:v>SR-ID06</x:v>
      </x:c>
      <x:c r="L7" s="44" t="str">
        <x:v>UD</x:v>
      </x:c>
      <x:c r="M7" s="44" t="str">
        <x:v>brown cup</x:v>
      </x:c>
      <x:c r="N7" s="44" t="n">
        <x:v>2</x:v>
      </x:c>
      <x:c r="O7" s="44" t="n">
        <x:v>1</x:v>
      </x:c>
      <x:c r="P7" s="44" t="str">
        <x:v>Empty</x:v>
      </x:c>
      <x:c r="Q7" s="43" t="str">
        <x:v>Exact training-supported state-object baseline</x:v>
      </x:c>
      <x:c r="R7" s="44" t="n">
        <x:v>1</x:v>
      </x:c>
      <x:c r="S7" s="43" t="str">
        <x:v>Recreate the listed manifest scene with the bowl empty.</x:v>
      </x:c>
      <x:c r="T7" s="43" t="str">
        <x:v>The queried state-object combination and same-category discrimination structure are explicitly represented in training.</x:v>
      </x:c>
      <x:c r="U7" s="43" t="str"/>
    </x:row>
    <x:row r="8" ht="51" customHeight="1">
      <x:c r="A8" s="40" t="str">
        <x:v>Not collected</x:v>
      </x:c>
      <x:c r="B8" s="41" t="n">
        <x:v>6</x:v>
      </x:c>
      <x:c r="C8" s="40" t="str">
        <x:v>Put the upright brown cup in the bowl.</x:v>
      </x:c>
      <x:c r="D8" s="40" t="str">
        <x:v>brown cup B (C, RU); brown cup A (C, UD)</x:v>
      </x:c>
      <x:c r="E8" s="41" t="str"/>
      <x:c r="F8" s="41" t="str">
        <x:v>134</x:v>
      </x:c>
      <x:c r="G8" s="40" t="str">
        <x:v>Exact manifest episode: trained state-object cell, prompt, same-category candidate structure, and object membership match; physical layout is manually recreated.</x:v>
      </x:c>
      <x:c r="H8" s="40" t="str">
        <x:v>brown cup B</x:v>
      </x:c>
      <x:c r="I8" s="40" t="str"/>
      <x:c r="J8" s="42" t="str">
        <x:v>In-distribution concept baseline</x:v>
      </x:c>
      <x:c r="K8" s="41" t="str">
        <x:v>SR-ID07</x:v>
      </x:c>
      <x:c r="L8" s="41" t="str">
        <x:v>RU</x:v>
      </x:c>
      <x:c r="M8" s="41" t="str">
        <x:v>brown cup</x:v>
      </x:c>
      <x:c r="N8" s="41" t="n">
        <x:v>2</x:v>
      </x:c>
      <x:c r="O8" s="41" t="n">
        <x:v>1</x:v>
      </x:c>
      <x:c r="P8" s="41" t="str">
        <x:v>Empty</x:v>
      </x:c>
      <x:c r="Q8" s="40" t="str">
        <x:v>Exact training-supported state-object baseline</x:v>
      </x:c>
      <x:c r="R8" s="41" t="n">
        <x:v>1</x:v>
      </x:c>
      <x:c r="S8" s="40" t="str">
        <x:v>Recreate the listed manifest scene with the bowl empty.</x:v>
      </x:c>
      <x:c r="T8" s="40" t="str">
        <x:v>The queried state-object combination and same-category discrimination structure are explicitly represented in training.</x:v>
      </x:c>
      <x:c r="U8" s="40" t="str"/>
    </x:row>
    <x:row r="9" ht="51" customHeight="1">
      <x:c r="A9" s="43" t="str">
        <x:v>Not collected</x:v>
      </x:c>
      <x:c r="B9" s="44" t="n">
        <x:v>7</x:v>
      </x:c>
      <x:c r="C9" s="43" t="str">
        <x:v>Place the closed glass spice container in the bowl.</x:v>
      </x:c>
      <x:c r="D9" s="43" t="str">
        <x:v>glass spice container A (C, RU); glass spice container B (O, RU); yellow-white striped cup A (C, RU)</x:v>
      </x:c>
      <x:c r="E9" s="44" t="str"/>
      <x:c r="F9" s="44" t="str">
        <x:v>151</x:v>
      </x:c>
      <x:c r="G9" s="43" t="str">
        <x:v>Exact manifest episode: trained state-object cell, prompt, same-category candidate structure, and object membership match; physical layout is manually recreated.</x:v>
      </x:c>
      <x:c r="H9" s="43" t="str">
        <x:v>glass spice container A</x:v>
      </x:c>
      <x:c r="I9" s="43" t="str"/>
      <x:c r="J9" s="42" t="str">
        <x:v>In-distribution concept baseline</x:v>
      </x:c>
      <x:c r="K9" s="44" t="str">
        <x:v>SR-ID08</x:v>
      </x:c>
      <x:c r="L9" s="44" t="str">
        <x:v>C</x:v>
      </x:c>
      <x:c r="M9" s="44" t="str">
        <x:v>glass spice container</x:v>
      </x:c>
      <x:c r="N9" s="44" t="n">
        <x:v>3</x:v>
      </x:c>
      <x:c r="O9" s="44" t="n">
        <x:v>1</x:v>
      </x:c>
      <x:c r="P9" s="44" t="str">
        <x:v>Empty</x:v>
      </x:c>
      <x:c r="Q9" s="43" t="str">
        <x:v>Exact training-supported state-object baseline</x:v>
      </x:c>
      <x:c r="R9" s="44" t="n">
        <x:v>1</x:v>
      </x:c>
      <x:c r="S9" s="43" t="str">
        <x:v>Recreate the listed manifest scene with the bowl empty.</x:v>
      </x:c>
      <x:c r="T9" s="43" t="str">
        <x:v>The queried state-object combination and same-category discrimination structure are explicitly represented in training.</x:v>
      </x:c>
      <x:c r="U9" s="43" t="str"/>
    </x:row>
    <x:row r="10" ht="51" customHeight="1">
      <x:c r="A10" s="40" t="str">
        <x:v>Not collected</x:v>
      </x:c>
      <x:c r="B10" s="41" t="n">
        <x:v>8</x:v>
      </x:c>
      <x:c r="C10" s="40" t="str">
        <x:v>Move the open glass spice container into the bowl.</x:v>
      </x:c>
      <x:c r="D10" s="40" t="str">
        <x:v>glass spice container B (O, RU); glass spice container A (C, RU); white cup B (O, RU)</x:v>
      </x:c>
      <x:c r="E10" s="41" t="str"/>
      <x:c r="F10" s="41" t="str">
        <x:v>156</x:v>
      </x:c>
      <x:c r="G10" s="40" t="str">
        <x:v>Exact manifest episode: trained state-object cell, prompt, same-category candidate structure, and object membership match; physical layout is manually recreated.</x:v>
      </x:c>
      <x:c r="H10" s="40" t="str">
        <x:v>glass spice container B</x:v>
      </x:c>
      <x:c r="I10" s="40" t="str"/>
      <x:c r="J10" s="42" t="str">
        <x:v>In-distribution concept baseline</x:v>
      </x:c>
      <x:c r="K10" s="41" t="str">
        <x:v>SR-ID09</x:v>
      </x:c>
      <x:c r="L10" s="41" t="str">
        <x:v>O</x:v>
      </x:c>
      <x:c r="M10" s="41" t="str">
        <x:v>glass spice container</x:v>
      </x:c>
      <x:c r="N10" s="41" t="n">
        <x:v>3</x:v>
      </x:c>
      <x:c r="O10" s="41" t="n">
        <x:v>1</x:v>
      </x:c>
      <x:c r="P10" s="41" t="str">
        <x:v>Empty</x:v>
      </x:c>
      <x:c r="Q10" s="40" t="str">
        <x:v>Exact training-supported state-object baseline</x:v>
      </x:c>
      <x:c r="R10" s="41" t="n">
        <x:v>1</x:v>
      </x:c>
      <x:c r="S10" s="40" t="str">
        <x:v>Recreate the listed manifest scene with the bowl empty.</x:v>
      </x:c>
      <x:c r="T10" s="40" t="str">
        <x:v>The queried state-object combination and same-category discrimination structure are explicitly represented in training.</x:v>
      </x:c>
      <x:c r="U10" s="40" t="str"/>
    </x:row>
    <x:row r="11" ht="51" customHeight="1">
      <x:c r="A11" s="43" t="str">
        <x:v>Not collected</x:v>
      </x:c>
      <x:c r="B11" s="44" t="n">
        <x:v>9</x:v>
      </x:c>
      <x:c r="C11" s="43" t="str">
        <x:v>Put the upside-down glass spice container in the bowl.</x:v>
      </x:c>
      <x:c r="D11" s="43" t="str">
        <x:v>glass spice container B (C, UD); glass spice container A (C, RU)</x:v>
      </x:c>
      <x:c r="E11" s="44" t="str"/>
      <x:c r="F11" s="44" t="str">
        <x:v>176</x:v>
      </x:c>
      <x:c r="G11" s="43" t="str">
        <x:v>Exact manifest episode: trained state-object cell, prompt, same-category candidate structure, and object membership match; physical layout is manually recreated.</x:v>
      </x:c>
      <x:c r="H11" s="43" t="str">
        <x:v>glass spice container B</x:v>
      </x:c>
      <x:c r="I11" s="43" t="str"/>
      <x:c r="J11" s="42" t="str">
        <x:v>In-distribution concept baseline</x:v>
      </x:c>
      <x:c r="K11" s="44" t="str">
        <x:v>SR-ID10</x:v>
      </x:c>
      <x:c r="L11" s="44" t="str">
        <x:v>UD</x:v>
      </x:c>
      <x:c r="M11" s="44" t="str">
        <x:v>glass spice container</x:v>
      </x:c>
      <x:c r="N11" s="44" t="n">
        <x:v>2</x:v>
      </x:c>
      <x:c r="O11" s="44" t="n">
        <x:v>1</x:v>
      </x:c>
      <x:c r="P11" s="44" t="str">
        <x:v>Empty</x:v>
      </x:c>
      <x:c r="Q11" s="43" t="str">
        <x:v>Exact training-supported state-object baseline</x:v>
      </x:c>
      <x:c r="R11" s="44" t="n">
        <x:v>1</x:v>
      </x:c>
      <x:c r="S11" s="43" t="str">
        <x:v>Recreate the listed manifest scene with the bowl empty.</x:v>
      </x:c>
      <x:c r="T11" s="43" t="str">
        <x:v>The queried state-object combination and same-category discrimination structure are explicitly represented in training.</x:v>
      </x:c>
      <x:c r="U11" s="43" t="str"/>
    </x:row>
    <x:row r="12" ht="51" customHeight="1">
      <x:c r="A12" s="40" t="str">
        <x:v>Not collected</x:v>
      </x:c>
      <x:c r="B12" s="41" t="n">
        <x:v>10</x:v>
      </x:c>
      <x:c r="C12" s="40" t="str">
        <x:v>Move the closed white cup into the bowl.</x:v>
      </x:c>
      <x:c r="D12" s="40" t="str">
        <x:v>white cup B (C, RU); white cup A (O, RU); yellow-white striped cup A (C, RU); brown cup B (C, RU)</x:v>
      </x:c>
      <x:c r="E12" s="41" t="str"/>
      <x:c r="F12" s="41" t="str">
        <x:v>0</x:v>
      </x:c>
      <x:c r="G12" s="40" t="str">
        <x:v>Exact manifest episode: trained state-object cell, prompt, same-category candidate structure, and object membership match; physical layout is manually recreated.</x:v>
      </x:c>
      <x:c r="H12" s="40" t="str">
        <x:v>white cup B</x:v>
      </x:c>
      <x:c r="I12" s="40" t="str"/>
      <x:c r="J12" s="42" t="str">
        <x:v>In-distribution concept baseline</x:v>
      </x:c>
      <x:c r="K12" s="41" t="str">
        <x:v>SR-ID11</x:v>
      </x:c>
      <x:c r="L12" s="41" t="str">
        <x:v>C</x:v>
      </x:c>
      <x:c r="M12" s="41" t="str">
        <x:v>white cup</x:v>
      </x:c>
      <x:c r="N12" s="41" t="n">
        <x:v>4</x:v>
      </x:c>
      <x:c r="O12" s="41" t="n">
        <x:v>1</x:v>
      </x:c>
      <x:c r="P12" s="41" t="str">
        <x:v>Empty</x:v>
      </x:c>
      <x:c r="Q12" s="40" t="str">
        <x:v>Exact training-supported state-object baseline</x:v>
      </x:c>
      <x:c r="R12" s="41" t="n">
        <x:v>1</x:v>
      </x:c>
      <x:c r="S12" s="40" t="str">
        <x:v>Recreate the listed manifest scene with the bowl empty.</x:v>
      </x:c>
      <x:c r="T12" s="40" t="str">
        <x:v>The queried state-object combination and same-category discrimination structure are explicitly represented in training.</x:v>
      </x:c>
      <x:c r="U12" s="40" t="str"/>
    </x:row>
    <x:row r="13" ht="51" customHeight="1">
      <x:c r="A13" s="43" t="str">
        <x:v>Not collected</x:v>
      </x:c>
      <x:c r="B13" s="44" t="n">
        <x:v>11</x:v>
      </x:c>
      <x:c r="C13" s="43" t="str">
        <x:v>Place the closed white cup in the bowl.</x:v>
      </x:c>
      <x:c r="D13" s="43" t="str">
        <x:v>white cup A (C, RU); white cup B (O, RU); brown cup B (O, RU)</x:v>
      </x:c>
      <x:c r="E13" s="44" t="str"/>
      <x:c r="F13" s="44" t="str">
        <x:v>7</x:v>
      </x:c>
      <x:c r="G13" s="43" t="str">
        <x:v>Exact manifest episode: trained state-object cell, prompt, same-category candidate structure, and object membership match; physical layout is manually recreated.</x:v>
      </x:c>
      <x:c r="H13" s="43" t="str">
        <x:v>white cup A</x:v>
      </x:c>
      <x:c r="I13" s="43" t="str"/>
      <x:c r="J13" s="42" t="str">
        <x:v>In-distribution concept baseline</x:v>
      </x:c>
      <x:c r="K13" s="44" t="str">
        <x:v>SR-ID12</x:v>
      </x:c>
      <x:c r="L13" s="44" t="str">
        <x:v>C</x:v>
      </x:c>
      <x:c r="M13" s="44" t="str">
        <x:v>white cup</x:v>
      </x:c>
      <x:c r="N13" s="44" t="n">
        <x:v>3</x:v>
      </x:c>
      <x:c r="O13" s="44" t="n">
        <x:v>1</x:v>
      </x:c>
      <x:c r="P13" s="44" t="str">
        <x:v>Empty</x:v>
      </x:c>
      <x:c r="Q13" s="43" t="str">
        <x:v>Exact training-supported state-object baseline</x:v>
      </x:c>
      <x:c r="R13" s="44" t="n">
        <x:v>1</x:v>
      </x:c>
      <x:c r="S13" s="43" t="str">
        <x:v>Recreate the listed manifest scene with the bowl empty.</x:v>
      </x:c>
      <x:c r="T13" s="43" t="str">
        <x:v>The queried state-object combination and same-category discrimination structure are explicitly represented in training.</x:v>
      </x:c>
      <x:c r="U13" s="43" t="str"/>
    </x:row>
    <x:row r="14" ht="51" customHeight="1">
      <x:c r="A14" s="40" t="str">
        <x:v>Not collected</x:v>
      </x:c>
      <x:c r="B14" s="41" t="n">
        <x:v>12</x:v>
      </x:c>
      <x:c r="C14" s="40" t="str">
        <x:v>Put the open white cup in the bowl.</x:v>
      </x:c>
      <x:c r="D14" s="40" t="str">
        <x:v>white cup B (O, RU); white cup A (C, RU); glass spice container B (O, RU)</x:v>
      </x:c>
      <x:c r="E14" s="41" t="str"/>
      <x:c r="F14" s="41" t="str">
        <x:v>17</x:v>
      </x:c>
      <x:c r="G14" s="40" t="str">
        <x:v>Exact manifest episode: trained state-object cell, prompt, same-category candidate structure, and object membership match; physical layout is manually recreated.</x:v>
      </x:c>
      <x:c r="H14" s="40" t="str">
        <x:v>white cup B</x:v>
      </x:c>
      <x:c r="I14" s="40" t="str"/>
      <x:c r="J14" s="42" t="str">
        <x:v>In-distribution concept baseline</x:v>
      </x:c>
      <x:c r="K14" s="41" t="str">
        <x:v>SR-ID13</x:v>
      </x:c>
      <x:c r="L14" s="41" t="str">
        <x:v>O</x:v>
      </x:c>
      <x:c r="M14" s="41" t="str">
        <x:v>white cup</x:v>
      </x:c>
      <x:c r="N14" s="41" t="n">
        <x:v>3</x:v>
      </x:c>
      <x:c r="O14" s="41" t="n">
        <x:v>1</x:v>
      </x:c>
      <x:c r="P14" s="41" t="str">
        <x:v>Empty</x:v>
      </x:c>
      <x:c r="Q14" s="40" t="str">
        <x:v>Exact training-supported state-object baseline</x:v>
      </x:c>
      <x:c r="R14" s="41" t="n">
        <x:v>1</x:v>
      </x:c>
      <x:c r="S14" s="40" t="str">
        <x:v>Recreate the listed manifest scene with the bowl empty.</x:v>
      </x:c>
      <x:c r="T14" s="40" t="str">
        <x:v>The queried state-object combination and same-category discrimination structure are explicitly represented in training.</x:v>
      </x:c>
      <x:c r="U14" s="40" t="str"/>
    </x:row>
    <x:row r="15" ht="51" customHeight="1">
      <x:c r="A15" s="43" t="str">
        <x:v>Not collected</x:v>
      </x:c>
      <x:c r="B15" s="44" t="n">
        <x:v>13</x:v>
      </x:c>
      <x:c r="C15" s="43" t="str">
        <x:v>Place the upside-down yellow-white striped cup in the bowl.</x:v>
      </x:c>
      <x:c r="D15" s="43" t="str">
        <x:v>yellow-white striped cup A (O, UD); yellow-white striped cup B (O, RU)</x:v>
      </x:c>
      <x:c r="E15" s="44" t="str"/>
      <x:c r="F15" s="44" t="str">
        <x:v>88</x:v>
      </x:c>
      <x:c r="G15" s="43" t="str">
        <x:v>Exact manifest episode: trained state-object cell, prompt, same-category candidate structure, and object membership match; physical layout is manually recreated.</x:v>
      </x:c>
      <x:c r="H15" s="43" t="str">
        <x:v>yellow-white striped cup A</x:v>
      </x:c>
      <x:c r="I15" s="43" t="str"/>
      <x:c r="J15" s="42" t="str">
        <x:v>In-distribution concept baseline</x:v>
      </x:c>
      <x:c r="K15" s="44" t="str">
        <x:v>SR-ID14</x:v>
      </x:c>
      <x:c r="L15" s="44" t="str">
        <x:v>UD</x:v>
      </x:c>
      <x:c r="M15" s="44" t="str">
        <x:v>yellow-white striped cup</x:v>
      </x:c>
      <x:c r="N15" s="44" t="n">
        <x:v>2</x:v>
      </x:c>
      <x:c r="O15" s="44" t="n">
        <x:v>1</x:v>
      </x:c>
      <x:c r="P15" s="44" t="str">
        <x:v>Empty</x:v>
      </x:c>
      <x:c r="Q15" s="43" t="str">
        <x:v>Exact training-supported state-object baseline</x:v>
      </x:c>
      <x:c r="R15" s="44" t="n">
        <x:v>1</x:v>
      </x:c>
      <x:c r="S15" s="43" t="str">
        <x:v>Recreate the listed manifest scene with the bowl empty.</x:v>
      </x:c>
      <x:c r="T15" s="43" t="str">
        <x:v>The queried state-object combination and same-category discrimination structure are explicitly represented in training.</x:v>
      </x:c>
      <x:c r="U15" s="43" t="str"/>
    </x:row>
    <x:row r="16" ht="51" customHeight="1">
      <x:c r="A16" s="40" t="str">
        <x:v>Not collected</x:v>
      </x:c>
      <x:c r="B16" s="41" t="n">
        <x:v>14</x:v>
      </x:c>
      <x:c r="C16" s="40" t="str">
        <x:v>Move the upright yellow-white striped cup into the bowl.</x:v>
      </x:c>
      <x:c r="D16" s="40" t="str">
        <x:v>yellow-white striped cup A (O, RU); yellow-white striped cup B (O, UD); glass spice container A (O, RU); white cup B (C, UD)</x:v>
      </x:c>
      <x:c r="E16" s="41" t="str"/>
      <x:c r="F16" s="41" t="str">
        <x:v>75</x:v>
      </x:c>
      <x:c r="G16" s="40" t="str">
        <x:v>Exact manifest episode: trained state-object cell, prompt, same-category candidate structure, and object membership match; physical layout is manually recreated.</x:v>
      </x:c>
      <x:c r="H16" s="40" t="str">
        <x:v>yellow-white striped cup A</x:v>
      </x:c>
      <x:c r="I16" s="40" t="str"/>
      <x:c r="J16" s="42" t="str">
        <x:v>In-distribution concept baseline</x:v>
      </x:c>
      <x:c r="K16" s="41" t="str">
        <x:v>SR-ID15</x:v>
      </x:c>
      <x:c r="L16" s="41" t="str">
        <x:v>RU</x:v>
      </x:c>
      <x:c r="M16" s="41" t="str">
        <x:v>yellow-white striped cup</x:v>
      </x:c>
      <x:c r="N16" s="41" t="n">
        <x:v>4</x:v>
      </x:c>
      <x:c r="O16" s="41" t="n">
        <x:v>1</x:v>
      </x:c>
      <x:c r="P16" s="41" t="str">
        <x:v>Empty</x:v>
      </x:c>
      <x:c r="Q16" s="40" t="str">
        <x:v>Exact training-supported state-object baseline</x:v>
      </x:c>
      <x:c r="R16" s="41" t="n">
        <x:v>1</x:v>
      </x:c>
      <x:c r="S16" s="40" t="str">
        <x:v>Recreate the listed manifest scene with the bowl empty.</x:v>
      </x:c>
      <x:c r="T16" s="40" t="str">
        <x:v>The queried state-object combination and same-category discrimination structure are explicitly represented in training.</x:v>
      </x:c>
      <x:c r="U16" s="40" t="str"/>
    </x:row>
    <x:row r="17" ht="51" customHeight="1">
      <x:c r="A17" s="43" t="str">
        <x:v>Not collected</x:v>
      </x:c>
      <x:c r="B17" s="44" t="n">
        <x:v>15</x:v>
      </x:c>
      <x:c r="C17" s="43" t="str">
        <x:v>Put the upright yellow-white striped cup in the bowl.</x:v>
      </x:c>
      <x:c r="D17" s="43" t="str">
        <x:v>yellow-white striped cup B (C, RU); yellow-white striped cup A (C, UD)</x:v>
      </x:c>
      <x:c r="E17" s="44" t="str"/>
      <x:c r="F17" s="44" t="str">
        <x:v>80</x:v>
      </x:c>
      <x:c r="G17" s="43" t="str">
        <x:v>Exact manifest episode: trained state-object cell, prompt, same-category candidate structure, and object membership match; physical layout is manually recreated.</x:v>
      </x:c>
      <x:c r="H17" s="43" t="str">
        <x:v>yellow-white striped cup B</x:v>
      </x:c>
      <x:c r="I17" s="43" t="str"/>
      <x:c r="J17" s="42" t="str">
        <x:v>In-distribution concept baseline</x:v>
      </x:c>
      <x:c r="K17" s="44" t="str">
        <x:v>SR-ID16</x:v>
      </x:c>
      <x:c r="L17" s="44" t="str">
        <x:v>RU</x:v>
      </x:c>
      <x:c r="M17" s="44" t="str">
        <x:v>yellow-white striped cup</x:v>
      </x:c>
      <x:c r="N17" s="44" t="n">
        <x:v>2</x:v>
      </x:c>
      <x:c r="O17" s="44" t="n">
        <x:v>1</x:v>
      </x:c>
      <x:c r="P17" s="44" t="str">
        <x:v>Empty</x:v>
      </x:c>
      <x:c r="Q17" s="43" t="str">
        <x:v>Exact training-supported state-object baseline</x:v>
      </x:c>
      <x:c r="R17" s="44" t="n">
        <x:v>1</x:v>
      </x:c>
      <x:c r="S17" s="43" t="str">
        <x:v>Recreate the listed manifest scene with the bowl empty.</x:v>
      </x:c>
      <x:c r="T17" s="43" t="str">
        <x:v>The queried state-object combination and same-category discrimination structure are explicitly represented in training.</x:v>
      </x:c>
      <x:c r="U17" s="43" t="str"/>
    </x:row>
    <x:row r="18" ht="51" customHeight="1">
      <x:c r="A18" s="40" t="str">
        <x:v>Not collected</x:v>
      </x:c>
      <x:c r="B18" s="41" t="n">
        <x:v>16</x:v>
      </x:c>
      <x:c r="C18" s="40" t="str">
        <x:v>Move the upside-down brown cup into the bowl.</x:v>
      </x:c>
      <x:c r="D18" s="40" t="str">
        <x:v>brown cup A (C, UD); brown cup B (C, RU); yellow-white striped cup B (C, UD); glass spice container A (O, RU)</x:v>
      </x:c>
      <x:c r="E18" s="41" t="str"/>
      <x:c r="F18" s="41" t="str">
        <x:v>135</x:v>
      </x:c>
      <x:c r="G18" s="40" t="str">
        <x:v>Exact manifest episode: trained state-object cell, prompt, same-category candidate structure, and object membership match; physical layout is manually recreated.</x:v>
      </x:c>
      <x:c r="H18" s="40" t="str">
        <x:v>brown cup A</x:v>
      </x:c>
      <x:c r="I18" s="40" t="str"/>
      <x:c r="J18" s="42" t="str">
        <x:v>In-distribution concept baseline</x:v>
      </x:c>
      <x:c r="K18" s="41" t="str">
        <x:v>SR-ID17</x:v>
      </x:c>
      <x:c r="L18" s="41" t="str">
        <x:v>UD</x:v>
      </x:c>
      <x:c r="M18" s="41" t="str">
        <x:v>brown cup</x:v>
      </x:c>
      <x:c r="N18" s="41" t="n">
        <x:v>4</x:v>
      </x:c>
      <x:c r="O18" s="41" t="n">
        <x:v>1</x:v>
      </x:c>
      <x:c r="P18" s="41" t="str">
        <x:v>Empty</x:v>
      </x:c>
      <x:c r="Q18" s="40" t="str">
        <x:v>Exact training-supported state-object baseline</x:v>
      </x:c>
      <x:c r="R18" s="41" t="n">
        <x:v>1</x:v>
      </x:c>
      <x:c r="S18" s="40" t="str">
        <x:v>Recreate the listed manifest scene with the bowl empty.</x:v>
      </x:c>
      <x:c r="T18" s="40" t="str">
        <x:v>The queried state-object combination and same-category discrimination structure are explicitly represented in training.</x:v>
      </x:c>
      <x:c r="U18" s="40" t="str"/>
    </x:row>
    <x:row r="19" ht="51" customHeight="1">
      <x:c r="A19" s="43" t="str">
        <x:v>Not collected</x:v>
      </x:c>
      <x:c r="B19" s="44" t="n">
        <x:v>17</x:v>
      </x:c>
      <x:c r="C19" s="43" t="str">
        <x:v>Place the upright brown cup in the bowl.</x:v>
      </x:c>
      <x:c r="D19" s="43" t="str">
        <x:v>brown cup A (C, RU); brown cup B (C, UD); glass spice container B (C, UD)</x:v>
      </x:c>
      <x:c r="E19" s="44" t="str"/>
      <x:c r="F19" s="44" t="str">
        <x:v>139</x:v>
      </x:c>
      <x:c r="G19" s="43" t="str">
        <x:v>Exact manifest episode: trained state-object cell, prompt, same-category candidate structure, and object membership match; physical layout is manually recreated.</x:v>
      </x:c>
      <x:c r="H19" s="43" t="str">
        <x:v>brown cup A</x:v>
      </x:c>
      <x:c r="I19" s="43" t="str"/>
      <x:c r="J19" s="42" t="str">
        <x:v>In-distribution concept baseline</x:v>
      </x:c>
      <x:c r="K19" s="44" t="str">
        <x:v>SR-ID18</x:v>
      </x:c>
      <x:c r="L19" s="44" t="str">
        <x:v>RU</x:v>
      </x:c>
      <x:c r="M19" s="44" t="str">
        <x:v>brown cup</x:v>
      </x:c>
      <x:c r="N19" s="44" t="n">
        <x:v>3</x:v>
      </x:c>
      <x:c r="O19" s="44" t="n">
        <x:v>1</x:v>
      </x:c>
      <x:c r="P19" s="44" t="str">
        <x:v>Empty</x:v>
      </x:c>
      <x:c r="Q19" s="43" t="str">
        <x:v>Exact training-supported state-object baseline</x:v>
      </x:c>
      <x:c r="R19" s="44" t="n">
        <x:v>1</x:v>
      </x:c>
      <x:c r="S19" s="43" t="str">
        <x:v>Recreate the listed manifest scene with the bowl empty.</x:v>
      </x:c>
      <x:c r="T19" s="43" t="str">
        <x:v>The queried state-object combination and same-category discrimination structure are explicitly represented in training.</x:v>
      </x:c>
      <x:c r="U19" s="43" t="str"/>
    </x:row>
    <x:row r="20" ht="51" customHeight="1">
      <x:c r="A20" s="40" t="str">
        <x:v>Not collected</x:v>
      </x:c>
      <x:c r="B20" s="41" t="n">
        <x:v>18</x:v>
      </x:c>
      <x:c r="C20" s="40" t="str">
        <x:v>Put the closed glass spice container in the bowl.</x:v>
      </x:c>
      <x:c r="D20" s="40" t="str">
        <x:v>glass spice container A (C, RU); glass spice container B (O, RU); brown cup A (C, RU); white cup B (O, RU)</x:v>
      </x:c>
      <x:c r="E20" s="41" t="str"/>
      <x:c r="F20" s="41" t="str">
        <x:v>155</x:v>
      </x:c>
      <x:c r="G20" s="40" t="str">
        <x:v>Exact manifest episode: trained state-object cell, prompt, same-category candidate structure, and object membership match; physical layout is manually recreated.</x:v>
      </x:c>
      <x:c r="H20" s="40" t="str">
        <x:v>glass spice container A</x:v>
      </x:c>
      <x:c r="I20" s="40" t="str"/>
      <x:c r="J20" s="42" t="str">
        <x:v>In-distribution concept baseline</x:v>
      </x:c>
      <x:c r="K20" s="41" t="str">
        <x:v>SR-ID19</x:v>
      </x:c>
      <x:c r="L20" s="41" t="str">
        <x:v>C</x:v>
      </x:c>
      <x:c r="M20" s="41" t="str">
        <x:v>glass spice container</x:v>
      </x:c>
      <x:c r="N20" s="41" t="n">
        <x:v>4</x:v>
      </x:c>
      <x:c r="O20" s="41" t="n">
        <x:v>1</x:v>
      </x:c>
      <x:c r="P20" s="41" t="str">
        <x:v>Empty</x:v>
      </x:c>
      <x:c r="Q20" s="40" t="str">
        <x:v>Exact training-supported state-object baseline</x:v>
      </x:c>
      <x:c r="R20" s="41" t="n">
        <x:v>1</x:v>
      </x:c>
      <x:c r="S20" s="40" t="str">
        <x:v>Recreate the listed manifest scene with the bowl empty.</x:v>
      </x:c>
      <x:c r="T20" s="40" t="str">
        <x:v>The queried state-object combination and same-category discrimination structure are explicitly represented in training.</x:v>
      </x:c>
      <x:c r="U20" s="40" t="str"/>
    </x:row>
    <x:row r="21" ht="51" customHeight="1">
      <x:c r="A21" s="43" t="str">
        <x:v>Not collected</x:v>
      </x:c>
      <x:c r="B21" s="44" t="n">
        <x:v>19</x:v>
      </x:c>
      <x:c r="C21" s="43" t="str">
        <x:v>Move the open glass spice container into the bowl.</x:v>
      </x:c>
      <x:c r="D21" s="43" t="str">
        <x:v>glass spice container B (O, RU); glass spice container A (C, RU); white cup B (O, RU); yellow-white striped cup A (O, RU)</x:v>
      </x:c>
      <x:c r="E21" s="44" t="str"/>
      <x:c r="F21" s="44" t="str">
        <x:v>162</x:v>
      </x:c>
      <x:c r="G21" s="43" t="str">
        <x:v>Exact manifest episode: trained state-object cell, prompt, same-category candidate structure, and object membership match; physical layout is manually recreated.</x:v>
      </x:c>
      <x:c r="H21" s="43" t="str">
        <x:v>glass spice container B</x:v>
      </x:c>
      <x:c r="I21" s="43" t="str"/>
      <x:c r="J21" s="42" t="str">
        <x:v>In-distribution concept baseline</x:v>
      </x:c>
      <x:c r="K21" s="44" t="str">
        <x:v>SR-ID20</x:v>
      </x:c>
      <x:c r="L21" s="44" t="str">
        <x:v>O</x:v>
      </x:c>
      <x:c r="M21" s="44" t="str">
        <x:v>glass spice container</x:v>
      </x:c>
      <x:c r="N21" s="44" t="n">
        <x:v>4</x:v>
      </x:c>
      <x:c r="O21" s="44" t="n">
        <x:v>1</x:v>
      </x:c>
      <x:c r="P21" s="44" t="str">
        <x:v>Empty</x:v>
      </x:c>
      <x:c r="Q21" s="43" t="str">
        <x:v>Exact training-supported state-object baseline</x:v>
      </x:c>
      <x:c r="R21" s="44" t="n">
        <x:v>1</x:v>
      </x:c>
      <x:c r="S21" s="43" t="str">
        <x:v>Recreate the listed manifest scene with the bowl empty.</x:v>
      </x:c>
      <x:c r="T21" s="43" t="str">
        <x:v>The queried state-object combination and same-category discrimination structure are explicitly represented in training.</x:v>
      </x:c>
      <x:c r="U21" s="43" t="str"/>
    </x:row>
    <x:row r="22" ht="51" customHeight="1">
      <x:c r="A22" s="40" t="str">
        <x:v>Not collected</x:v>
      </x:c>
      <x:c r="B22" s="41" t="n">
        <x:v>20</x:v>
      </x:c>
      <x:c r="C22" s="40" t="str">
        <x:v>Place the upside-down white cup in the bowl.</x:v>
      </x:c>
      <x:c r="D22" s="40" t="str">
        <x:v>white cup A (C, UD); white cup B (C, RU)</x:v>
      </x:c>
      <x:c r="E22" s="41" t="str"/>
      <x:c r="F22" s="41" t="str">
        <x:v>35</x:v>
      </x:c>
      <x:c r="G22" s="40" t="str">
        <x:v>Physical-state and manipulation-trajectory reference under a direct category prompt; the evaluated state word × object-category cell is intentionally absent from training.</x:v>
      </x:c>
      <x:c r="H22" s="40" t="str">
        <x:v>white cup A</x:v>
      </x:c>
      <x:c r="I22" s="40" t="str"/>
      <x:c r="J22" s="45" t="str">
        <x:v>Concept/compositional transfer</x:v>
      </x:c>
      <x:c r="K22" s="41" t="str">
        <x:v>SR-CT01</x:v>
      </x:c>
      <x:c r="L22" s="41" t="str">
        <x:v>UD</x:v>
      </x:c>
      <x:c r="M22" s="41" t="str">
        <x:v>white cup</x:v>
      </x:c>
      <x:c r="N22" s="41" t="n">
        <x:v>2</x:v>
      </x:c>
      <x:c r="O22" s="41" t="n">
        <x:v>1</x:v>
      </x:c>
      <x:c r="P22" s="41" t="str">
        <x:v>Empty</x:v>
      </x:c>
      <x:c r="Q22" s="40" t="str">
        <x:v>Primary held-out state-object composition</x:v>
      </x:c>
      <x:c r="R22" s="41" t="n">
        <x:v>2</x:v>
      </x:c>
      <x:c r="S22" s="40" t="str">
        <x:v>Build the listed same-category discrimination scene with the bowl empty.</x:v>
      </x:c>
      <x:c r="T22" s="40" t="str">
        <x:v>Two same-category candidates share the non-queried state axis; only the held-out state word identifies the target.</x:v>
      </x:c>
      <x:c r="U22" s="40" t="str"/>
    </x:row>
    <x:row r="23" ht="51" customHeight="1">
      <x:c r="A23" s="32" t="str">
        <x:v>Not collected</x:v>
      </x:c>
      <x:c r="B23" s="34" t="n">
        <x:v>21</x:v>
      </x:c>
      <x:c r="C23" s="32" t="str">
        <x:v>Place the upright white cup in the bowl.</x:v>
      </x:c>
      <x:c r="D23" s="32" t="str">
        <x:v>white cup A (C, UD); white cup B (C, RU)</x:v>
      </x:c>
      <x:c r="E23" s="34" t="n">
        <x:v>20</x:v>
      </x:c>
      <x:c r="F23" s="34" t="str">
        <x:v>27</x:v>
      </x:c>
      <x:c r="G23" s="32" t="str">
        <x:v>Training-supported state-object cell for the control. The evaluation scene is shared exactly with the paired transfer row, while the physical layout is manually recreated.</x:v>
      </x:c>
      <x:c r="H23" s="32" t="str">
        <x:v>white cup B</x:v>
      </x:c>
      <x:c r="I23" s="32" t="str"/>
      <x:c r="J23" s="37" t="str">
        <x:v>Matched manipulation control</x:v>
      </x:c>
      <x:c r="K23" s="34" t="str">
        <x:v>SR-CT01</x:v>
      </x:c>
      <x:c r="L23" s="34" t="str">
        <x:v>RU</x:v>
      </x:c>
      <x:c r="M23" s="34" t="str">
        <x:v>white cup</x:v>
      </x:c>
      <x:c r="N23" s="34" t="n">
        <x:v>2</x:v>
      </x:c>
      <x:c r="O23" s="34" t="n">
        <x:v>1</x:v>
      </x:c>
      <x:c r="P23" s="34" t="str">
        <x:v>Empty</x:v>
      </x:c>
      <x:c r="Q23" s="32" t="str">
        <x:v>Exact-scene trained state-object counterfactual</x:v>
      </x:c>
      <x:c r="R23" s="34" t="n">
        <x:v>2</x:v>
      </x:c>
      <x:c r="S23" s="32" t="str">
        <x:v>Reset the moved object exactly; preserve every object and state; change only the prompt and expected target.</x:v>
      </x:c>
      <x:c r="T23" s="32" t="str">
        <x:v>The correct target switches to the other same-category instance. This cell is explicit in training and controls recognition/manipulation in the transfer scene.</x:v>
      </x:c>
      <x:c r="U23" s="32" t="str"/>
    </x:row>
    <x:row r="24" ht="51" customHeight="1">
      <x:c r="A24" s="31" t="str">
        <x:v>Not collected</x:v>
      </x:c>
      <x:c r="B24" s="33" t="n">
        <x:v>22</x:v>
      </x:c>
      <x:c r="C24" s="31" t="str">
        <x:v>Move the inverted white cup into the bowl.</x:v>
      </x:c>
      <x:c r="D24" s="31" t="str">
        <x:v>white cup A (C, UD); white cup B (C, RU)</x:v>
      </x:c>
      <x:c r="E24" s="33" t="n">
        <x:v>20</x:v>
      </x:c>
      <x:c r="F24" s="33" t="str">
        <x:v>35</x:v>
      </x:c>
      <x:c r="G24" s="31" t="str">
        <x:v>The canonical transfer scene and masked trajectory reference are unchanged; only the evaluation wording is paraphrased. This remains a language diagnostic and is not pooled into the primary 50.</x:v>
      </x:c>
      <x:c r="H24" s="31" t="str">
        <x:v>white cup A</x:v>
      </x:c>
      <x:c r="I24" s="31" t="str"/>
      <x:c r="J24" s="38" t="str">
        <x:v>Language robustness</x:v>
      </x:c>
      <x:c r="K24" s="33" t="str">
        <x:v>SR-CT01</x:v>
      </x:c>
      <x:c r="L24" s="33" t="str">
        <x:v>UD</x:v>
      </x:c>
      <x:c r="M24" s="33" t="str">
        <x:v>white cup</x:v>
      </x:c>
      <x:c r="N24" s="33" t="n">
        <x:v>2</x:v>
      </x:c>
      <x:c r="O24" s="33" t="n">
        <x:v>1</x:v>
      </x:c>
      <x:c r="P24" s="33" t="str">
        <x:v>Empty</x:v>
      </x:c>
      <x:c r="Q24" s="31" t="str">
        <x:v>Primary compositional-transfer prompt paraphrase</x:v>
      </x:c>
      <x:c r="R24" s="33" t="n">
        <x:v>2</x:v>
      </x:c>
      <x:c r="S24" s="31" t="str">
        <x:v>Reset the moved object exactly; preserve every object and state; change only the prompt wording.</x:v>
      </x:c>
      <x:c r="T24" s="31" t="str">
        <x:v>Exact-scene paraphrase of one of the 50 canonical compositional-transfer trials.</x:v>
      </x:c>
      <x:c r="U24" s="31" t="str"/>
    </x:row>
    <x:row r="25" ht="51" customHeight="1">
      <x:c r="A25" s="32" t="str">
        <x:v>Not collected</x:v>
      </x:c>
      <x:c r="B25" s="34" t="n">
        <x:v>23</x:v>
      </x:c>
      <x:c r="C25" s="32" t="str">
        <x:v>Move the right-side-up white cup into the bowl.</x:v>
      </x:c>
      <x:c r="D25" s="32" t="str">
        <x:v>white cup A (C, UD); white cup B (C, RU)</x:v>
      </x:c>
      <x:c r="E25" s="34" t="n">
        <x:v>21</x:v>
      </x:c>
      <x:c r="F25" s="34" t="str">
        <x:v>27</x:v>
      </x:c>
      <x:c r="G25" s="32" t="str">
        <x:v>Canonical matched-control cell is training-supported; evaluation wording is paraphrased. No held-out composition is used.</x:v>
      </x:c>
      <x:c r="H25" s="32" t="str">
        <x:v>white cup B</x:v>
      </x:c>
      <x:c r="I25" s="32" t="str"/>
      <x:c r="J25" s="38" t="str">
        <x:v>Language robustness</x:v>
      </x:c>
      <x:c r="K25" s="34" t="str">
        <x:v>SR-CT01</x:v>
      </x:c>
      <x:c r="L25" s="34" t="str">
        <x:v>RU</x:v>
      </x:c>
      <x:c r="M25" s="34" t="str">
        <x:v>white cup</x:v>
      </x:c>
      <x:c r="N25" s="34" t="n">
        <x:v>2</x:v>
      </x:c>
      <x:c r="O25" s="34" t="n">
        <x:v>1</x:v>
      </x:c>
      <x:c r="P25" s="34" t="str">
        <x:v>Empty</x:v>
      </x:c>
      <x:c r="Q25" s="32" t="str">
        <x:v>Matched-control state prompt paraphrase</x:v>
      </x:c>
      <x:c r="R25" s="34" t="n">
        <x:v>2</x:v>
      </x:c>
      <x:c r="S25" s="32" t="str">
        <x:v>Reset the moved object exactly; preserve the scene; change only the prompt wording.</x:v>
      </x:c>
      <x:c r="T25" s="32" t="str">
        <x:v>This is one of 10 language trials paired with a matched trained-state control.</x:v>
      </x:c>
      <x:c r="U25" s="32" t="str"/>
    </x:row>
    <x:row r="26" ht="51" customHeight="1">
      <x:c r="A26" s="40" t="str">
        <x:v>Not collected</x:v>
      </x:c>
      <x:c r="B26" s="41" t="n">
        <x:v>24</x:v>
      </x:c>
      <x:c r="C26" s="40" t="str">
        <x:v>Place the open yellow-white striped cup in the bowl.</x:v>
      </x:c>
      <x:c r="D26" s="40" t="str">
        <x:v>yellow-white striped cup B (O, RU); yellow-white striped cup A (C, RU); brown cup B (O, RU)</x:v>
      </x:c>
      <x:c r="E26" s="41" t="str"/>
      <x:c r="F26" s="41" t="str">
        <x:v>64</x:v>
      </x:c>
      <x:c r="G26" s="40" t="str">
        <x:v>Physical-state and manipulation-trajectory reference under a direct category prompt; the evaluated state word × object-category cell is intentionally absent from training.</x:v>
      </x:c>
      <x:c r="H26" s="40" t="str">
        <x:v>yellow-white striped cup B</x:v>
      </x:c>
      <x:c r="I26" s="40" t="str"/>
      <x:c r="J26" s="45" t="str">
        <x:v>Concept/compositional transfer</x:v>
      </x:c>
      <x:c r="K26" s="41" t="str">
        <x:v>SR-CT02</x:v>
      </x:c>
      <x:c r="L26" s="41" t="str">
        <x:v>O</x:v>
      </x:c>
      <x:c r="M26" s="41" t="str">
        <x:v>yellow-white striped cup</x:v>
      </x:c>
      <x:c r="N26" s="41" t="n">
        <x:v>3</x:v>
      </x:c>
      <x:c r="O26" s="41" t="n">
        <x:v>1</x:v>
      </x:c>
      <x:c r="P26" s="41" t="str">
        <x:v>Empty</x:v>
      </x:c>
      <x:c r="Q26" s="40" t="str">
        <x:v>Primary held-out state-object composition</x:v>
      </x:c>
      <x:c r="R26" s="41" t="n">
        <x:v>2</x:v>
      </x:c>
      <x:c r="S26" s="40" t="str">
        <x:v>Build the listed same-category discrimination scene with the bowl empty.</x:v>
      </x:c>
      <x:c r="T26" s="40" t="str">
        <x:v>Two same-category candidates share the non-queried state axis; only the held-out state word identifies the target.</x:v>
      </x:c>
      <x:c r="U26" s="40" t="str"/>
    </x:row>
    <x:row r="27" ht="51" customHeight="1">
      <x:c r="A27" s="32" t="str">
        <x:v>Not collected</x:v>
      </x:c>
      <x:c r="B27" s="34" t="n">
        <x:v>25</x:v>
      </x:c>
      <x:c r="C27" s="32" t="str">
        <x:v>Place the closed yellow-white striped cup in the bowl.</x:v>
      </x:c>
      <x:c r="D27" s="32" t="str">
        <x:v>yellow-white striped cup B (O, RU); yellow-white striped cup A (C, RU); brown cup B (O, RU)</x:v>
      </x:c>
      <x:c r="E27" s="34" t="n">
        <x:v>24</x:v>
      </x:c>
      <x:c r="F27" s="34" t="str">
        <x:v>55</x:v>
      </x:c>
      <x:c r="G27" s="32" t="str">
        <x:v>Training-supported state-object cell for the control. The evaluation scene is shared exactly with the paired transfer row, while the physical layout is manually recreated.</x:v>
      </x:c>
      <x:c r="H27" s="32" t="str">
        <x:v>yellow-white striped cup A</x:v>
      </x:c>
      <x:c r="I27" s="32" t="str"/>
      <x:c r="J27" s="37" t="str">
        <x:v>Matched manipulation control</x:v>
      </x:c>
      <x:c r="K27" s="34" t="str">
        <x:v>SR-CT02</x:v>
      </x:c>
      <x:c r="L27" s="34" t="str">
        <x:v>C</x:v>
      </x:c>
      <x:c r="M27" s="34" t="str">
        <x:v>yellow-white striped cup</x:v>
      </x:c>
      <x:c r="N27" s="34" t="n">
        <x:v>3</x:v>
      </x:c>
      <x:c r="O27" s="34" t="n">
        <x:v>1</x:v>
      </x:c>
      <x:c r="P27" s="34" t="str">
        <x:v>Empty</x:v>
      </x:c>
      <x:c r="Q27" s="32" t="str">
        <x:v>Exact-scene trained state-object counterfactual</x:v>
      </x:c>
      <x:c r="R27" s="34" t="n">
        <x:v>2</x:v>
      </x:c>
      <x:c r="S27" s="32" t="str">
        <x:v>Reset the moved object exactly; preserve every object and state; change only the prompt and expected target.</x:v>
      </x:c>
      <x:c r="T27" s="32" t="str">
        <x:v>The correct target switches to the other same-category instance. This cell is explicit in training and controls recognition/manipulation in the transfer scene.</x:v>
      </x:c>
      <x:c r="U27" s="32" t="str"/>
    </x:row>
    <x:row r="28" ht="51" customHeight="1">
      <x:c r="A28" s="31" t="str">
        <x:v>Not collected</x:v>
      </x:c>
      <x:c r="B28" s="33" t="n">
        <x:v>26</x:v>
      </x:c>
      <x:c r="C28" s="31" t="str">
        <x:v>Move the yellow-white striped cup whose opening is uncovered into the bowl.</x:v>
      </x:c>
      <x:c r="D28" s="31" t="str">
        <x:v>yellow-white striped cup B (O, RU); yellow-white striped cup A (C, RU); brown cup B (O, RU)</x:v>
      </x:c>
      <x:c r="E28" s="33" t="n">
        <x:v>24</x:v>
      </x:c>
      <x:c r="F28" s="33" t="str">
        <x:v>64</x:v>
      </x:c>
      <x:c r="G28" s="31" t="str">
        <x:v>The canonical transfer scene and masked trajectory reference are unchanged; only the evaluation wording is paraphrased. This remains a language diagnostic and is not pooled into the primary 50.</x:v>
      </x:c>
      <x:c r="H28" s="31" t="str">
        <x:v>yellow-white striped cup B</x:v>
      </x:c>
      <x:c r="I28" s="31" t="str"/>
      <x:c r="J28" s="38" t="str">
        <x:v>Language robustness</x:v>
      </x:c>
      <x:c r="K28" s="33" t="str">
        <x:v>SR-CT02</x:v>
      </x:c>
      <x:c r="L28" s="33" t="str">
        <x:v>O</x:v>
      </x:c>
      <x:c r="M28" s="33" t="str">
        <x:v>yellow-white striped cup</x:v>
      </x:c>
      <x:c r="N28" s="33" t="n">
        <x:v>3</x:v>
      </x:c>
      <x:c r="O28" s="33" t="n">
        <x:v>1</x:v>
      </x:c>
      <x:c r="P28" s="33" t="str">
        <x:v>Empty</x:v>
      </x:c>
      <x:c r="Q28" s="31" t="str">
        <x:v>Primary compositional-transfer prompt paraphrase</x:v>
      </x:c>
      <x:c r="R28" s="33" t="n">
        <x:v>2</x:v>
      </x:c>
      <x:c r="S28" s="31" t="str">
        <x:v>Reset the moved object exactly; preserve every object and state; change only the prompt wording.</x:v>
      </x:c>
      <x:c r="T28" s="31" t="str">
        <x:v>Exact-scene paraphrase of one of the 50 canonical compositional-transfer trials.</x:v>
      </x:c>
      <x:c r="U28" s="31" t="str"/>
    </x:row>
    <x:row r="29" ht="51" customHeight="1">
      <x:c r="A29" s="32" t="str">
        <x:v>Not collected</x:v>
      </x:c>
      <x:c r="B29" s="34" t="n">
        <x:v>27</x:v>
      </x:c>
      <x:c r="C29" s="32" t="str">
        <x:v>Move the yellow-white striped cup whose opening is covered into the bowl.</x:v>
      </x:c>
      <x:c r="D29" s="32" t="str">
        <x:v>yellow-white striped cup B (O, RU); yellow-white striped cup A (C, RU); brown cup B (O, RU)</x:v>
      </x:c>
      <x:c r="E29" s="34" t="n">
        <x:v>25</x:v>
      </x:c>
      <x:c r="F29" s="34" t="str">
        <x:v>55</x:v>
      </x:c>
      <x:c r="G29" s="32" t="str">
        <x:v>Canonical matched-control cell is training-supported; evaluation wording is paraphrased. No held-out composition is used.</x:v>
      </x:c>
      <x:c r="H29" s="32" t="str">
        <x:v>yellow-white striped cup A</x:v>
      </x:c>
      <x:c r="I29" s="32" t="str"/>
      <x:c r="J29" s="38" t="str">
        <x:v>Language robustness</x:v>
      </x:c>
      <x:c r="K29" s="34" t="str">
        <x:v>SR-CT02</x:v>
      </x:c>
      <x:c r="L29" s="34" t="str">
        <x:v>C</x:v>
      </x:c>
      <x:c r="M29" s="34" t="str">
        <x:v>yellow-white striped cup</x:v>
      </x:c>
      <x:c r="N29" s="34" t="n">
        <x:v>3</x:v>
      </x:c>
      <x:c r="O29" s="34" t="n">
        <x:v>1</x:v>
      </x:c>
      <x:c r="P29" s="34" t="str">
        <x:v>Empty</x:v>
      </x:c>
      <x:c r="Q29" s="32" t="str">
        <x:v>Matched-control state prompt paraphrase</x:v>
      </x:c>
      <x:c r="R29" s="34" t="n">
        <x:v>2</x:v>
      </x:c>
      <x:c r="S29" s="32" t="str">
        <x:v>Reset the moved object exactly; preserve the scene; change only the prompt wording.</x:v>
      </x:c>
      <x:c r="T29" s="32" t="str">
        <x:v>This is one of 10 language trials paired with a matched trained-state control.</x:v>
      </x:c>
      <x:c r="U29" s="32" t="str"/>
    </x:row>
    <x:row r="30" ht="51" customHeight="1">
      <x:c r="A30" s="40" t="str">
        <x:v>Not collected</x:v>
      </x:c>
      <x:c r="B30" s="41" t="n">
        <x:v>28</x:v>
      </x:c>
      <x:c r="C30" s="40" t="str">
        <x:v>Place the closed brown cup in the bowl.</x:v>
      </x:c>
      <x:c r="D30" s="40" t="str">
        <x:v>brown cup A (C, RU); brown cup B (O, RU); glass spice container A (C, UD); white cup B (O, UD)</x:v>
      </x:c>
      <x:c r="E30" s="41" t="str"/>
      <x:c r="F30" s="41" t="str">
        <x:v>100</x:v>
      </x:c>
      <x:c r="G30" s="40" t="str">
        <x:v>Physical-state and manipulation-trajectory reference under a direct category prompt; the evaluated state word × object-category cell is intentionally absent from training.</x:v>
      </x:c>
      <x:c r="H30" s="40" t="str">
        <x:v>brown cup A</x:v>
      </x:c>
      <x:c r="I30" s="40" t="str"/>
      <x:c r="J30" s="45" t="str">
        <x:v>Concept/compositional transfer</x:v>
      </x:c>
      <x:c r="K30" s="41" t="str">
        <x:v>SR-CT03</x:v>
      </x:c>
      <x:c r="L30" s="41" t="str">
        <x:v>C</x:v>
      </x:c>
      <x:c r="M30" s="41" t="str">
        <x:v>brown cup</x:v>
      </x:c>
      <x:c r="N30" s="41" t="n">
        <x:v>4</x:v>
      </x:c>
      <x:c r="O30" s="41" t="n">
        <x:v>1</x:v>
      </x:c>
      <x:c r="P30" s="41" t="str">
        <x:v>Empty</x:v>
      </x:c>
      <x:c r="Q30" s="40" t="str">
        <x:v>Primary held-out state-object composition</x:v>
      </x:c>
      <x:c r="R30" s="41" t="n">
        <x:v>2</x:v>
      </x:c>
      <x:c r="S30" s="40" t="str">
        <x:v>Build the listed same-category discrimination scene with the bowl empty.</x:v>
      </x:c>
      <x:c r="T30" s="40" t="str">
        <x:v>Two same-category candidates share the non-queried state axis; only the held-out state word identifies the target.</x:v>
      </x:c>
      <x:c r="U30" s="40" t="str"/>
    </x:row>
    <x:row r="31" ht="51" customHeight="1">
      <x:c r="A31" s="32" t="str">
        <x:v>Not collected</x:v>
      </x:c>
      <x:c r="B31" s="34" t="n">
        <x:v>29</x:v>
      </x:c>
      <x:c r="C31" s="32" t="str">
        <x:v>Place the open brown cup in the bowl.</x:v>
      </x:c>
      <x:c r="D31" s="32" t="str">
        <x:v>brown cup A (C, RU); brown cup B (O, RU); glass spice container A (C, UD); white cup B (O, UD)</x:v>
      </x:c>
      <x:c r="E31" s="34" t="n">
        <x:v>28</x:v>
      </x:c>
      <x:c r="F31" s="34" t="str">
        <x:v>104</x:v>
      </x:c>
      <x:c r="G31" s="32" t="str">
        <x:v>Training-supported state-object cell for the control. The evaluation scene is shared exactly with the paired transfer row, while the physical layout is manually recreated.</x:v>
      </x:c>
      <x:c r="H31" s="32" t="str">
        <x:v>brown cup B</x:v>
      </x:c>
      <x:c r="I31" s="32" t="str"/>
      <x:c r="J31" s="37" t="str">
        <x:v>Matched manipulation control</x:v>
      </x:c>
      <x:c r="K31" s="34" t="str">
        <x:v>SR-CT03</x:v>
      </x:c>
      <x:c r="L31" s="34" t="str">
        <x:v>O</x:v>
      </x:c>
      <x:c r="M31" s="34" t="str">
        <x:v>brown cup</x:v>
      </x:c>
      <x:c r="N31" s="34" t="n">
        <x:v>4</x:v>
      </x:c>
      <x:c r="O31" s="34" t="n">
        <x:v>1</x:v>
      </x:c>
      <x:c r="P31" s="34" t="str">
        <x:v>Empty</x:v>
      </x:c>
      <x:c r="Q31" s="32" t="str">
        <x:v>Exact-scene trained state-object counterfactual</x:v>
      </x:c>
      <x:c r="R31" s="34" t="n">
        <x:v>2</x:v>
      </x:c>
      <x:c r="S31" s="32" t="str">
        <x:v>Reset the moved object exactly; preserve every object and state; change only the prompt and expected target.</x:v>
      </x:c>
      <x:c r="T31" s="32" t="str">
        <x:v>The correct target switches to the other same-category instance. This cell is explicit in training and controls recognition/manipulation in the transfer scene.</x:v>
      </x:c>
      <x:c r="U31" s="32" t="str"/>
    </x:row>
    <x:row r="32" ht="51" customHeight="1">
      <x:c r="A32" s="31" t="str">
        <x:v>Not collected</x:v>
      </x:c>
      <x:c r="B32" s="33" t="n">
        <x:v>30</x:v>
      </x:c>
      <x:c r="C32" s="31" t="str">
        <x:v>Move the brown cup whose opening is covered into the bowl.</x:v>
      </x:c>
      <x:c r="D32" s="31" t="str">
        <x:v>brown cup A (C, RU); brown cup B (O, RU); glass spice container A (C, UD); white cup B (O, UD)</x:v>
      </x:c>
      <x:c r="E32" s="33" t="n">
        <x:v>28</x:v>
      </x:c>
      <x:c r="F32" s="33" t="str">
        <x:v>100</x:v>
      </x:c>
      <x:c r="G32" s="31" t="str">
        <x:v>The canonical transfer scene and masked trajectory reference are unchanged; only the evaluation wording is paraphrased. This remains a language diagnostic and is not pooled into the primary 50.</x:v>
      </x:c>
      <x:c r="H32" s="31" t="str">
        <x:v>brown cup A</x:v>
      </x:c>
      <x:c r="I32" s="31" t="str"/>
      <x:c r="J32" s="38" t="str">
        <x:v>Language robustness</x:v>
      </x:c>
      <x:c r="K32" s="33" t="str">
        <x:v>SR-CT03</x:v>
      </x:c>
      <x:c r="L32" s="33" t="str">
        <x:v>C</x:v>
      </x:c>
      <x:c r="M32" s="33" t="str">
        <x:v>brown cup</x:v>
      </x:c>
      <x:c r="N32" s="33" t="n">
        <x:v>4</x:v>
      </x:c>
      <x:c r="O32" s="33" t="n">
        <x:v>1</x:v>
      </x:c>
      <x:c r="P32" s="33" t="str">
        <x:v>Empty</x:v>
      </x:c>
      <x:c r="Q32" s="31" t="str">
        <x:v>Primary compositional-transfer prompt paraphrase</x:v>
      </x:c>
      <x:c r="R32" s="33" t="n">
        <x:v>2</x:v>
      </x:c>
      <x:c r="S32" s="31" t="str">
        <x:v>Reset the moved object exactly; preserve every object and state; change only the prompt wording.</x:v>
      </x:c>
      <x:c r="T32" s="31" t="str">
        <x:v>Exact-scene paraphrase of one of the 50 canonical compositional-transfer trials.</x:v>
      </x:c>
      <x:c r="U32" s="31" t="str"/>
    </x:row>
    <x:row r="33" ht="51" customHeight="1">
      <x:c r="A33" s="32" t="str">
        <x:v>Not collected</x:v>
      </x:c>
      <x:c r="B33" s="34" t="n">
        <x:v>31</x:v>
      </x:c>
      <x:c r="C33" s="32" t="str">
        <x:v>Move the brown cup whose opening is uncovered into the bowl.</x:v>
      </x:c>
      <x:c r="D33" s="32" t="str">
        <x:v>brown cup A (C, RU); brown cup B (O, RU); glass spice container A (C, UD); white cup B (O, UD)</x:v>
      </x:c>
      <x:c r="E33" s="34" t="n">
        <x:v>29</x:v>
      </x:c>
      <x:c r="F33" s="34" t="str">
        <x:v>104</x:v>
      </x:c>
      <x:c r="G33" s="32" t="str">
        <x:v>Canonical matched-control cell is training-supported; evaluation wording is paraphrased. No held-out composition is used.</x:v>
      </x:c>
      <x:c r="H33" s="32" t="str">
        <x:v>brown cup B</x:v>
      </x:c>
      <x:c r="I33" s="32" t="str"/>
      <x:c r="J33" s="38" t="str">
        <x:v>Language robustness</x:v>
      </x:c>
      <x:c r="K33" s="34" t="str">
        <x:v>SR-CT03</x:v>
      </x:c>
      <x:c r="L33" s="34" t="str">
        <x:v>O</x:v>
      </x:c>
      <x:c r="M33" s="34" t="str">
        <x:v>brown cup</x:v>
      </x:c>
      <x:c r="N33" s="34" t="n">
        <x:v>4</x:v>
      </x:c>
      <x:c r="O33" s="34" t="n">
        <x:v>1</x:v>
      </x:c>
      <x:c r="P33" s="34" t="str">
        <x:v>Empty</x:v>
      </x:c>
      <x:c r="Q33" s="32" t="str">
        <x:v>Matched-control state prompt paraphrase</x:v>
      </x:c>
      <x:c r="R33" s="34" t="n">
        <x:v>2</x:v>
      </x:c>
      <x:c r="S33" s="32" t="str">
        <x:v>Reset the moved object exactly; preserve the scene; change only the prompt wording.</x:v>
      </x:c>
      <x:c r="T33" s="32" t="str">
        <x:v>This is one of 10 language trials paired with a matched trained-state control.</x:v>
      </x:c>
      <x:c r="U33" s="32" t="str"/>
    </x:row>
    <x:row r="34" ht="51" customHeight="1">
      <x:c r="A34" s="40" t="str">
        <x:v>Not collected</x:v>
      </x:c>
      <x:c r="B34" s="41" t="n">
        <x:v>32</x:v>
      </x:c>
      <x:c r="C34" s="40" t="str">
        <x:v>Place the upright glass spice container in the bowl.</x:v>
      </x:c>
      <x:c r="D34" s="40" t="str">
        <x:v>glass spice container B (C, RU); glass spice container A (C, UD)</x:v>
      </x:c>
      <x:c r="E34" s="41" t="str"/>
      <x:c r="F34" s="41" t="str">
        <x:v>169</x:v>
      </x:c>
      <x:c r="G34" s="40" t="str">
        <x:v>Physical-state and manipulation-trajectory reference under a direct category prompt; the evaluated state word × object-category cell is intentionally absent from training.</x:v>
      </x:c>
      <x:c r="H34" s="40" t="str">
        <x:v>glass spice container B</x:v>
      </x:c>
      <x:c r="I34" s="40" t="str"/>
      <x:c r="J34" s="45" t="str">
        <x:v>Concept/compositional transfer</x:v>
      </x:c>
      <x:c r="K34" s="41" t="str">
        <x:v>SR-CT04</x:v>
      </x:c>
      <x:c r="L34" s="41" t="str">
        <x:v>RU</x:v>
      </x:c>
      <x:c r="M34" s="41" t="str">
        <x:v>glass spice container</x:v>
      </x:c>
      <x:c r="N34" s="41" t="n">
        <x:v>2</x:v>
      </x:c>
      <x:c r="O34" s="41" t="n">
        <x:v>1</x:v>
      </x:c>
      <x:c r="P34" s="41" t="str">
        <x:v>Empty</x:v>
      </x:c>
      <x:c r="Q34" s="40" t="str">
        <x:v>Primary held-out state-object composition</x:v>
      </x:c>
      <x:c r="R34" s="41" t="n">
        <x:v>2</x:v>
      </x:c>
      <x:c r="S34" s="40" t="str">
        <x:v>Build the listed same-category discrimination scene with the bowl empty.</x:v>
      </x:c>
      <x:c r="T34" s="40" t="str">
        <x:v>Two same-category candidates share the non-queried state axis; only the held-out state word identifies the target.</x:v>
      </x:c>
      <x:c r="U34" s="40" t="str"/>
    </x:row>
    <x:row r="35" ht="51" customHeight="1">
      <x:c r="A35" s="32" t="str">
        <x:v>Not collected</x:v>
      </x:c>
      <x:c r="B35" s="34" t="n">
        <x:v>33</x:v>
      </x:c>
      <x:c r="C35" s="32" t="str">
        <x:v>Place the upside-down glass spice container in the bowl.</x:v>
      </x:c>
      <x:c r="D35" s="32" t="str">
        <x:v>glass spice container B (C, RU); glass spice container A (C, UD)</x:v>
      </x:c>
      <x:c r="E35" s="34" t="n">
        <x:v>32</x:v>
      </x:c>
      <x:c r="F35" s="34" t="str">
        <x:v>177</x:v>
      </x:c>
      <x:c r="G35" s="32" t="str">
        <x:v>Training-supported state-object cell for the control. The evaluation scene is shared exactly with the paired transfer row, while the physical layout is manually recreated.</x:v>
      </x:c>
      <x:c r="H35" s="32" t="str">
        <x:v>glass spice container A</x:v>
      </x:c>
      <x:c r="I35" s="32" t="str"/>
      <x:c r="J35" s="37" t="str">
        <x:v>Matched manipulation control</x:v>
      </x:c>
      <x:c r="K35" s="34" t="str">
        <x:v>SR-CT04</x:v>
      </x:c>
      <x:c r="L35" s="34" t="str">
        <x:v>UD</x:v>
      </x:c>
      <x:c r="M35" s="34" t="str">
        <x:v>glass spice container</x:v>
      </x:c>
      <x:c r="N35" s="34" t="n">
        <x:v>2</x:v>
      </x:c>
      <x:c r="O35" s="34" t="n">
        <x:v>1</x:v>
      </x:c>
      <x:c r="P35" s="34" t="str">
        <x:v>Empty</x:v>
      </x:c>
      <x:c r="Q35" s="32" t="str">
        <x:v>Exact-scene trained state-object counterfactual</x:v>
      </x:c>
      <x:c r="R35" s="34" t="n">
        <x:v>2</x:v>
      </x:c>
      <x:c r="S35" s="32" t="str">
        <x:v>Reset the moved object exactly; preserve every object and state; change only the prompt and expected target.</x:v>
      </x:c>
      <x:c r="T35" s="32" t="str">
        <x:v>The correct target switches to the other same-category instance. This cell is explicit in training and controls recognition/manipulation in the transfer scene.</x:v>
      </x:c>
      <x:c r="U35" s="32" t="str"/>
    </x:row>
    <x:row r="36" ht="51" customHeight="1">
      <x:c r="A36" s="31" t="str">
        <x:v>Not collected</x:v>
      </x:c>
      <x:c r="B36" s="33" t="n">
        <x:v>34</x:v>
      </x:c>
      <x:c r="C36" s="31" t="str">
        <x:v>Move the right-side-up glass spice container into the bowl.</x:v>
      </x:c>
      <x:c r="D36" s="31" t="str">
        <x:v>glass spice container B (C, RU); glass spice container A (C, UD)</x:v>
      </x:c>
      <x:c r="E36" s="33" t="n">
        <x:v>32</x:v>
      </x:c>
      <x:c r="F36" s="33" t="str">
        <x:v>169</x:v>
      </x:c>
      <x:c r="G36" s="31" t="str">
        <x:v>The canonical transfer scene and masked trajectory reference are unchanged; only the evaluation wording is paraphrased. This remains a language diagnostic and is not pooled into the primary 50.</x:v>
      </x:c>
      <x:c r="H36" s="31" t="str">
        <x:v>glass spice container B</x:v>
      </x:c>
      <x:c r="I36" s="31" t="str"/>
      <x:c r="J36" s="38" t="str">
        <x:v>Language robustness</x:v>
      </x:c>
      <x:c r="K36" s="33" t="str">
        <x:v>SR-CT04</x:v>
      </x:c>
      <x:c r="L36" s="33" t="str">
        <x:v>RU</x:v>
      </x:c>
      <x:c r="M36" s="33" t="str">
        <x:v>glass spice container</x:v>
      </x:c>
      <x:c r="N36" s="33" t="n">
        <x:v>2</x:v>
      </x:c>
      <x:c r="O36" s="33" t="n">
        <x:v>1</x:v>
      </x:c>
      <x:c r="P36" s="33" t="str">
        <x:v>Empty</x:v>
      </x:c>
      <x:c r="Q36" s="31" t="str">
        <x:v>Primary compositional-transfer prompt paraphrase</x:v>
      </x:c>
      <x:c r="R36" s="33" t="n">
        <x:v>2</x:v>
      </x:c>
      <x:c r="S36" s="31" t="str">
        <x:v>Reset the moved object exactly; preserve every object and state; change only the prompt wording.</x:v>
      </x:c>
      <x:c r="T36" s="31" t="str">
        <x:v>Exact-scene paraphrase of one of the 50 canonical compositional-transfer trials.</x:v>
      </x:c>
      <x:c r="U36" s="31" t="str"/>
    </x:row>
    <x:row r="37" ht="51" customHeight="1">
      <x:c r="A37" s="32" t="str">
        <x:v>Not collected</x:v>
      </x:c>
      <x:c r="B37" s="34" t="n">
        <x:v>35</x:v>
      </x:c>
      <x:c r="C37" s="32" t="str">
        <x:v>Move the inverted glass spice container into the bowl.</x:v>
      </x:c>
      <x:c r="D37" s="32" t="str">
        <x:v>glass spice container B (C, RU); glass spice container A (C, UD)</x:v>
      </x:c>
      <x:c r="E37" s="34" t="n">
        <x:v>33</x:v>
      </x:c>
      <x:c r="F37" s="34" t="str">
        <x:v>177</x:v>
      </x:c>
      <x:c r="G37" s="32" t="str">
        <x:v>Canonical matched-control cell is training-supported; evaluation wording is paraphrased. No held-out composition is used.</x:v>
      </x:c>
      <x:c r="H37" s="32" t="str">
        <x:v>glass spice container A</x:v>
      </x:c>
      <x:c r="I37" s="32" t="str"/>
      <x:c r="J37" s="38" t="str">
        <x:v>Language robustness</x:v>
      </x:c>
      <x:c r="K37" s="34" t="str">
        <x:v>SR-CT04</x:v>
      </x:c>
      <x:c r="L37" s="34" t="str">
        <x:v>UD</x:v>
      </x:c>
      <x:c r="M37" s="34" t="str">
        <x:v>glass spice container</x:v>
      </x:c>
      <x:c r="N37" s="34" t="n">
        <x:v>2</x:v>
      </x:c>
      <x:c r="O37" s="34" t="n">
        <x:v>1</x:v>
      </x:c>
      <x:c r="P37" s="34" t="str">
        <x:v>Empty</x:v>
      </x:c>
      <x:c r="Q37" s="32" t="str">
        <x:v>Matched-control state prompt paraphrase</x:v>
      </x:c>
      <x:c r="R37" s="34" t="n">
        <x:v>2</x:v>
      </x:c>
      <x:c r="S37" s="32" t="str">
        <x:v>Reset the moved object exactly; preserve the scene; change only the prompt wording.</x:v>
      </x:c>
      <x:c r="T37" s="32" t="str">
        <x:v>This is one of 10 language trials paired with a matched trained-state control.</x:v>
      </x:c>
      <x:c r="U37" s="32" t="str"/>
    </x:row>
    <x:row r="38" ht="51" customHeight="1">
      <x:c r="A38" s="40" t="str">
        <x:v>Not collected</x:v>
      </x:c>
      <x:c r="B38" s="41" t="n">
        <x:v>36</x:v>
      </x:c>
      <x:c r="C38" s="40" t="str">
        <x:v>Place the upside-down white cup in the bowl.</x:v>
      </x:c>
      <x:c r="D38" s="40" t="str">
        <x:v>white cup A (O, UD); white cup B (O, RU); brown cup A (C, RU)</x:v>
      </x:c>
      <x:c r="E38" s="41" t="str"/>
      <x:c r="F38" s="41" t="str">
        <x:v>30</x:v>
      </x:c>
      <x:c r="G38" s="40" t="str">
        <x:v>Physical-state and manipulation-trajectory reference under a direct category prompt; the evaluated state word × object-category cell is intentionally absent from training.</x:v>
      </x:c>
      <x:c r="H38" s="40" t="str">
        <x:v>white cup A</x:v>
      </x:c>
      <x:c r="I38" s="40" t="str"/>
      <x:c r="J38" s="45" t="str">
        <x:v>Concept/compositional transfer</x:v>
      </x:c>
      <x:c r="K38" s="41" t="str">
        <x:v>SR-CT05</x:v>
      </x:c>
      <x:c r="L38" s="41" t="str">
        <x:v>UD</x:v>
      </x:c>
      <x:c r="M38" s="41" t="str">
        <x:v>white cup</x:v>
      </x:c>
      <x:c r="N38" s="41" t="n">
        <x:v>3</x:v>
      </x:c>
      <x:c r="O38" s="41" t="n">
        <x:v>1</x:v>
      </x:c>
      <x:c r="P38" s="41" t="str">
        <x:v>Empty</x:v>
      </x:c>
      <x:c r="Q38" s="40" t="str">
        <x:v>Primary held-out state-object composition</x:v>
      </x:c>
      <x:c r="R38" s="41" t="n">
        <x:v>2</x:v>
      </x:c>
      <x:c r="S38" s="40" t="str">
        <x:v>Build the listed same-category discrimination scene with the bowl empty.</x:v>
      </x:c>
      <x:c r="T38" s="40" t="str">
        <x:v>Two same-category candidates share the non-queried state axis; only the held-out state word identifies the target.</x:v>
      </x:c>
      <x:c r="U38" s="40" t="str"/>
    </x:row>
    <x:row r="39" ht="51" customHeight="1">
      <x:c r="A39" s="32" t="str">
        <x:v>Not collected</x:v>
      </x:c>
      <x:c r="B39" s="34" t="n">
        <x:v>37</x:v>
      </x:c>
      <x:c r="C39" s="32" t="str">
        <x:v>Place the upright white cup in the bowl.</x:v>
      </x:c>
      <x:c r="D39" s="32" t="str">
        <x:v>white cup A (O, UD); white cup B (O, RU); brown cup A (C, RU)</x:v>
      </x:c>
      <x:c r="E39" s="34" t="n">
        <x:v>36</x:v>
      </x:c>
      <x:c r="F39" s="34" t="str">
        <x:v>31</x:v>
      </x:c>
      <x:c r="G39" s="32" t="str">
        <x:v>Training-supported state-object cell for the control. The evaluation scene is shared exactly with the paired transfer row, while the physical layout is manually recreated.</x:v>
      </x:c>
      <x:c r="H39" s="32" t="str">
        <x:v>white cup B</x:v>
      </x:c>
      <x:c r="I39" s="32" t="str"/>
      <x:c r="J39" s="37" t="str">
        <x:v>Matched manipulation control</x:v>
      </x:c>
      <x:c r="K39" s="34" t="str">
        <x:v>SR-CT05</x:v>
      </x:c>
      <x:c r="L39" s="34" t="str">
        <x:v>RU</x:v>
      </x:c>
      <x:c r="M39" s="34" t="str">
        <x:v>white cup</x:v>
      </x:c>
      <x:c r="N39" s="34" t="n">
        <x:v>3</x:v>
      </x:c>
      <x:c r="O39" s="34" t="n">
        <x:v>1</x:v>
      </x:c>
      <x:c r="P39" s="34" t="str">
        <x:v>Empty</x:v>
      </x:c>
      <x:c r="Q39" s="32" t="str">
        <x:v>Exact-scene trained state-object counterfactual</x:v>
      </x:c>
      <x:c r="R39" s="34" t="n">
        <x:v>2</x:v>
      </x:c>
      <x:c r="S39" s="32" t="str">
        <x:v>Reset the moved object exactly; preserve every object and state; change only the prompt and expected target.</x:v>
      </x:c>
      <x:c r="T39" s="32" t="str">
        <x:v>The correct target switches to the other same-category instance. This cell is explicit in training and controls recognition/manipulation in the transfer scene.</x:v>
      </x:c>
      <x:c r="U39" s="32" t="str"/>
    </x:row>
    <x:row r="40" ht="51" customHeight="1">
      <x:c r="A40" s="31" t="str">
        <x:v>Not collected</x:v>
      </x:c>
      <x:c r="B40" s="33" t="n">
        <x:v>38</x:v>
      </x:c>
      <x:c r="C40" s="31" t="str">
        <x:v>Move the inverted white cup into the bowl.</x:v>
      </x:c>
      <x:c r="D40" s="31" t="str">
        <x:v>white cup A (O, UD); white cup B (O, RU); brown cup A (C, RU)</x:v>
      </x:c>
      <x:c r="E40" s="33" t="n">
        <x:v>36</x:v>
      </x:c>
      <x:c r="F40" s="33" t="str">
        <x:v>30</x:v>
      </x:c>
      <x:c r="G40" s="31" t="str">
        <x:v>The canonical transfer scene and masked trajectory reference are unchanged; only the evaluation wording is paraphrased. This remains a language diagnostic and is not pooled into the primary 50.</x:v>
      </x:c>
      <x:c r="H40" s="31" t="str">
        <x:v>white cup A</x:v>
      </x:c>
      <x:c r="I40" s="31" t="str"/>
      <x:c r="J40" s="38" t="str">
        <x:v>Language robustness</x:v>
      </x:c>
      <x:c r="K40" s="33" t="str">
        <x:v>SR-CT05</x:v>
      </x:c>
      <x:c r="L40" s="33" t="str">
        <x:v>UD</x:v>
      </x:c>
      <x:c r="M40" s="33" t="str">
        <x:v>white cup</x:v>
      </x:c>
      <x:c r="N40" s="33" t="n">
        <x:v>3</x:v>
      </x:c>
      <x:c r="O40" s="33" t="n">
        <x:v>1</x:v>
      </x:c>
      <x:c r="P40" s="33" t="str">
        <x:v>Empty</x:v>
      </x:c>
      <x:c r="Q40" s="31" t="str">
        <x:v>Primary compositional-transfer prompt paraphrase</x:v>
      </x:c>
      <x:c r="R40" s="33" t="n">
        <x:v>2</x:v>
      </x:c>
      <x:c r="S40" s="31" t="str">
        <x:v>Reset the moved object exactly; preserve every object and state; change only the prompt wording.</x:v>
      </x:c>
      <x:c r="T40" s="31" t="str">
        <x:v>Exact-scene paraphrase of one of the 50 canonical compositional-transfer trials.</x:v>
      </x:c>
      <x:c r="U40" s="31" t="str"/>
    </x:row>
    <x:row r="41" ht="51" customHeight="1">
      <x:c r="A41" s="32" t="str">
        <x:v>Not collected</x:v>
      </x:c>
      <x:c r="B41" s="34" t="n">
        <x:v>39</x:v>
      </x:c>
      <x:c r="C41" s="32" t="str">
        <x:v>Move the right-side-up white cup into the bowl.</x:v>
      </x:c>
      <x:c r="D41" s="32" t="str">
        <x:v>white cup A (O, UD); white cup B (O, RU); brown cup A (C, RU)</x:v>
      </x:c>
      <x:c r="E41" s="34" t="n">
        <x:v>37</x:v>
      </x:c>
      <x:c r="F41" s="34" t="str">
        <x:v>31</x:v>
      </x:c>
      <x:c r="G41" s="32" t="str">
        <x:v>Canonical matched-control cell is training-supported; evaluation wording is paraphrased. No held-out composition is used.</x:v>
      </x:c>
      <x:c r="H41" s="32" t="str">
        <x:v>white cup B</x:v>
      </x:c>
      <x:c r="I41" s="32" t="str"/>
      <x:c r="J41" s="38" t="str">
        <x:v>Language robustness</x:v>
      </x:c>
      <x:c r="K41" s="34" t="str">
        <x:v>SR-CT05</x:v>
      </x:c>
      <x:c r="L41" s="34" t="str">
        <x:v>RU</x:v>
      </x:c>
      <x:c r="M41" s="34" t="str">
        <x:v>white cup</x:v>
      </x:c>
      <x:c r="N41" s="34" t="n">
        <x:v>3</x:v>
      </x:c>
      <x:c r="O41" s="34" t="n">
        <x:v>1</x:v>
      </x:c>
      <x:c r="P41" s="34" t="str">
        <x:v>Empty</x:v>
      </x:c>
      <x:c r="Q41" s="32" t="str">
        <x:v>Matched-control state prompt paraphrase</x:v>
      </x:c>
      <x:c r="R41" s="34" t="n">
        <x:v>2</x:v>
      </x:c>
      <x:c r="S41" s="32" t="str">
        <x:v>Reset the moved object exactly; preserve the scene; change only the prompt wording.</x:v>
      </x:c>
      <x:c r="T41" s="32" t="str">
        <x:v>This is one of 10 language trials paired with a matched trained-state control.</x:v>
      </x:c>
      <x:c r="U41" s="32" t="str"/>
    </x:row>
    <x:row r="42" ht="51" customHeight="1">
      <x:c r="A42" s="40" t="str">
        <x:v>Not collected</x:v>
      </x:c>
      <x:c r="B42" s="41" t="n">
        <x:v>40</x:v>
      </x:c>
      <x:c r="C42" s="40" t="str">
        <x:v>Place the open yellow-white striped cup in the bowl.</x:v>
      </x:c>
      <x:c r="D42" s="40" t="str">
        <x:v>yellow-white striped cup B (O, UD); yellow-white striped cup A (C, UD); glass spice container B (O, RU); white cup A (C, UD)</x:v>
      </x:c>
      <x:c r="E42" s="41" t="str"/>
      <x:c r="F42" s="41" t="str">
        <x:v>53</x:v>
      </x:c>
      <x:c r="G42" s="40" t="str">
        <x:v>Physical-state and manipulation-trajectory reference under a direct category prompt; the evaluated state word × object-category cell is intentionally absent from training.</x:v>
      </x:c>
      <x:c r="H42" s="40" t="str">
        <x:v>yellow-white striped cup B</x:v>
      </x:c>
      <x:c r="I42" s="40" t="str"/>
      <x:c r="J42" s="45" t="str">
        <x:v>Concept/compositional transfer</x:v>
      </x:c>
      <x:c r="K42" s="41" t="str">
        <x:v>SR-CT06</x:v>
      </x:c>
      <x:c r="L42" s="41" t="str">
        <x:v>O</x:v>
      </x:c>
      <x:c r="M42" s="41" t="str">
        <x:v>yellow-white striped cup</x:v>
      </x:c>
      <x:c r="N42" s="41" t="n">
        <x:v>4</x:v>
      </x:c>
      <x:c r="O42" s="41" t="n">
        <x:v>1</x:v>
      </x:c>
      <x:c r="P42" s="41" t="str">
        <x:v>Empty</x:v>
      </x:c>
      <x:c r="Q42" s="40" t="str">
        <x:v>Primary held-out state-object composition</x:v>
      </x:c>
      <x:c r="R42" s="41" t="n">
        <x:v>2</x:v>
      </x:c>
      <x:c r="S42" s="40" t="str">
        <x:v>Build the listed same-category discrimination scene with the bowl empty.</x:v>
      </x:c>
      <x:c r="T42" s="40" t="str">
        <x:v>Two same-category candidates share the non-queried state axis; only the held-out state word identifies the target.</x:v>
      </x:c>
      <x:c r="U42" s="40" t="str"/>
    </x:row>
    <x:row r="43" ht="51" customHeight="1">
      <x:c r="A43" s="32" t="str">
        <x:v>Not collected</x:v>
      </x:c>
      <x:c r="B43" s="34" t="n">
        <x:v>41</x:v>
      </x:c>
      <x:c r="C43" s="32" t="str">
        <x:v>Place the closed yellow-white striped cup in the bowl.</x:v>
      </x:c>
      <x:c r="D43" s="32" t="str">
        <x:v>yellow-white striped cup B (O, UD); yellow-white striped cup A (C, UD); glass spice container B (O, RU); white cup A (C, UD)</x:v>
      </x:c>
      <x:c r="E43" s="34" t="n">
        <x:v>40</x:v>
      </x:c>
      <x:c r="F43" s="34" t="str">
        <x:v>61</x:v>
      </x:c>
      <x:c r="G43" s="32" t="str">
        <x:v>Training-supported state-object cell for the control. The evaluation scene is shared exactly with the paired transfer row, while the physical layout is manually recreated.</x:v>
      </x:c>
      <x:c r="H43" s="32" t="str">
        <x:v>yellow-white striped cup A</x:v>
      </x:c>
      <x:c r="I43" s="32" t="str"/>
      <x:c r="J43" s="37" t="str">
        <x:v>Matched manipulation control</x:v>
      </x:c>
      <x:c r="K43" s="34" t="str">
        <x:v>SR-CT06</x:v>
      </x:c>
      <x:c r="L43" s="34" t="str">
        <x:v>C</x:v>
      </x:c>
      <x:c r="M43" s="34" t="str">
        <x:v>yellow-white striped cup</x:v>
      </x:c>
      <x:c r="N43" s="34" t="n">
        <x:v>4</x:v>
      </x:c>
      <x:c r="O43" s="34" t="n">
        <x:v>1</x:v>
      </x:c>
      <x:c r="P43" s="34" t="str">
        <x:v>Empty</x:v>
      </x:c>
      <x:c r="Q43" s="32" t="str">
        <x:v>Exact-scene trained state-object counterfactual</x:v>
      </x:c>
      <x:c r="R43" s="34" t="n">
        <x:v>2</x:v>
      </x:c>
      <x:c r="S43" s="32" t="str">
        <x:v>Reset the moved object exactly; preserve every object and state; change only the prompt and expected target.</x:v>
      </x:c>
      <x:c r="T43" s="32" t="str">
        <x:v>The correct target switches to the other same-category instance. This cell is explicit in training and controls recognition/manipulation in the transfer scene.</x:v>
      </x:c>
      <x:c r="U43" s="32" t="str"/>
    </x:row>
    <x:row r="44" ht="51" customHeight="1">
      <x:c r="A44" s="31" t="str">
        <x:v>Not collected</x:v>
      </x:c>
      <x:c r="B44" s="33" t="n">
        <x:v>42</x:v>
      </x:c>
      <x:c r="C44" s="31" t="str">
        <x:v>Move the yellow-white striped cup whose opening is uncovered into the bowl.</x:v>
      </x:c>
      <x:c r="D44" s="31" t="str">
        <x:v>yellow-white striped cup B (O, UD); yellow-white striped cup A (C, UD); glass spice container B (O, RU); white cup A (C, UD)</x:v>
      </x:c>
      <x:c r="E44" s="33" t="n">
        <x:v>40</x:v>
      </x:c>
      <x:c r="F44" s="33" t="str">
        <x:v>53</x:v>
      </x:c>
      <x:c r="G44" s="31" t="str">
        <x:v>The canonical transfer scene and masked trajectory reference are unchanged; only the evaluation wording is paraphrased. This remains a language diagnostic and is not pooled into the primary 50.</x:v>
      </x:c>
      <x:c r="H44" s="31" t="str">
        <x:v>yellow-white striped cup B</x:v>
      </x:c>
      <x:c r="I44" s="31" t="str"/>
      <x:c r="J44" s="38" t="str">
        <x:v>Language robustness</x:v>
      </x:c>
      <x:c r="K44" s="33" t="str">
        <x:v>SR-CT06</x:v>
      </x:c>
      <x:c r="L44" s="33" t="str">
        <x:v>O</x:v>
      </x:c>
      <x:c r="M44" s="33" t="str">
        <x:v>yellow-white striped cup</x:v>
      </x:c>
      <x:c r="N44" s="33" t="n">
        <x:v>4</x:v>
      </x:c>
      <x:c r="O44" s="33" t="n">
        <x:v>1</x:v>
      </x:c>
      <x:c r="P44" s="33" t="str">
        <x:v>Empty</x:v>
      </x:c>
      <x:c r="Q44" s="31" t="str">
        <x:v>Primary compositional-transfer prompt paraphrase</x:v>
      </x:c>
      <x:c r="R44" s="33" t="n">
        <x:v>2</x:v>
      </x:c>
      <x:c r="S44" s="31" t="str">
        <x:v>Reset the moved object exactly; preserve every object and state; change only the prompt wording.</x:v>
      </x:c>
      <x:c r="T44" s="31" t="str">
        <x:v>Exact-scene paraphrase of one of the 50 canonical compositional-transfer trials.</x:v>
      </x:c>
      <x:c r="U44" s="31" t="str"/>
    </x:row>
    <x:row r="45" ht="51" customHeight="1">
      <x:c r="A45" s="32" t="str">
        <x:v>Not collected</x:v>
      </x:c>
      <x:c r="B45" s="34" t="n">
        <x:v>43</x:v>
      </x:c>
      <x:c r="C45" s="32" t="str">
        <x:v>Move the yellow-white striped cup whose opening is covered into the bowl.</x:v>
      </x:c>
      <x:c r="D45" s="32" t="str">
        <x:v>yellow-white striped cup B (O, UD); yellow-white striped cup A (C, UD); glass spice container B (O, RU); white cup A (C, UD)</x:v>
      </x:c>
      <x:c r="E45" s="34" t="n">
        <x:v>41</x:v>
      </x:c>
      <x:c r="F45" s="34" t="str">
        <x:v>61</x:v>
      </x:c>
      <x:c r="G45" s="32" t="str">
        <x:v>Canonical matched-control cell is training-supported; evaluation wording is paraphrased. No held-out composition is used.</x:v>
      </x:c>
      <x:c r="H45" s="32" t="str">
        <x:v>yellow-white striped cup A</x:v>
      </x:c>
      <x:c r="I45" s="32" t="str"/>
      <x:c r="J45" s="38" t="str">
        <x:v>Language robustness</x:v>
      </x:c>
      <x:c r="K45" s="34" t="str">
        <x:v>SR-CT06</x:v>
      </x:c>
      <x:c r="L45" s="34" t="str">
        <x:v>C</x:v>
      </x:c>
      <x:c r="M45" s="34" t="str">
        <x:v>yellow-white striped cup</x:v>
      </x:c>
      <x:c r="N45" s="34" t="n">
        <x:v>4</x:v>
      </x:c>
      <x:c r="O45" s="34" t="n">
        <x:v>1</x:v>
      </x:c>
      <x:c r="P45" s="34" t="str">
        <x:v>Empty</x:v>
      </x:c>
      <x:c r="Q45" s="32" t="str">
        <x:v>Matched-control state prompt paraphrase</x:v>
      </x:c>
      <x:c r="R45" s="34" t="n">
        <x:v>2</x:v>
      </x:c>
      <x:c r="S45" s="32" t="str">
        <x:v>Reset the moved object exactly; preserve the scene; change only the prompt wording.</x:v>
      </x:c>
      <x:c r="T45" s="32" t="str">
        <x:v>This is one of 10 language trials paired with a matched trained-state control.</x:v>
      </x:c>
      <x:c r="U45" s="32" t="str"/>
    </x:row>
    <x:row r="46" ht="51" customHeight="1">
      <x:c r="A46" s="40" t="str">
        <x:v>Not collected</x:v>
      </x:c>
      <x:c r="B46" s="41" t="n">
        <x:v>44</x:v>
      </x:c>
      <x:c r="C46" s="40" t="str">
        <x:v>Place the closed brown cup in the bowl.</x:v>
      </x:c>
      <x:c r="D46" s="40" t="str">
        <x:v>brown cup A (C, UD); brown cup B (O, UD)</x:v>
      </x:c>
      <x:c r="E46" s="41" t="str"/>
      <x:c r="F46" s="41" t="str">
        <x:v>107</x:v>
      </x:c>
      <x:c r="G46" s="40" t="str">
        <x:v>Physical-state and manipulation-trajectory reference under a direct category prompt; the evaluated state word × object-category cell is intentionally absent from training.</x:v>
      </x:c>
      <x:c r="H46" s="40" t="str">
        <x:v>brown cup A</x:v>
      </x:c>
      <x:c r="I46" s="40" t="str"/>
      <x:c r="J46" s="45" t="str">
        <x:v>Concept/compositional transfer</x:v>
      </x:c>
      <x:c r="K46" s="41" t="str">
        <x:v>SR-CT07</x:v>
      </x:c>
      <x:c r="L46" s="41" t="str">
        <x:v>C</x:v>
      </x:c>
      <x:c r="M46" s="41" t="str">
        <x:v>brown cup</x:v>
      </x:c>
      <x:c r="N46" s="41" t="n">
        <x:v>2</x:v>
      </x:c>
      <x:c r="O46" s="41" t="n">
        <x:v>1</x:v>
      </x:c>
      <x:c r="P46" s="41" t="str">
        <x:v>Empty</x:v>
      </x:c>
      <x:c r="Q46" s="40" t="str">
        <x:v>Primary held-out state-object composition</x:v>
      </x:c>
      <x:c r="R46" s="41" t="n">
        <x:v>2</x:v>
      </x:c>
      <x:c r="S46" s="40" t="str">
        <x:v>Build the listed same-category discrimination scene with the bowl empty.</x:v>
      </x:c>
      <x:c r="T46" s="40" t="str">
        <x:v>Two same-category candidates share the non-queried state axis; only the held-out state word identifies the target.</x:v>
      </x:c>
      <x:c r="U46" s="40" t="str"/>
    </x:row>
    <x:row r="47" ht="51" customHeight="1">
      <x:c r="A47" s="32" t="str">
        <x:v>Not collected</x:v>
      </x:c>
      <x:c r="B47" s="34" t="n">
        <x:v>45</x:v>
      </x:c>
      <x:c r="C47" s="32" t="str">
        <x:v>Place the open brown cup in the bowl.</x:v>
      </x:c>
      <x:c r="D47" s="32" t="str">
        <x:v>brown cup A (C, UD); brown cup B (O, UD)</x:v>
      </x:c>
      <x:c r="E47" s="34" t="n">
        <x:v>44</x:v>
      </x:c>
      <x:c r="F47" s="34" t="str">
        <x:v>106</x:v>
      </x:c>
      <x:c r="G47" s="32" t="str">
        <x:v>Training-supported state-object cell for the control. The evaluation scene is shared exactly with the paired transfer row, while the physical layout is manually recreated.</x:v>
      </x:c>
      <x:c r="H47" s="32" t="str">
        <x:v>brown cup B</x:v>
      </x:c>
      <x:c r="I47" s="32" t="str"/>
      <x:c r="J47" s="37" t="str">
        <x:v>Matched manipulation control</x:v>
      </x:c>
      <x:c r="K47" s="34" t="str">
        <x:v>SR-CT07</x:v>
      </x:c>
      <x:c r="L47" s="34" t="str">
        <x:v>O</x:v>
      </x:c>
      <x:c r="M47" s="34" t="str">
        <x:v>brown cup</x:v>
      </x:c>
      <x:c r="N47" s="34" t="n">
        <x:v>2</x:v>
      </x:c>
      <x:c r="O47" s="34" t="n">
        <x:v>1</x:v>
      </x:c>
      <x:c r="P47" s="34" t="str">
        <x:v>Empty</x:v>
      </x:c>
      <x:c r="Q47" s="32" t="str">
        <x:v>Exact-scene trained state-object counterfactual</x:v>
      </x:c>
      <x:c r="R47" s="34" t="n">
        <x:v>2</x:v>
      </x:c>
      <x:c r="S47" s="32" t="str">
        <x:v>Reset the moved object exactly; preserve every object and state; change only the prompt and expected target.</x:v>
      </x:c>
      <x:c r="T47" s="32" t="str">
        <x:v>The correct target switches to the other same-category instance. This cell is explicit in training and controls recognition/manipulation in the transfer scene.</x:v>
      </x:c>
      <x:c r="U47" s="32" t="str"/>
    </x:row>
    <x:row r="48" ht="51" customHeight="1">
      <x:c r="A48" s="31" t="str">
        <x:v>Not collected</x:v>
      </x:c>
      <x:c r="B48" s="33" t="n">
        <x:v>46</x:v>
      </x:c>
      <x:c r="C48" s="31" t="str">
        <x:v>Move the brown cup whose opening is covered into the bowl.</x:v>
      </x:c>
      <x:c r="D48" s="31" t="str">
        <x:v>brown cup A (C, UD); brown cup B (O, UD)</x:v>
      </x:c>
      <x:c r="E48" s="33" t="n">
        <x:v>44</x:v>
      </x:c>
      <x:c r="F48" s="33" t="str">
        <x:v>107</x:v>
      </x:c>
      <x:c r="G48" s="31" t="str">
        <x:v>The canonical transfer scene and masked trajectory reference are unchanged; only the evaluation wording is paraphrased. This remains a language diagnostic and is not pooled into the primary 50.</x:v>
      </x:c>
      <x:c r="H48" s="31" t="str">
        <x:v>brown cup A</x:v>
      </x:c>
      <x:c r="I48" s="31" t="str"/>
      <x:c r="J48" s="38" t="str">
        <x:v>Language robustness</x:v>
      </x:c>
      <x:c r="K48" s="33" t="str">
        <x:v>SR-CT07</x:v>
      </x:c>
      <x:c r="L48" s="33" t="str">
        <x:v>C</x:v>
      </x:c>
      <x:c r="M48" s="33" t="str">
        <x:v>brown cup</x:v>
      </x:c>
      <x:c r="N48" s="33" t="n">
        <x:v>2</x:v>
      </x:c>
      <x:c r="O48" s="33" t="n">
        <x:v>1</x:v>
      </x:c>
      <x:c r="P48" s="33" t="str">
        <x:v>Empty</x:v>
      </x:c>
      <x:c r="Q48" s="31" t="str">
        <x:v>Primary compositional-transfer prompt paraphrase</x:v>
      </x:c>
      <x:c r="R48" s="33" t="n">
        <x:v>2</x:v>
      </x:c>
      <x:c r="S48" s="31" t="str">
        <x:v>Reset the moved object exactly; preserve every object and state; change only the prompt wording.</x:v>
      </x:c>
      <x:c r="T48" s="31" t="str">
        <x:v>Exact-scene paraphrase of one of the 50 canonical compositional-transfer trials.</x:v>
      </x:c>
      <x:c r="U48" s="31" t="str"/>
    </x:row>
    <x:row r="49" ht="51" customHeight="1">
      <x:c r="A49" s="32" t="str">
        <x:v>Not collected</x:v>
      </x:c>
      <x:c r="B49" s="34" t="n">
        <x:v>47</x:v>
      </x:c>
      <x:c r="C49" s="32" t="str">
        <x:v>Move the brown cup whose opening is uncovered into the bowl.</x:v>
      </x:c>
      <x:c r="D49" s="32" t="str">
        <x:v>brown cup A (C, UD); brown cup B (O, UD)</x:v>
      </x:c>
      <x:c r="E49" s="34" t="n">
        <x:v>45</x:v>
      </x:c>
      <x:c r="F49" s="34" t="str">
        <x:v>106</x:v>
      </x:c>
      <x:c r="G49" s="32" t="str">
        <x:v>Canonical matched-control cell is training-supported; evaluation wording is paraphrased. No held-out composition is used.</x:v>
      </x:c>
      <x:c r="H49" s="32" t="str">
        <x:v>brown cup B</x:v>
      </x:c>
      <x:c r="I49" s="32" t="str"/>
      <x:c r="J49" s="38" t="str">
        <x:v>Language robustness</x:v>
      </x:c>
      <x:c r="K49" s="34" t="str">
        <x:v>SR-CT07</x:v>
      </x:c>
      <x:c r="L49" s="34" t="str">
        <x:v>O</x:v>
      </x:c>
      <x:c r="M49" s="34" t="str">
        <x:v>brown cup</x:v>
      </x:c>
      <x:c r="N49" s="34" t="n">
        <x:v>2</x:v>
      </x:c>
      <x:c r="O49" s="34" t="n">
        <x:v>1</x:v>
      </x:c>
      <x:c r="P49" s="34" t="str">
        <x:v>Empty</x:v>
      </x:c>
      <x:c r="Q49" s="32" t="str">
        <x:v>Matched-control state prompt paraphrase</x:v>
      </x:c>
      <x:c r="R49" s="34" t="n">
        <x:v>2</x:v>
      </x:c>
      <x:c r="S49" s="32" t="str">
        <x:v>Reset the moved object exactly; preserve the scene; change only the prompt wording.</x:v>
      </x:c>
      <x:c r="T49" s="32" t="str">
        <x:v>This is one of 10 language trials paired with a matched trained-state control.</x:v>
      </x:c>
      <x:c r="U49" s="32" t="str"/>
    </x:row>
    <x:row r="50" ht="51" customHeight="1">
      <x:c r="A50" s="40" t="str">
        <x:v>Not collected</x:v>
      </x:c>
      <x:c r="B50" s="41" t="n">
        <x:v>48</x:v>
      </x:c>
      <x:c r="C50" s="40" t="str">
        <x:v>Place the upright glass spice container in the bowl.</x:v>
      </x:c>
      <x:c r="D50" s="40" t="str">
        <x:v>glass spice container B (O, RU); glass spice container A (O, UD); yellow-white striped cup B (O, UD)</x:v>
      </x:c>
      <x:c r="E50" s="41" t="str"/>
      <x:c r="F50" s="41" t="str">
        <x:v>153</x:v>
      </x:c>
      <x:c r="G50" s="40" t="str">
        <x:v>Physical-state and manipulation-trajectory reference under a direct category prompt; the evaluated state word × object-category cell is intentionally absent from training.</x:v>
      </x:c>
      <x:c r="H50" s="40" t="str">
        <x:v>glass spice container B</x:v>
      </x:c>
      <x:c r="I50" s="40" t="str"/>
      <x:c r="J50" s="45" t="str">
        <x:v>Concept/compositional transfer</x:v>
      </x:c>
      <x:c r="K50" s="41" t="str">
        <x:v>SR-CT08</x:v>
      </x:c>
      <x:c r="L50" s="41" t="str">
        <x:v>RU</x:v>
      </x:c>
      <x:c r="M50" s="41" t="str">
        <x:v>glass spice container</x:v>
      </x:c>
      <x:c r="N50" s="41" t="n">
        <x:v>3</x:v>
      </x:c>
      <x:c r="O50" s="41" t="n">
        <x:v>1</x:v>
      </x:c>
      <x:c r="P50" s="41" t="str">
        <x:v>Empty</x:v>
      </x:c>
      <x:c r="Q50" s="40" t="str">
        <x:v>Primary held-out state-object composition</x:v>
      </x:c>
      <x:c r="R50" s="41" t="n">
        <x:v>2</x:v>
      </x:c>
      <x:c r="S50" s="40" t="str">
        <x:v>Build the listed same-category discrimination scene with the bowl empty.</x:v>
      </x:c>
      <x:c r="T50" s="40" t="str">
        <x:v>Two same-category candidates share the non-queried state axis; only the held-out state word identifies the target.</x:v>
      </x:c>
      <x:c r="U50" s="40" t="str"/>
    </x:row>
    <x:row r="51" ht="51" customHeight="1">
      <x:c r="A51" s="32" t="str">
        <x:v>Not collected</x:v>
      </x:c>
      <x:c r="B51" s="34" t="n">
        <x:v>49</x:v>
      </x:c>
      <x:c r="C51" s="32" t="str">
        <x:v>Place the upside-down glass spice container in the bowl.</x:v>
      </x:c>
      <x:c r="D51" s="32" t="str">
        <x:v>glass spice container B (O, RU); glass spice container A (O, UD); yellow-white striped cup B (O, UD)</x:v>
      </x:c>
      <x:c r="E51" s="34" t="n">
        <x:v>48</x:v>
      </x:c>
      <x:c r="F51" s="34" t="str">
        <x:v>181</x:v>
      </x:c>
      <x:c r="G51" s="32" t="str">
        <x:v>Training-supported state-object cell for the control. The evaluation scene is shared exactly with the paired transfer row, while the physical layout is manually recreated.</x:v>
      </x:c>
      <x:c r="H51" s="32" t="str">
        <x:v>glass spice container A</x:v>
      </x:c>
      <x:c r="I51" s="32" t="str"/>
      <x:c r="J51" s="37" t="str">
        <x:v>Matched manipulation control</x:v>
      </x:c>
      <x:c r="K51" s="34" t="str">
        <x:v>SR-CT08</x:v>
      </x:c>
      <x:c r="L51" s="34" t="str">
        <x:v>UD</x:v>
      </x:c>
      <x:c r="M51" s="34" t="str">
        <x:v>glass spice container</x:v>
      </x:c>
      <x:c r="N51" s="34" t="n">
        <x:v>3</x:v>
      </x:c>
      <x:c r="O51" s="34" t="n">
        <x:v>1</x:v>
      </x:c>
      <x:c r="P51" s="34" t="str">
        <x:v>Empty</x:v>
      </x:c>
      <x:c r="Q51" s="32" t="str">
        <x:v>Exact-scene trained state-object counterfactual</x:v>
      </x:c>
      <x:c r="R51" s="34" t="n">
        <x:v>2</x:v>
      </x:c>
      <x:c r="S51" s="32" t="str">
        <x:v>Reset the moved object exactly; preserve every object and state; change only the prompt and expected target.</x:v>
      </x:c>
      <x:c r="T51" s="32" t="str">
        <x:v>The correct target switches to the other same-category instance. This cell is explicit in training and controls recognition/manipulation in the transfer scene.</x:v>
      </x:c>
      <x:c r="U51" s="32" t="str"/>
    </x:row>
    <x:row r="52" ht="51" customHeight="1">
      <x:c r="A52" s="31" t="str">
        <x:v>Not collected</x:v>
      </x:c>
      <x:c r="B52" s="33" t="n">
        <x:v>50</x:v>
      </x:c>
      <x:c r="C52" s="31" t="str">
        <x:v>Move the right-side-up glass spice container into the bowl.</x:v>
      </x:c>
      <x:c r="D52" s="31" t="str">
        <x:v>glass spice container B (O, RU); glass spice container A (O, UD); yellow-white striped cup B (O, UD)</x:v>
      </x:c>
      <x:c r="E52" s="33" t="n">
        <x:v>48</x:v>
      </x:c>
      <x:c r="F52" s="33" t="str">
        <x:v>153</x:v>
      </x:c>
      <x:c r="G52" s="31" t="str">
        <x:v>The canonical transfer scene and masked trajectory reference are unchanged; only the evaluation wording is paraphrased. This remains a language diagnostic and is not pooled into the primary 50.</x:v>
      </x:c>
      <x:c r="H52" s="31" t="str">
        <x:v>glass spice container B</x:v>
      </x:c>
      <x:c r="I52" s="31" t="str"/>
      <x:c r="J52" s="38" t="str">
        <x:v>Language robustness</x:v>
      </x:c>
      <x:c r="K52" s="33" t="str">
        <x:v>SR-CT08</x:v>
      </x:c>
      <x:c r="L52" s="33" t="str">
        <x:v>RU</x:v>
      </x:c>
      <x:c r="M52" s="33" t="str">
        <x:v>glass spice container</x:v>
      </x:c>
      <x:c r="N52" s="33" t="n">
        <x:v>3</x:v>
      </x:c>
      <x:c r="O52" s="33" t="n">
        <x:v>1</x:v>
      </x:c>
      <x:c r="P52" s="33" t="str">
        <x:v>Empty</x:v>
      </x:c>
      <x:c r="Q52" s="31" t="str">
        <x:v>Primary compositional-transfer prompt paraphrase</x:v>
      </x:c>
      <x:c r="R52" s="33" t="n">
        <x:v>2</x:v>
      </x:c>
      <x:c r="S52" s="31" t="str">
        <x:v>Reset the moved object exactly; preserve every object and state; change only the prompt wording.</x:v>
      </x:c>
      <x:c r="T52" s="31" t="str">
        <x:v>Exact-scene paraphrase of one of the 50 canonical compositional-transfer trials.</x:v>
      </x:c>
      <x:c r="U52" s="31" t="str"/>
    </x:row>
    <x:row r="53" ht="51" customHeight="1">
      <x:c r="A53" s="32" t="str">
        <x:v>Not collected</x:v>
      </x:c>
      <x:c r="B53" s="34" t="n">
        <x:v>51</x:v>
      </x:c>
      <x:c r="C53" s="32" t="str">
        <x:v>Move the inverted glass spice container into the bowl.</x:v>
      </x:c>
      <x:c r="D53" s="32" t="str">
        <x:v>glass spice container B (O, RU); glass spice container A (O, UD); yellow-white striped cup B (O, UD)</x:v>
      </x:c>
      <x:c r="E53" s="34" t="n">
        <x:v>49</x:v>
      </x:c>
      <x:c r="F53" s="34" t="str">
        <x:v>181</x:v>
      </x:c>
      <x:c r="G53" s="32" t="str">
        <x:v>Canonical matched-control cell is training-supported; evaluation wording is paraphrased. No held-out composition is used.</x:v>
      </x:c>
      <x:c r="H53" s="32" t="str">
        <x:v>glass spice container A</x:v>
      </x:c>
      <x:c r="I53" s="32" t="str"/>
      <x:c r="J53" s="38" t="str">
        <x:v>Language robustness</x:v>
      </x:c>
      <x:c r="K53" s="34" t="str">
        <x:v>SR-CT08</x:v>
      </x:c>
      <x:c r="L53" s="34" t="str">
        <x:v>UD</x:v>
      </x:c>
      <x:c r="M53" s="34" t="str">
        <x:v>glass spice container</x:v>
      </x:c>
      <x:c r="N53" s="34" t="n">
        <x:v>3</x:v>
      </x:c>
      <x:c r="O53" s="34" t="n">
        <x:v>1</x:v>
      </x:c>
      <x:c r="P53" s="34" t="str">
        <x:v>Empty</x:v>
      </x:c>
      <x:c r="Q53" s="32" t="str">
        <x:v>Matched-control state prompt paraphrase</x:v>
      </x:c>
      <x:c r="R53" s="34" t="n">
        <x:v>2</x:v>
      </x:c>
      <x:c r="S53" s="32" t="str">
        <x:v>Reset the moved object exactly; preserve the scene; change only the prompt wording.</x:v>
      </x:c>
      <x:c r="T53" s="32" t="str">
        <x:v>This is one of 10 language trials paired with a matched trained-state control.</x:v>
      </x:c>
      <x:c r="U53" s="32" t="str"/>
    </x:row>
    <x:row r="54" ht="51" customHeight="1">
      <x:c r="A54" s="40" t="str">
        <x:v>Not collected</x:v>
      </x:c>
      <x:c r="B54" s="41" t="n">
        <x:v>52</x:v>
      </x:c>
      <x:c r="C54" s="40" t="str">
        <x:v>Place the upside-down white cup in the bowl.</x:v>
      </x:c>
      <x:c r="D54" s="40" t="str">
        <x:v>white cup A (C, UD); white cup B (C, RU); glass spice container A (C, RU); yellow-white striped cup B (O, RU)</x:v>
      </x:c>
      <x:c r="E54" s="41" t="str"/>
      <x:c r="F54" s="41" t="str">
        <x:v>39</x:v>
      </x:c>
      <x:c r="G54" s="40" t="str">
        <x:v>Physical-state and manipulation-trajectory reference under a direct category prompt; the evaluated state word × object-category cell is intentionally absent from training.</x:v>
      </x:c>
      <x:c r="H54" s="40" t="str">
        <x:v>white cup A</x:v>
      </x:c>
      <x:c r="I54" s="40" t="str"/>
      <x:c r="J54" s="45" t="str">
        <x:v>Concept/compositional transfer</x:v>
      </x:c>
      <x:c r="K54" s="41" t="str">
        <x:v>SR-CT09</x:v>
      </x:c>
      <x:c r="L54" s="41" t="str">
        <x:v>UD</x:v>
      </x:c>
      <x:c r="M54" s="41" t="str">
        <x:v>white cup</x:v>
      </x:c>
      <x:c r="N54" s="41" t="n">
        <x:v>4</x:v>
      </x:c>
      <x:c r="O54" s="41" t="n">
        <x:v>1</x:v>
      </x:c>
      <x:c r="P54" s="41" t="str">
        <x:v>Empty</x:v>
      </x:c>
      <x:c r="Q54" s="40" t="str">
        <x:v>Primary held-out state-object composition</x:v>
      </x:c>
      <x:c r="R54" s="41" t="n">
        <x:v>2</x:v>
      </x:c>
      <x:c r="S54" s="40" t="str">
        <x:v>Build the listed same-category discrimination scene with the bowl empty.</x:v>
      </x:c>
      <x:c r="T54" s="40" t="str">
        <x:v>Two same-category candidates share the non-queried state axis; only the held-out state word identifies the target.</x:v>
      </x:c>
      <x:c r="U54" s="40" t="str"/>
    </x:row>
    <x:row r="55" ht="51" customHeight="1">
      <x:c r="A55" s="32" t="str">
        <x:v>Not collected</x:v>
      </x:c>
      <x:c r="B55" s="34" t="n">
        <x:v>53</x:v>
      </x:c>
      <x:c r="C55" s="32" t="str">
        <x:v>Place the upright white cup in the bowl.</x:v>
      </x:c>
      <x:c r="D55" s="32" t="str">
        <x:v>white cup A (C, UD); white cup B (C, RU); glass spice container A (C, RU); yellow-white striped cup B (O, RU)</x:v>
      </x:c>
      <x:c r="E55" s="34" t="n">
        <x:v>52</x:v>
      </x:c>
      <x:c r="F55" s="34" t="str">
        <x:v>33</x:v>
      </x:c>
      <x:c r="G55" s="32" t="str">
        <x:v>Training-supported state-object cell for the control. The evaluation scene is shared exactly with the paired transfer row, while the physical layout is manually recreated.</x:v>
      </x:c>
      <x:c r="H55" s="32" t="str">
        <x:v>white cup B</x:v>
      </x:c>
      <x:c r="I55" s="32" t="str"/>
      <x:c r="J55" s="37" t="str">
        <x:v>Matched manipulation control</x:v>
      </x:c>
      <x:c r="K55" s="34" t="str">
        <x:v>SR-CT09</x:v>
      </x:c>
      <x:c r="L55" s="34" t="str">
        <x:v>RU</x:v>
      </x:c>
      <x:c r="M55" s="34" t="str">
        <x:v>white cup</x:v>
      </x:c>
      <x:c r="N55" s="34" t="n">
        <x:v>4</x:v>
      </x:c>
      <x:c r="O55" s="34" t="n">
        <x:v>1</x:v>
      </x:c>
      <x:c r="P55" s="34" t="str">
        <x:v>Empty</x:v>
      </x:c>
      <x:c r="Q55" s="32" t="str">
        <x:v>Exact-scene trained state-object counterfactual</x:v>
      </x:c>
      <x:c r="R55" s="34" t="n">
        <x:v>2</x:v>
      </x:c>
      <x:c r="S55" s="32" t="str">
        <x:v>Reset the moved object exactly; preserve every object and state; change only the prompt and expected target.</x:v>
      </x:c>
      <x:c r="T55" s="32" t="str">
        <x:v>The correct target switches to the other same-category instance. This cell is explicit in training and controls recognition/manipulation in the transfer scene.</x:v>
      </x:c>
      <x:c r="U55" s="32" t="str"/>
    </x:row>
    <x:row r="56" ht="51" customHeight="1">
      <x:c r="A56" s="31" t="str">
        <x:v>Not collected</x:v>
      </x:c>
      <x:c r="B56" s="33" t="n">
        <x:v>54</x:v>
      </x:c>
      <x:c r="C56" s="31" t="str">
        <x:v>Move the inverted white cup into the bowl.</x:v>
      </x:c>
      <x:c r="D56" s="31" t="str">
        <x:v>white cup A (C, UD); white cup B (C, RU); glass spice container A (C, RU); yellow-white striped cup B (O, RU)</x:v>
      </x:c>
      <x:c r="E56" s="33" t="n">
        <x:v>52</x:v>
      </x:c>
      <x:c r="F56" s="33" t="str">
        <x:v>39</x:v>
      </x:c>
      <x:c r="G56" s="31" t="str">
        <x:v>The canonical transfer scene and masked trajectory reference are unchanged; only the evaluation wording is paraphrased. This remains a language diagnostic and is not pooled into the primary 50.</x:v>
      </x:c>
      <x:c r="H56" s="31" t="str">
        <x:v>white cup A</x:v>
      </x:c>
      <x:c r="I56" s="31" t="str"/>
      <x:c r="J56" s="38" t="str">
        <x:v>Language robustness</x:v>
      </x:c>
      <x:c r="K56" s="33" t="str">
        <x:v>SR-CT09</x:v>
      </x:c>
      <x:c r="L56" s="33" t="str">
        <x:v>UD</x:v>
      </x:c>
      <x:c r="M56" s="33" t="str">
        <x:v>white cup</x:v>
      </x:c>
      <x:c r="N56" s="33" t="n">
        <x:v>4</x:v>
      </x:c>
      <x:c r="O56" s="33" t="n">
        <x:v>1</x:v>
      </x:c>
      <x:c r="P56" s="33" t="str">
        <x:v>Empty</x:v>
      </x:c>
      <x:c r="Q56" s="31" t="str">
        <x:v>Primary compositional-transfer prompt paraphrase</x:v>
      </x:c>
      <x:c r="R56" s="33" t="n">
        <x:v>2</x:v>
      </x:c>
      <x:c r="S56" s="31" t="str">
        <x:v>Reset the moved object exactly; preserve every object and state; change only the prompt wording.</x:v>
      </x:c>
      <x:c r="T56" s="31" t="str">
        <x:v>Exact-scene paraphrase of one of the 50 canonical compositional-transfer trials.</x:v>
      </x:c>
      <x:c r="U56" s="31" t="str"/>
    </x:row>
    <x:row r="57" ht="51" customHeight="1">
      <x:c r="A57" s="32" t="str">
        <x:v>Not collected</x:v>
      </x:c>
      <x:c r="B57" s="34" t="n">
        <x:v>55</x:v>
      </x:c>
      <x:c r="C57" s="32" t="str">
        <x:v>Move the right-side-up white cup into the bowl.</x:v>
      </x:c>
      <x:c r="D57" s="32" t="str">
        <x:v>white cup A (C, UD); white cup B (C, RU); glass spice container A (C, RU); yellow-white striped cup B (O, RU)</x:v>
      </x:c>
      <x:c r="E57" s="34" t="n">
        <x:v>53</x:v>
      </x:c>
      <x:c r="F57" s="34" t="str">
        <x:v>33</x:v>
      </x:c>
      <x:c r="G57" s="32" t="str">
        <x:v>Canonical matched-control cell is training-supported; evaluation wording is paraphrased. No held-out composition is used.</x:v>
      </x:c>
      <x:c r="H57" s="32" t="str">
        <x:v>white cup B</x:v>
      </x:c>
      <x:c r="I57" s="32" t="str"/>
      <x:c r="J57" s="38" t="str">
        <x:v>Language robustness</x:v>
      </x:c>
      <x:c r="K57" s="34" t="str">
        <x:v>SR-CT09</x:v>
      </x:c>
      <x:c r="L57" s="34" t="str">
        <x:v>RU</x:v>
      </x:c>
      <x:c r="M57" s="34" t="str">
        <x:v>white cup</x:v>
      </x:c>
      <x:c r="N57" s="34" t="n">
        <x:v>4</x:v>
      </x:c>
      <x:c r="O57" s="34" t="n">
        <x:v>1</x:v>
      </x:c>
      <x:c r="P57" s="34" t="str">
        <x:v>Empty</x:v>
      </x:c>
      <x:c r="Q57" s="32" t="str">
        <x:v>Matched-control state prompt paraphrase</x:v>
      </x:c>
      <x:c r="R57" s="34" t="n">
        <x:v>2</x:v>
      </x:c>
      <x:c r="S57" s="32" t="str">
        <x:v>Reset the moved object exactly; preserve the scene; change only the prompt wording.</x:v>
      </x:c>
      <x:c r="T57" s="32" t="str">
        <x:v>This is one of 10 language trials paired with a matched trained-state control.</x:v>
      </x:c>
      <x:c r="U57" s="32" t="str"/>
    </x:row>
    <x:row r="58" ht="51" customHeight="1">
      <x:c r="A58" s="40" t="str">
        <x:v>Not collected</x:v>
      </x:c>
      <x:c r="B58" s="41" t="n">
        <x:v>56</x:v>
      </x:c>
      <x:c r="C58" s="40" t="str">
        <x:v>Place the open yellow-white striped cup in the bowl.</x:v>
      </x:c>
      <x:c r="D58" s="40" t="str">
        <x:v>yellow-white striped cup B (O, RU); yellow-white striped cup A (C, RU)</x:v>
      </x:c>
      <x:c r="E58" s="41" t="str"/>
      <x:c r="F58" s="41" t="str">
        <x:v>71</x:v>
      </x:c>
      <x:c r="G58" s="40" t="str">
        <x:v>Physical-state and manipulation-trajectory reference under a direct category prompt; the evaluated state word × object-category cell is intentionally absent from training.</x:v>
      </x:c>
      <x:c r="H58" s="40" t="str">
        <x:v>yellow-white striped cup B</x:v>
      </x:c>
      <x:c r="I58" s="40" t="str"/>
      <x:c r="J58" s="45" t="str">
        <x:v>Concept/compositional transfer</x:v>
      </x:c>
      <x:c r="K58" s="41" t="str">
        <x:v>SR-CT10</x:v>
      </x:c>
      <x:c r="L58" s="41" t="str">
        <x:v>O</x:v>
      </x:c>
      <x:c r="M58" s="41" t="str">
        <x:v>yellow-white striped cup</x:v>
      </x:c>
      <x:c r="N58" s="41" t="n">
        <x:v>2</x:v>
      </x:c>
      <x:c r="O58" s="41" t="n">
        <x:v>1</x:v>
      </x:c>
      <x:c r="P58" s="41" t="str">
        <x:v>Empty</x:v>
      </x:c>
      <x:c r="Q58" s="40" t="str">
        <x:v>Primary held-out state-object composition</x:v>
      </x:c>
      <x:c r="R58" s="41" t="n">
        <x:v>2</x:v>
      </x:c>
      <x:c r="S58" s="40" t="str">
        <x:v>Build the listed same-category discrimination scene with the bowl empty.</x:v>
      </x:c>
      <x:c r="T58" s="40" t="str">
        <x:v>Two same-category candidates share the non-queried state axis; only the held-out state word identifies the target.</x:v>
      </x:c>
      <x:c r="U58" s="40" t="str"/>
    </x:row>
    <x:row r="59" ht="51" customHeight="1">
      <x:c r="A59" s="32" t="str">
        <x:v>Not collected</x:v>
      </x:c>
      <x:c r="B59" s="34" t="n">
        <x:v>57</x:v>
      </x:c>
      <x:c r="C59" s="32" t="str">
        <x:v>Place the closed yellow-white striped cup in the bowl.</x:v>
      </x:c>
      <x:c r="D59" s="32" t="str">
        <x:v>yellow-white striped cup B (O, RU); yellow-white striped cup A (C, RU)</x:v>
      </x:c>
      <x:c r="E59" s="34" t="n">
        <x:v>56</x:v>
      </x:c>
      <x:c r="F59" s="34" t="str">
        <x:v>67</x:v>
      </x:c>
      <x:c r="G59" s="32" t="str">
        <x:v>Training-supported state-object cell for the control. The evaluation scene is shared exactly with the paired transfer row, while the physical layout is manually recreated.</x:v>
      </x:c>
      <x:c r="H59" s="32" t="str">
        <x:v>yellow-white striped cup A</x:v>
      </x:c>
      <x:c r="I59" s="32" t="str"/>
      <x:c r="J59" s="37" t="str">
        <x:v>Matched manipulation control</x:v>
      </x:c>
      <x:c r="K59" s="34" t="str">
        <x:v>SR-CT10</x:v>
      </x:c>
      <x:c r="L59" s="34" t="str">
        <x:v>C</x:v>
      </x:c>
      <x:c r="M59" s="34" t="str">
        <x:v>yellow-white striped cup</x:v>
      </x:c>
      <x:c r="N59" s="34" t="n">
        <x:v>2</x:v>
      </x:c>
      <x:c r="O59" s="34" t="n">
        <x:v>1</x:v>
      </x:c>
      <x:c r="P59" s="34" t="str">
        <x:v>Empty</x:v>
      </x:c>
      <x:c r="Q59" s="32" t="str">
        <x:v>Exact-scene trained state-object counterfactual</x:v>
      </x:c>
      <x:c r="R59" s="34" t="n">
        <x:v>2</x:v>
      </x:c>
      <x:c r="S59" s="32" t="str">
        <x:v>Reset the moved object exactly; preserve every object and state; change only the prompt and expected target.</x:v>
      </x:c>
      <x:c r="T59" s="32" t="str">
        <x:v>The correct target switches to the other same-category instance. This cell is explicit in training and controls recognition/manipulation in the transfer scene.</x:v>
      </x:c>
      <x:c r="U59" s="32" t="str"/>
    </x:row>
    <x:row r="60" ht="51" customHeight="1">
      <x:c r="A60" s="31" t="str">
        <x:v>Not collected</x:v>
      </x:c>
      <x:c r="B60" s="33" t="n">
        <x:v>58</x:v>
      </x:c>
      <x:c r="C60" s="31" t="str">
        <x:v>Move the yellow-white striped cup whose opening is uncovered into the bowl.</x:v>
      </x:c>
      <x:c r="D60" s="31" t="str">
        <x:v>yellow-white striped cup B (O, RU); yellow-white striped cup A (C, RU)</x:v>
      </x:c>
      <x:c r="E60" s="33" t="n">
        <x:v>56</x:v>
      </x:c>
      <x:c r="F60" s="33" t="str">
        <x:v>71</x:v>
      </x:c>
      <x:c r="G60" s="31" t="str">
        <x:v>The canonical transfer scene and masked trajectory reference are unchanged; only the evaluation wording is paraphrased. This remains a language diagnostic and is not pooled into the primary 50.</x:v>
      </x:c>
      <x:c r="H60" s="31" t="str">
        <x:v>yellow-white striped cup B</x:v>
      </x:c>
      <x:c r="I60" s="31" t="str"/>
      <x:c r="J60" s="38" t="str">
        <x:v>Language robustness</x:v>
      </x:c>
      <x:c r="K60" s="33" t="str">
        <x:v>SR-CT10</x:v>
      </x:c>
      <x:c r="L60" s="33" t="str">
        <x:v>O</x:v>
      </x:c>
      <x:c r="M60" s="33" t="str">
        <x:v>yellow-white striped cup</x:v>
      </x:c>
      <x:c r="N60" s="33" t="n">
        <x:v>2</x:v>
      </x:c>
      <x:c r="O60" s="33" t="n">
        <x:v>1</x:v>
      </x:c>
      <x:c r="P60" s="33" t="str">
        <x:v>Empty</x:v>
      </x:c>
      <x:c r="Q60" s="31" t="str">
        <x:v>Primary compositional-transfer prompt paraphrase</x:v>
      </x:c>
      <x:c r="R60" s="33" t="n">
        <x:v>2</x:v>
      </x:c>
      <x:c r="S60" s="31" t="str">
        <x:v>Reset the moved object exactly; preserve every object and state; change only the prompt wording.</x:v>
      </x:c>
      <x:c r="T60" s="31" t="str">
        <x:v>Exact-scene paraphrase of one of the 50 canonical compositional-transfer trials.</x:v>
      </x:c>
      <x:c r="U60" s="31" t="str"/>
    </x:row>
    <x:row r="61" ht="51" customHeight="1">
      <x:c r="A61" s="32" t="str">
        <x:v>Not collected</x:v>
      </x:c>
      <x:c r="B61" s="34" t="n">
        <x:v>59</x:v>
      </x:c>
      <x:c r="C61" s="32" t="str">
        <x:v>Move the yellow-white striped cup whose opening is covered into the bowl.</x:v>
      </x:c>
      <x:c r="D61" s="32" t="str">
        <x:v>yellow-white striped cup B (O, RU); yellow-white striped cup A (C, RU)</x:v>
      </x:c>
      <x:c r="E61" s="34" t="n">
        <x:v>57</x:v>
      </x:c>
      <x:c r="F61" s="34" t="str">
        <x:v>67</x:v>
      </x:c>
      <x:c r="G61" s="32" t="str">
        <x:v>Canonical matched-control cell is training-supported; evaluation wording is paraphrased. No held-out composition is used.</x:v>
      </x:c>
      <x:c r="H61" s="32" t="str">
        <x:v>yellow-white striped cup A</x:v>
      </x:c>
      <x:c r="I61" s="32" t="str"/>
      <x:c r="J61" s="38" t="str">
        <x:v>Language robustness</x:v>
      </x:c>
      <x:c r="K61" s="34" t="str">
        <x:v>SR-CT10</x:v>
      </x:c>
      <x:c r="L61" s="34" t="str">
        <x:v>C</x:v>
      </x:c>
      <x:c r="M61" s="34" t="str">
        <x:v>yellow-white striped cup</x:v>
      </x:c>
      <x:c r="N61" s="34" t="n">
        <x:v>2</x:v>
      </x:c>
      <x:c r="O61" s="34" t="n">
        <x:v>1</x:v>
      </x:c>
      <x:c r="P61" s="34" t="str">
        <x:v>Empty</x:v>
      </x:c>
      <x:c r="Q61" s="32" t="str">
        <x:v>Matched-control state prompt paraphrase</x:v>
      </x:c>
      <x:c r="R61" s="34" t="n">
        <x:v>2</x:v>
      </x:c>
      <x:c r="S61" s="32" t="str">
        <x:v>Reset the moved object exactly; preserve the scene; change only the prompt wording.</x:v>
      </x:c>
      <x:c r="T61" s="32" t="str">
        <x:v>This is one of 10 language trials paired with a matched trained-state control.</x:v>
      </x:c>
      <x:c r="U61" s="32" t="str"/>
    </x:row>
    <x:row r="62" ht="51" customHeight="1">
      <x:c r="A62" s="40" t="str">
        <x:v>Not collected</x:v>
      </x:c>
      <x:c r="B62" s="41" t="n">
        <x:v>60</x:v>
      </x:c>
      <x:c r="C62" s="40" t="str">
        <x:v>Place the closed brown cup in the bowl.</x:v>
      </x:c>
      <x:c r="D62" s="40" t="str">
        <x:v>brown cup A (C, RU); brown cup B (O, RU); yellow-white striped cup A (C, UD)</x:v>
      </x:c>
      <x:c r="E62" s="41" t="str"/>
      <x:c r="F62" s="41" t="str">
        <x:v>102</x:v>
      </x:c>
      <x:c r="G62" s="40" t="str">
        <x:v>Physical-state and manipulation-trajectory reference under a direct category prompt; the evaluated state word × object-category cell is intentionally absent from training.</x:v>
      </x:c>
      <x:c r="H62" s="40" t="str">
        <x:v>brown cup A</x:v>
      </x:c>
      <x:c r="I62" s="40" t="str"/>
      <x:c r="J62" s="45" t="str">
        <x:v>Concept/compositional transfer</x:v>
      </x:c>
      <x:c r="K62" s="41" t="str">
        <x:v>SR-CT11</x:v>
      </x:c>
      <x:c r="L62" s="41" t="str">
        <x:v>C</x:v>
      </x:c>
      <x:c r="M62" s="41" t="str">
        <x:v>brown cup</x:v>
      </x:c>
      <x:c r="N62" s="41" t="n">
        <x:v>3</x:v>
      </x:c>
      <x:c r="O62" s="41" t="n">
        <x:v>1</x:v>
      </x:c>
      <x:c r="P62" s="41" t="str">
        <x:v>Empty</x:v>
      </x:c>
      <x:c r="Q62" s="40" t="str">
        <x:v>Primary held-out state-object composition</x:v>
      </x:c>
      <x:c r="R62" s="41" t="n">
        <x:v>3</x:v>
      </x:c>
      <x:c r="S62" s="40" t="str">
        <x:v>Build the listed same-category discrimination scene with the bowl empty.</x:v>
      </x:c>
      <x:c r="T62" s="40" t="str">
        <x:v>Two same-category candidates share the non-queried state axis; only the held-out state word identifies the target.</x:v>
      </x:c>
      <x:c r="U62" s="40" t="str"/>
    </x:row>
    <x:row r="63" ht="51" customHeight="1">
      <x:c r="A63" s="32" t="str">
        <x:v>Not collected</x:v>
      </x:c>
      <x:c r="B63" s="34" t="n">
        <x:v>61</x:v>
      </x:c>
      <x:c r="C63" s="32" t="str">
        <x:v>Place the open brown cup in the bowl.</x:v>
      </x:c>
      <x:c r="D63" s="32" t="str">
        <x:v>brown cup A (C, RU); brown cup B (O, RU); yellow-white striped cup A (C, UD)</x:v>
      </x:c>
      <x:c r="E63" s="34" t="n">
        <x:v>60</x:v>
      </x:c>
      <x:c r="F63" s="34" t="str">
        <x:v>110</x:v>
      </x:c>
      <x:c r="G63" s="32" t="str">
        <x:v>Training-supported state-object cell for the control. The evaluation scene is shared exactly with the paired transfer row, while the physical layout is manually recreated.</x:v>
      </x:c>
      <x:c r="H63" s="32" t="str">
        <x:v>brown cup B</x:v>
      </x:c>
      <x:c r="I63" s="32" t="str"/>
      <x:c r="J63" s="37" t="str">
        <x:v>Matched manipulation control</x:v>
      </x:c>
      <x:c r="K63" s="34" t="str">
        <x:v>SR-CT11</x:v>
      </x:c>
      <x:c r="L63" s="34" t="str">
        <x:v>O</x:v>
      </x:c>
      <x:c r="M63" s="34" t="str">
        <x:v>brown cup</x:v>
      </x:c>
      <x:c r="N63" s="34" t="n">
        <x:v>3</x:v>
      </x:c>
      <x:c r="O63" s="34" t="n">
        <x:v>1</x:v>
      </x:c>
      <x:c r="P63" s="34" t="str">
        <x:v>Empty</x:v>
      </x:c>
      <x:c r="Q63" s="32" t="str">
        <x:v>Exact-scene trained state-object counterfactual</x:v>
      </x:c>
      <x:c r="R63" s="34" t="n">
        <x:v>3</x:v>
      </x:c>
      <x:c r="S63" s="32" t="str">
        <x:v>Reset the moved object exactly; preserve every object and state; change only the prompt and expected target.</x:v>
      </x:c>
      <x:c r="T63" s="32" t="str">
        <x:v>The correct target switches to the other same-category instance. This cell is explicit in training and controls recognition/manipulation in the transfer scene.</x:v>
      </x:c>
      <x:c r="U63" s="32" t="str"/>
    </x:row>
    <x:row r="64" ht="51" customHeight="1">
      <x:c r="A64" s="40" t="str">
        <x:v>Not collected</x:v>
      </x:c>
      <x:c r="B64" s="41" t="n">
        <x:v>62</x:v>
      </x:c>
      <x:c r="C64" s="40" t="str">
        <x:v>Place the upright glass spice container in the bowl.</x:v>
      </x:c>
      <x:c r="D64" s="40" t="str">
        <x:v>glass spice container B (C, RU); glass spice container A (C, UD); brown cup B (O, UD); white cup A (C, RU)</x:v>
      </x:c>
      <x:c r="E64" s="41" t="str"/>
      <x:c r="F64" s="41" t="str">
        <x:v>172</x:v>
      </x:c>
      <x:c r="G64" s="40" t="str">
        <x:v>Physical-state and manipulation-trajectory reference under a direct category prompt; the evaluated state word × object-category cell is intentionally absent from training.</x:v>
      </x:c>
      <x:c r="H64" s="40" t="str">
        <x:v>glass spice container B</x:v>
      </x:c>
      <x:c r="I64" s="40" t="str"/>
      <x:c r="J64" s="45" t="str">
        <x:v>Concept/compositional transfer</x:v>
      </x:c>
      <x:c r="K64" s="41" t="str">
        <x:v>SR-CT12</x:v>
      </x:c>
      <x:c r="L64" s="41" t="str">
        <x:v>RU</x:v>
      </x:c>
      <x:c r="M64" s="41" t="str">
        <x:v>glass spice container</x:v>
      </x:c>
      <x:c r="N64" s="41" t="n">
        <x:v>4</x:v>
      </x:c>
      <x:c r="O64" s="41" t="n">
        <x:v>1</x:v>
      </x:c>
      <x:c r="P64" s="41" t="str">
        <x:v>Empty</x:v>
      </x:c>
      <x:c r="Q64" s="40" t="str">
        <x:v>Primary held-out state-object composition</x:v>
      </x:c>
      <x:c r="R64" s="41" t="n">
        <x:v>3</x:v>
      </x:c>
      <x:c r="S64" s="40" t="str">
        <x:v>Build the listed same-category discrimination scene with the bowl empty.</x:v>
      </x:c>
      <x:c r="T64" s="40" t="str">
        <x:v>Two same-category candidates share the non-queried state axis; only the held-out state word identifies the target.</x:v>
      </x:c>
      <x:c r="U64" s="40" t="str"/>
    </x:row>
    <x:row r="65" ht="51" customHeight="1">
      <x:c r="A65" s="32" t="str">
        <x:v>Not collected</x:v>
      </x:c>
      <x:c r="B65" s="34" t="n">
        <x:v>63</x:v>
      </x:c>
      <x:c r="C65" s="32" t="str">
        <x:v>Place the upside-down glass spice container in the bowl.</x:v>
      </x:c>
      <x:c r="D65" s="32" t="str">
        <x:v>glass spice container B (C, RU); glass spice container A (C, UD); brown cup B (O, UD); white cup A (C, RU)</x:v>
      </x:c>
      <x:c r="E65" s="34" t="n">
        <x:v>62</x:v>
      </x:c>
      <x:c r="F65" s="34" t="str">
        <x:v>186</x:v>
      </x:c>
      <x:c r="G65" s="32" t="str">
        <x:v>Training-supported state-object cell for the control. The evaluation scene is shared exactly with the paired transfer row, while the physical layout is manually recreated.</x:v>
      </x:c>
      <x:c r="H65" s="32" t="str">
        <x:v>glass spice container A</x:v>
      </x:c>
      <x:c r="I65" s="32" t="str"/>
      <x:c r="J65" s="37" t="str">
        <x:v>Matched manipulation control</x:v>
      </x:c>
      <x:c r="K65" s="34" t="str">
        <x:v>SR-CT12</x:v>
      </x:c>
      <x:c r="L65" s="34" t="str">
        <x:v>UD</x:v>
      </x:c>
      <x:c r="M65" s="34" t="str">
        <x:v>glass spice container</x:v>
      </x:c>
      <x:c r="N65" s="34" t="n">
        <x:v>4</x:v>
      </x:c>
      <x:c r="O65" s="34" t="n">
        <x:v>1</x:v>
      </x:c>
      <x:c r="P65" s="34" t="str">
        <x:v>Empty</x:v>
      </x:c>
      <x:c r="Q65" s="32" t="str">
        <x:v>Exact-scene trained state-object counterfactual</x:v>
      </x:c>
      <x:c r="R65" s="34" t="n">
        <x:v>3</x:v>
      </x:c>
      <x:c r="S65" s="32" t="str">
        <x:v>Reset the moved object exactly; preserve every object and state; change only the prompt and expected target.</x:v>
      </x:c>
      <x:c r="T65" s="32" t="str">
        <x:v>The correct target switches to the other same-category instance. This cell is explicit in training and controls recognition/manipulation in the transfer scene.</x:v>
      </x:c>
      <x:c r="U65" s="32" t="str"/>
    </x:row>
    <x:row r="66" ht="51" customHeight="1">
      <x:c r="A66" s="40" t="str">
        <x:v>Not collected</x:v>
      </x:c>
      <x:c r="B66" s="41" t="n">
        <x:v>64</x:v>
      </x:c>
      <x:c r="C66" s="40" t="str">
        <x:v>Place the upside-down white cup in the bowl.</x:v>
      </x:c>
      <x:c r="D66" s="40" t="str">
        <x:v>white cup A (O, UD); white cup B (O, RU)</x:v>
      </x:c>
      <x:c r="E66" s="41" t="str"/>
      <x:c r="F66" s="41" t="str">
        <x:v>32</x:v>
      </x:c>
      <x:c r="G66" s="40" t="str">
        <x:v>Physical-state and manipulation-trajectory reference under a direct category prompt; the evaluated state word × object-category cell is intentionally absent from training.</x:v>
      </x:c>
      <x:c r="H66" s="40" t="str">
        <x:v>white cup A</x:v>
      </x:c>
      <x:c r="I66" s="40" t="str"/>
      <x:c r="J66" s="45" t="str">
        <x:v>Concept/compositional transfer</x:v>
      </x:c>
      <x:c r="K66" s="41" t="str">
        <x:v>SR-CT13</x:v>
      </x:c>
      <x:c r="L66" s="41" t="str">
        <x:v>UD</x:v>
      </x:c>
      <x:c r="M66" s="41" t="str">
        <x:v>white cup</x:v>
      </x:c>
      <x:c r="N66" s="41" t="n">
        <x:v>2</x:v>
      </x:c>
      <x:c r="O66" s="41" t="n">
        <x:v>1</x:v>
      </x:c>
      <x:c r="P66" s="41" t="str">
        <x:v>Empty</x:v>
      </x:c>
      <x:c r="Q66" s="40" t="str">
        <x:v>Primary held-out state-object composition</x:v>
      </x:c>
      <x:c r="R66" s="41" t="n">
        <x:v>3</x:v>
      </x:c>
      <x:c r="S66" s="40" t="str">
        <x:v>Build the listed same-category discrimination scene with the bowl empty.</x:v>
      </x:c>
      <x:c r="T66" s="40" t="str">
        <x:v>Two same-category candidates share the non-queried state axis; only the held-out state word identifies the target.</x:v>
      </x:c>
      <x:c r="U66" s="40" t="str"/>
    </x:row>
    <x:row r="67" ht="51" customHeight="1">
      <x:c r="A67" s="32" t="str">
        <x:v>Not collected</x:v>
      </x:c>
      <x:c r="B67" s="34" t="n">
        <x:v>65</x:v>
      </x:c>
      <x:c r="C67" s="32" t="str">
        <x:v>Place the upright white cup in the bowl.</x:v>
      </x:c>
      <x:c r="D67" s="32" t="str">
        <x:v>white cup A (O, UD); white cup B (O, RU)</x:v>
      </x:c>
      <x:c r="E67" s="34" t="n">
        <x:v>64</x:v>
      </x:c>
      <x:c r="F67" s="34" t="str">
        <x:v>44</x:v>
      </x:c>
      <x:c r="G67" s="32" t="str">
        <x:v>Training-supported state-object cell for the control. The evaluation scene is shared exactly with the paired transfer row, while the physical layout is manually recreated.</x:v>
      </x:c>
      <x:c r="H67" s="32" t="str">
        <x:v>white cup B</x:v>
      </x:c>
      <x:c r="I67" s="32" t="str"/>
      <x:c r="J67" s="37" t="str">
        <x:v>Matched manipulation control</x:v>
      </x:c>
      <x:c r="K67" s="34" t="str">
        <x:v>SR-CT13</x:v>
      </x:c>
      <x:c r="L67" s="34" t="str">
        <x:v>RU</x:v>
      </x:c>
      <x:c r="M67" s="34" t="str">
        <x:v>white cup</x:v>
      </x:c>
      <x:c r="N67" s="34" t="n">
        <x:v>2</x:v>
      </x:c>
      <x:c r="O67" s="34" t="n">
        <x:v>1</x:v>
      </x:c>
      <x:c r="P67" s="34" t="str">
        <x:v>Empty</x:v>
      </x:c>
      <x:c r="Q67" s="32" t="str">
        <x:v>Exact-scene trained state-object counterfactual</x:v>
      </x:c>
      <x:c r="R67" s="34" t="n">
        <x:v>3</x:v>
      </x:c>
      <x:c r="S67" s="32" t="str">
        <x:v>Reset the moved object exactly; preserve every object and state; change only the prompt and expected target.</x:v>
      </x:c>
      <x:c r="T67" s="32" t="str">
        <x:v>The correct target switches to the other same-category instance. This cell is explicit in training and controls recognition/manipulation in the transfer scene.</x:v>
      </x:c>
      <x:c r="U67" s="32" t="str"/>
    </x:row>
    <x:row r="68" ht="51" customHeight="1">
      <x:c r="A68" s="40" t="str">
        <x:v>Not collected</x:v>
      </x:c>
      <x:c r="B68" s="41" t="n">
        <x:v>66</x:v>
      </x:c>
      <x:c r="C68" s="40" t="str">
        <x:v>Place the open yellow-white striped cup in the bowl.</x:v>
      </x:c>
      <x:c r="D68" s="40" t="str">
        <x:v>yellow-white striped cup B (O, UD); yellow-white striped cup A (C, UD); brown cup B (O, RU)</x:v>
      </x:c>
      <x:c r="E68" s="41" t="str"/>
      <x:c r="F68" s="41" t="str">
        <x:v>53</x:v>
      </x:c>
      <x:c r="G68" s="40" t="str">
        <x:v>Physical-state and manipulation-trajectory reference under a direct category prompt; the evaluated state word × object-category cell is intentionally absent from training.</x:v>
      </x:c>
      <x:c r="H68" s="40" t="str">
        <x:v>yellow-white striped cup B</x:v>
      </x:c>
      <x:c r="I68" s="40" t="str"/>
      <x:c r="J68" s="45" t="str">
        <x:v>Concept/compositional transfer</x:v>
      </x:c>
      <x:c r="K68" s="41" t="str">
        <x:v>SR-CT14</x:v>
      </x:c>
      <x:c r="L68" s="41" t="str">
        <x:v>O</x:v>
      </x:c>
      <x:c r="M68" s="41" t="str">
        <x:v>yellow-white striped cup</x:v>
      </x:c>
      <x:c r="N68" s="41" t="n">
        <x:v>3</x:v>
      </x:c>
      <x:c r="O68" s="41" t="n">
        <x:v>1</x:v>
      </x:c>
      <x:c r="P68" s="41" t="str">
        <x:v>Empty</x:v>
      </x:c>
      <x:c r="Q68" s="40" t="str">
        <x:v>Primary held-out state-object composition</x:v>
      </x:c>
      <x:c r="R68" s="41" t="n">
        <x:v>3</x:v>
      </x:c>
      <x:c r="S68" s="40" t="str">
        <x:v>Build the listed same-category discrimination scene with the bowl empty.</x:v>
      </x:c>
      <x:c r="T68" s="40" t="str">
        <x:v>Two same-category candidates share the non-queried state axis; only the held-out state word identifies the target.</x:v>
      </x:c>
      <x:c r="U68" s="40" t="str"/>
    </x:row>
    <x:row r="69" ht="51" customHeight="1">
      <x:c r="A69" s="32" t="str">
        <x:v>Not collected</x:v>
      </x:c>
      <x:c r="B69" s="34" t="n">
        <x:v>67</x:v>
      </x:c>
      <x:c r="C69" s="32" t="str">
        <x:v>Place the closed yellow-white striped cup in the bowl.</x:v>
      </x:c>
      <x:c r="D69" s="32" t="str">
        <x:v>yellow-white striped cup B (O, UD); yellow-white striped cup A (C, UD); brown cup B (O, RU)</x:v>
      </x:c>
      <x:c r="E69" s="34" t="n">
        <x:v>66</x:v>
      </x:c>
      <x:c r="F69" s="34" t="str">
        <x:v>73</x:v>
      </x:c>
      <x:c r="G69" s="32" t="str">
        <x:v>Training-supported state-object cell for the control. The evaluation scene is shared exactly with the paired transfer row, while the physical layout is manually recreated.</x:v>
      </x:c>
      <x:c r="H69" s="32" t="str">
        <x:v>yellow-white striped cup A</x:v>
      </x:c>
      <x:c r="I69" s="32" t="str"/>
      <x:c r="J69" s="37" t="str">
        <x:v>Matched manipulation control</x:v>
      </x:c>
      <x:c r="K69" s="34" t="str">
        <x:v>SR-CT14</x:v>
      </x:c>
      <x:c r="L69" s="34" t="str">
        <x:v>C</x:v>
      </x:c>
      <x:c r="M69" s="34" t="str">
        <x:v>yellow-white striped cup</x:v>
      </x:c>
      <x:c r="N69" s="34" t="n">
        <x:v>3</x:v>
      </x:c>
      <x:c r="O69" s="34" t="n">
        <x:v>1</x:v>
      </x:c>
      <x:c r="P69" s="34" t="str">
        <x:v>Empty</x:v>
      </x:c>
      <x:c r="Q69" s="32" t="str">
        <x:v>Exact-scene trained state-object counterfactual</x:v>
      </x:c>
      <x:c r="R69" s="34" t="n">
        <x:v>3</x:v>
      </x:c>
      <x:c r="S69" s="32" t="str">
        <x:v>Reset the moved object exactly; preserve every object and state; change only the prompt and expected target.</x:v>
      </x:c>
      <x:c r="T69" s="32" t="str">
        <x:v>The correct target switches to the other same-category instance. This cell is explicit in training and controls recognition/manipulation in the transfer scene.</x:v>
      </x:c>
      <x:c r="U69" s="32" t="str"/>
    </x:row>
    <x:row r="70" ht="51" customHeight="1">
      <x:c r="A70" s="40" t="str">
        <x:v>Not collected</x:v>
      </x:c>
      <x:c r="B70" s="41" t="n">
        <x:v>68</x:v>
      </x:c>
      <x:c r="C70" s="40" t="str">
        <x:v>Place the closed brown cup in the bowl.</x:v>
      </x:c>
      <x:c r="D70" s="40" t="str">
        <x:v>brown cup A (C, UD); brown cup B (O, UD); glass spice container A (C, UD); white cup B (O, UD)</x:v>
      </x:c>
      <x:c r="E70" s="41" t="str"/>
      <x:c r="F70" s="41" t="str">
        <x:v>129</x:v>
      </x:c>
      <x:c r="G70" s="40" t="str">
        <x:v>Physical-state and manipulation-trajectory reference under a direct category prompt; the evaluated state word × object-category cell is intentionally absent from training.</x:v>
      </x:c>
      <x:c r="H70" s="40" t="str">
        <x:v>brown cup A</x:v>
      </x:c>
      <x:c r="I70" s="40" t="str"/>
      <x:c r="J70" s="45" t="str">
        <x:v>Concept/compositional transfer</x:v>
      </x:c>
      <x:c r="K70" s="41" t="str">
        <x:v>SR-CT15</x:v>
      </x:c>
      <x:c r="L70" s="41" t="str">
        <x:v>C</x:v>
      </x:c>
      <x:c r="M70" s="41" t="str">
        <x:v>brown cup</x:v>
      </x:c>
      <x:c r="N70" s="41" t="n">
        <x:v>4</x:v>
      </x:c>
      <x:c r="O70" s="41" t="n">
        <x:v>1</x:v>
      </x:c>
      <x:c r="P70" s="41" t="str">
        <x:v>Empty</x:v>
      </x:c>
      <x:c r="Q70" s="40" t="str">
        <x:v>Primary held-out state-object composition</x:v>
      </x:c>
      <x:c r="R70" s="41" t="n">
        <x:v>3</x:v>
      </x:c>
      <x:c r="S70" s="40" t="str">
        <x:v>Build the listed same-category discrimination scene with the bowl empty.</x:v>
      </x:c>
      <x:c r="T70" s="40" t="str">
        <x:v>Two same-category candidates share the non-queried state axis; only the held-out state word identifies the target.</x:v>
      </x:c>
      <x:c r="U70" s="40" t="str"/>
    </x:row>
    <x:row r="71" ht="51" customHeight="1">
      <x:c r="A71" s="32" t="str">
        <x:v>Not collected</x:v>
      </x:c>
      <x:c r="B71" s="34" t="n">
        <x:v>69</x:v>
      </x:c>
      <x:c r="C71" s="32" t="str">
        <x:v>Place the open brown cup in the bowl.</x:v>
      </x:c>
      <x:c r="D71" s="32" t="str">
        <x:v>brown cup A (C, UD); brown cup B (O, UD); glass spice container A (C, UD); white cup B (O, UD)</x:v>
      </x:c>
      <x:c r="E71" s="34" t="n">
        <x:v>68</x:v>
      </x:c>
      <x:c r="F71" s="34" t="str">
        <x:v>112</x:v>
      </x:c>
      <x:c r="G71" s="32" t="str">
        <x:v>Training-supported state-object cell for the control. The evaluation scene is shared exactly with the paired transfer row, while the physical layout is manually recreated.</x:v>
      </x:c>
      <x:c r="H71" s="32" t="str">
        <x:v>brown cup B</x:v>
      </x:c>
      <x:c r="I71" s="32" t="str"/>
      <x:c r="J71" s="37" t="str">
        <x:v>Matched manipulation control</x:v>
      </x:c>
      <x:c r="K71" s="34" t="str">
        <x:v>SR-CT15</x:v>
      </x:c>
      <x:c r="L71" s="34" t="str">
        <x:v>O</x:v>
      </x:c>
      <x:c r="M71" s="34" t="str">
        <x:v>brown cup</x:v>
      </x:c>
      <x:c r="N71" s="34" t="n">
        <x:v>4</x:v>
      </x:c>
      <x:c r="O71" s="34" t="n">
        <x:v>1</x:v>
      </x:c>
      <x:c r="P71" s="34" t="str">
        <x:v>Empty</x:v>
      </x:c>
      <x:c r="Q71" s="32" t="str">
        <x:v>Exact-scene trained state-object counterfactual</x:v>
      </x:c>
      <x:c r="R71" s="34" t="n">
        <x:v>3</x:v>
      </x:c>
      <x:c r="S71" s="32" t="str">
        <x:v>Reset the moved object exactly; preserve every object and state; change only the prompt and expected target.</x:v>
      </x:c>
      <x:c r="T71" s="32" t="str">
        <x:v>The correct target switches to the other same-category instance. This cell is explicit in training and controls recognition/manipulation in the transfer scene.</x:v>
      </x:c>
      <x:c r="U71" s="32" t="str"/>
    </x:row>
    <x:row r="72" ht="51" customHeight="1">
      <x:c r="A72" s="40" t="str">
        <x:v>Not collected</x:v>
      </x:c>
      <x:c r="B72" s="41" t="n">
        <x:v>70</x:v>
      </x:c>
      <x:c r="C72" s="40" t="str">
        <x:v>Place the upright glass spice container in the bowl.</x:v>
      </x:c>
      <x:c r="D72" s="40" t="str">
        <x:v>glass spice container B (O, RU); glass spice container A (O, UD)</x:v>
      </x:c>
      <x:c r="E72" s="41" t="str"/>
      <x:c r="F72" s="41" t="str">
        <x:v>157</x:v>
      </x:c>
      <x:c r="G72" s="40" t="str">
        <x:v>Physical-state and manipulation-trajectory reference under a direct category prompt; the evaluated state word × object-category cell is intentionally absent from training.</x:v>
      </x:c>
      <x:c r="H72" s="40" t="str">
        <x:v>glass spice container B</x:v>
      </x:c>
      <x:c r="I72" s="40" t="str"/>
      <x:c r="J72" s="45" t="str">
        <x:v>Concept/compositional transfer</x:v>
      </x:c>
      <x:c r="K72" s="41" t="str">
        <x:v>SR-CT16</x:v>
      </x:c>
      <x:c r="L72" s="41" t="str">
        <x:v>RU</x:v>
      </x:c>
      <x:c r="M72" s="41" t="str">
        <x:v>glass spice container</x:v>
      </x:c>
      <x:c r="N72" s="41" t="n">
        <x:v>2</x:v>
      </x:c>
      <x:c r="O72" s="41" t="n">
        <x:v>1</x:v>
      </x:c>
      <x:c r="P72" s="41" t="str">
        <x:v>Empty</x:v>
      </x:c>
      <x:c r="Q72" s="40" t="str">
        <x:v>Primary held-out state-object composition</x:v>
      </x:c>
      <x:c r="R72" s="41" t="n">
        <x:v>3</x:v>
      </x:c>
      <x:c r="S72" s="40" t="str">
        <x:v>Build the listed same-category discrimination scene with the bowl empty.</x:v>
      </x:c>
      <x:c r="T72" s="40" t="str">
        <x:v>Two same-category candidates share the non-queried state axis; only the held-out state word identifies the target.</x:v>
      </x:c>
      <x:c r="U72" s="40" t="str"/>
    </x:row>
    <x:row r="73" ht="51" customHeight="1">
      <x:c r="A73" s="32" t="str">
        <x:v>Not collected</x:v>
      </x:c>
      <x:c r="B73" s="34" t="n">
        <x:v>71</x:v>
      </x:c>
      <x:c r="C73" s="32" t="str">
        <x:v>Place the upside-down glass spice container in the bowl.</x:v>
      </x:c>
      <x:c r="D73" s="32" t="str">
        <x:v>glass spice container B (O, RU); glass spice container A (O, UD)</x:v>
      </x:c>
      <x:c r="E73" s="34" t="n">
        <x:v>70</x:v>
      </x:c>
      <x:c r="F73" s="34" t="str">
        <x:v>189</x:v>
      </x:c>
      <x:c r="G73" s="32" t="str">
        <x:v>Training-supported state-object cell for the control. The evaluation scene is shared exactly with the paired transfer row, while the physical layout is manually recreated.</x:v>
      </x:c>
      <x:c r="H73" s="32" t="str">
        <x:v>glass spice container A</x:v>
      </x:c>
      <x:c r="I73" s="32" t="str"/>
      <x:c r="J73" s="37" t="str">
        <x:v>Matched manipulation control</x:v>
      </x:c>
      <x:c r="K73" s="34" t="str">
        <x:v>SR-CT16</x:v>
      </x:c>
      <x:c r="L73" s="34" t="str">
        <x:v>UD</x:v>
      </x:c>
      <x:c r="M73" s="34" t="str">
        <x:v>glass spice container</x:v>
      </x:c>
      <x:c r="N73" s="34" t="n">
        <x:v>2</x:v>
      </x:c>
      <x:c r="O73" s="34" t="n">
        <x:v>1</x:v>
      </x:c>
      <x:c r="P73" s="34" t="str">
        <x:v>Empty</x:v>
      </x:c>
      <x:c r="Q73" s="32" t="str">
        <x:v>Exact-scene trained state-object counterfactual</x:v>
      </x:c>
      <x:c r="R73" s="34" t="n">
        <x:v>3</x:v>
      </x:c>
      <x:c r="S73" s="32" t="str">
        <x:v>Reset the moved object exactly; preserve every object and state; change only the prompt and expected target.</x:v>
      </x:c>
      <x:c r="T73" s="32" t="str">
        <x:v>The correct target switches to the other same-category instance. This cell is explicit in training and controls recognition/manipulation in the transfer scene.</x:v>
      </x:c>
      <x:c r="U73" s="32" t="str"/>
    </x:row>
    <x:row r="74" ht="51" customHeight="1">
      <x:c r="A74" s="40" t="str">
        <x:v>Not collected</x:v>
      </x:c>
      <x:c r="B74" s="41" t="n">
        <x:v>72</x:v>
      </x:c>
      <x:c r="C74" s="40" t="str">
        <x:v>Place the upside-down white cup in the bowl.</x:v>
      </x:c>
      <x:c r="D74" s="40" t="str">
        <x:v>white cup A (C, UD); white cup B (C, RU); brown cup A (C, RU)</x:v>
      </x:c>
      <x:c r="E74" s="41" t="str"/>
      <x:c r="F74" s="41" t="str">
        <x:v>35</x:v>
      </x:c>
      <x:c r="G74" s="40" t="str">
        <x:v>Physical-state and manipulation-trajectory reference under a direct category prompt; the evaluated state word × object-category cell is intentionally absent from training.</x:v>
      </x:c>
      <x:c r="H74" s="40" t="str">
        <x:v>white cup A</x:v>
      </x:c>
      <x:c r="I74" s="40" t="str"/>
      <x:c r="J74" s="45" t="str">
        <x:v>Concept/compositional transfer</x:v>
      </x:c>
      <x:c r="K74" s="41" t="str">
        <x:v>SR-CT17</x:v>
      </x:c>
      <x:c r="L74" s="41" t="str">
        <x:v>UD</x:v>
      </x:c>
      <x:c r="M74" s="41" t="str">
        <x:v>white cup</x:v>
      </x:c>
      <x:c r="N74" s="41" t="n">
        <x:v>3</x:v>
      </x:c>
      <x:c r="O74" s="41" t="n">
        <x:v>1</x:v>
      </x:c>
      <x:c r="P74" s="41" t="str">
        <x:v>Empty</x:v>
      </x:c>
      <x:c r="Q74" s="40" t="str">
        <x:v>Primary held-out state-object composition</x:v>
      </x:c>
      <x:c r="R74" s="41" t="n">
        <x:v>3</x:v>
      </x:c>
      <x:c r="S74" s="40" t="str">
        <x:v>Build the listed same-category discrimination scene with the bowl empty.</x:v>
      </x:c>
      <x:c r="T74" s="40" t="str">
        <x:v>Two same-category candidates share the non-queried state axis; only the held-out state word identifies the target.</x:v>
      </x:c>
      <x:c r="U74" s="40" t="str"/>
    </x:row>
    <x:row r="75" ht="51" customHeight="1">
      <x:c r="A75" s="32" t="str">
        <x:v>Not collected</x:v>
      </x:c>
      <x:c r="B75" s="34" t="n">
        <x:v>73</x:v>
      </x:c>
      <x:c r="C75" s="32" t="str">
        <x:v>Place the upright white cup in the bowl.</x:v>
      </x:c>
      <x:c r="D75" s="32" t="str">
        <x:v>white cup A (C, UD); white cup B (C, RU); brown cup A (C, RU)</x:v>
      </x:c>
      <x:c r="E75" s="34" t="n">
        <x:v>72</x:v>
      </x:c>
      <x:c r="F75" s="34" t="str">
        <x:v>48</x:v>
      </x:c>
      <x:c r="G75" s="32" t="str">
        <x:v>Training-supported state-object cell for the control. The evaluation scene is shared exactly with the paired transfer row, while the physical layout is manually recreated.</x:v>
      </x:c>
      <x:c r="H75" s="32" t="str">
        <x:v>white cup B</x:v>
      </x:c>
      <x:c r="I75" s="32" t="str"/>
      <x:c r="J75" s="37" t="str">
        <x:v>Matched manipulation control</x:v>
      </x:c>
      <x:c r="K75" s="34" t="str">
        <x:v>SR-CT17</x:v>
      </x:c>
      <x:c r="L75" s="34" t="str">
        <x:v>RU</x:v>
      </x:c>
      <x:c r="M75" s="34" t="str">
        <x:v>white cup</x:v>
      </x:c>
      <x:c r="N75" s="34" t="n">
        <x:v>3</x:v>
      </x:c>
      <x:c r="O75" s="34" t="n">
        <x:v>1</x:v>
      </x:c>
      <x:c r="P75" s="34" t="str">
        <x:v>Empty</x:v>
      </x:c>
      <x:c r="Q75" s="32" t="str">
        <x:v>Exact-scene trained state-object counterfactual</x:v>
      </x:c>
      <x:c r="R75" s="34" t="n">
        <x:v>3</x:v>
      </x:c>
      <x:c r="S75" s="32" t="str">
        <x:v>Reset the moved object exactly; preserve every object and state; change only the prompt and expected target.</x:v>
      </x:c>
      <x:c r="T75" s="32" t="str">
        <x:v>The correct target switches to the other same-category instance. This cell is explicit in training and controls recognition/manipulation in the transfer scene.</x:v>
      </x:c>
      <x:c r="U75" s="32" t="str"/>
    </x:row>
    <x:row r="76" ht="51" customHeight="1">
      <x:c r="A76" s="40" t="str">
        <x:v>Not collected</x:v>
      </x:c>
      <x:c r="B76" s="41" t="n">
        <x:v>74</x:v>
      </x:c>
      <x:c r="C76" s="40" t="str">
        <x:v>Place the open yellow-white striped cup in the bowl.</x:v>
      </x:c>
      <x:c r="D76" s="40" t="str">
        <x:v>yellow-white striped cup B (O, RU); yellow-white striped cup A (C, RU); glass spice container B (O, RU); white cup A (C, UD)</x:v>
      </x:c>
      <x:c r="E76" s="41" t="str"/>
      <x:c r="F76" s="41" t="str">
        <x:v>72</x:v>
      </x:c>
      <x:c r="G76" s="40" t="str">
        <x:v>Physical-state and manipulation-trajectory reference under a direct category prompt; the evaluated state word × object-category cell is intentionally absent from training.</x:v>
      </x:c>
      <x:c r="H76" s="40" t="str">
        <x:v>yellow-white striped cup B</x:v>
      </x:c>
      <x:c r="I76" s="40" t="str"/>
      <x:c r="J76" s="45" t="str">
        <x:v>Concept/compositional transfer</x:v>
      </x:c>
      <x:c r="K76" s="41" t="str">
        <x:v>SR-CT18</x:v>
      </x:c>
      <x:c r="L76" s="41" t="str">
        <x:v>O</x:v>
      </x:c>
      <x:c r="M76" s="41" t="str">
        <x:v>yellow-white striped cup</x:v>
      </x:c>
      <x:c r="N76" s="41" t="n">
        <x:v>4</x:v>
      </x:c>
      <x:c r="O76" s="41" t="n">
        <x:v>1</x:v>
      </x:c>
      <x:c r="P76" s="41" t="str">
        <x:v>Empty</x:v>
      </x:c>
      <x:c r="Q76" s="40" t="str">
        <x:v>Primary held-out state-object composition</x:v>
      </x:c>
      <x:c r="R76" s="41" t="n">
        <x:v>3</x:v>
      </x:c>
      <x:c r="S76" s="40" t="str">
        <x:v>Build the listed same-category discrimination scene with the bowl empty.</x:v>
      </x:c>
      <x:c r="T76" s="40" t="str">
        <x:v>Two same-category candidates share the non-queried state axis; only the held-out state word identifies the target.</x:v>
      </x:c>
      <x:c r="U76" s="40" t="str"/>
    </x:row>
    <x:row r="77" ht="51" customHeight="1">
      <x:c r="A77" s="32" t="str">
        <x:v>Not collected</x:v>
      </x:c>
      <x:c r="B77" s="34" t="n">
        <x:v>75</x:v>
      </x:c>
      <x:c r="C77" s="32" t="str">
        <x:v>Place the closed yellow-white striped cup in the bowl.</x:v>
      </x:c>
      <x:c r="D77" s="32" t="str">
        <x:v>yellow-white striped cup B (O, RU); yellow-white striped cup A (C, RU); glass spice container B (O, RU); white cup A (C, UD)</x:v>
      </x:c>
      <x:c r="E77" s="34" t="n">
        <x:v>74</x:v>
      </x:c>
      <x:c r="F77" s="34" t="str">
        <x:v>74</x:v>
      </x:c>
      <x:c r="G77" s="32" t="str">
        <x:v>Training-supported state-object cell for the control. The evaluation scene is shared exactly with the paired transfer row, while the physical layout is manually recreated.</x:v>
      </x:c>
      <x:c r="H77" s="32" t="str">
        <x:v>yellow-white striped cup A</x:v>
      </x:c>
      <x:c r="I77" s="32" t="str"/>
      <x:c r="J77" s="37" t="str">
        <x:v>Matched manipulation control</x:v>
      </x:c>
      <x:c r="K77" s="34" t="str">
        <x:v>SR-CT18</x:v>
      </x:c>
      <x:c r="L77" s="34" t="str">
        <x:v>C</x:v>
      </x:c>
      <x:c r="M77" s="34" t="str">
        <x:v>yellow-white striped cup</x:v>
      </x:c>
      <x:c r="N77" s="34" t="n">
        <x:v>4</x:v>
      </x:c>
      <x:c r="O77" s="34" t="n">
        <x:v>1</x:v>
      </x:c>
      <x:c r="P77" s="34" t="str">
        <x:v>Empty</x:v>
      </x:c>
      <x:c r="Q77" s="32" t="str">
        <x:v>Exact-scene trained state-object counterfactual</x:v>
      </x:c>
      <x:c r="R77" s="34" t="n">
        <x:v>3</x:v>
      </x:c>
      <x:c r="S77" s="32" t="str">
        <x:v>Reset the moved object exactly; preserve every object and state; change only the prompt and expected target.</x:v>
      </x:c>
      <x:c r="T77" s="32" t="str">
        <x:v>The correct target switches to the other same-category instance. This cell is explicit in training and controls recognition/manipulation in the transfer scene.</x:v>
      </x:c>
      <x:c r="U77" s="32" t="str"/>
    </x:row>
    <x:row r="78" ht="51" customHeight="1">
      <x:c r="A78" s="40" t="str">
        <x:v>Not collected</x:v>
      </x:c>
      <x:c r="B78" s="41" t="n">
        <x:v>76</x:v>
      </x:c>
      <x:c r="C78" s="40" t="str">
        <x:v>Place the closed brown cup in the bowl.</x:v>
      </x:c>
      <x:c r="D78" s="40" t="str">
        <x:v>brown cup A (C, RU); brown cup B (O, RU)</x:v>
      </x:c>
      <x:c r="E78" s="41" t="str"/>
      <x:c r="F78" s="41" t="str">
        <x:v>105</x:v>
      </x:c>
      <x:c r="G78" s="40" t="str">
        <x:v>Physical-state and manipulation-trajectory reference under a direct category prompt; the evaluated state word × object-category cell is intentionally absent from training.</x:v>
      </x:c>
      <x:c r="H78" s="40" t="str">
        <x:v>brown cup A</x:v>
      </x:c>
      <x:c r="I78" s="40" t="str"/>
      <x:c r="J78" s="45" t="str">
        <x:v>Concept/compositional transfer</x:v>
      </x:c>
      <x:c r="K78" s="41" t="str">
        <x:v>SR-CT19</x:v>
      </x:c>
      <x:c r="L78" s="41" t="str">
        <x:v>C</x:v>
      </x:c>
      <x:c r="M78" s="41" t="str">
        <x:v>brown cup</x:v>
      </x:c>
      <x:c r="N78" s="41" t="n">
        <x:v>2</x:v>
      </x:c>
      <x:c r="O78" s="41" t="n">
        <x:v>1</x:v>
      </x:c>
      <x:c r="P78" s="41" t="str">
        <x:v>Empty</x:v>
      </x:c>
      <x:c r="Q78" s="40" t="str">
        <x:v>Primary held-out state-object composition</x:v>
      </x:c>
      <x:c r="R78" s="41" t="n">
        <x:v>3</x:v>
      </x:c>
      <x:c r="S78" s="40" t="str">
        <x:v>Build the listed same-category discrimination scene with the bowl empty.</x:v>
      </x:c>
      <x:c r="T78" s="40" t="str">
        <x:v>Two same-category candidates share the non-queried state axis; only the held-out state word identifies the target.</x:v>
      </x:c>
      <x:c r="U78" s="40" t="str"/>
    </x:row>
    <x:row r="79" ht="51" customHeight="1">
      <x:c r="A79" s="32" t="str">
        <x:v>Not collected</x:v>
      </x:c>
      <x:c r="B79" s="34" t="n">
        <x:v>77</x:v>
      </x:c>
      <x:c r="C79" s="32" t="str">
        <x:v>Place the open brown cup in the bowl.</x:v>
      </x:c>
      <x:c r="D79" s="32" t="str">
        <x:v>brown cup A (C, RU); brown cup B (O, RU)</x:v>
      </x:c>
      <x:c r="E79" s="34" t="n">
        <x:v>76</x:v>
      </x:c>
      <x:c r="F79" s="34" t="str">
        <x:v>121</x:v>
      </x:c>
      <x:c r="G79" s="32" t="str">
        <x:v>Training-supported state-object cell for the control. The evaluation scene is shared exactly with the paired transfer row, while the physical layout is manually recreated.</x:v>
      </x:c>
      <x:c r="H79" s="32" t="str">
        <x:v>brown cup B</x:v>
      </x:c>
      <x:c r="I79" s="32" t="str"/>
      <x:c r="J79" s="37" t="str">
        <x:v>Matched manipulation control</x:v>
      </x:c>
      <x:c r="K79" s="34" t="str">
        <x:v>SR-CT19</x:v>
      </x:c>
      <x:c r="L79" s="34" t="str">
        <x:v>O</x:v>
      </x:c>
      <x:c r="M79" s="34" t="str">
        <x:v>brown cup</x:v>
      </x:c>
      <x:c r="N79" s="34" t="n">
        <x:v>2</x:v>
      </x:c>
      <x:c r="O79" s="34" t="n">
        <x:v>1</x:v>
      </x:c>
      <x:c r="P79" s="34" t="str">
        <x:v>Empty</x:v>
      </x:c>
      <x:c r="Q79" s="32" t="str">
        <x:v>Exact-scene trained state-object counterfactual</x:v>
      </x:c>
      <x:c r="R79" s="34" t="n">
        <x:v>3</x:v>
      </x:c>
      <x:c r="S79" s="32" t="str">
        <x:v>Reset the moved object exactly; preserve every object and state; change only the prompt and expected target.</x:v>
      </x:c>
      <x:c r="T79" s="32" t="str">
        <x:v>The correct target switches to the other same-category instance. This cell is explicit in training and controls recognition/manipulation in the transfer scene.</x:v>
      </x:c>
      <x:c r="U79" s="32" t="str"/>
    </x:row>
    <x:row r="80" ht="51" customHeight="1">
      <x:c r="A80" s="40" t="str">
        <x:v>Not collected</x:v>
      </x:c>
      <x:c r="B80" s="41" t="n">
        <x:v>78</x:v>
      </x:c>
      <x:c r="C80" s="40" t="str">
        <x:v>Place the upright glass spice container in the bowl.</x:v>
      </x:c>
      <x:c r="D80" s="40" t="str">
        <x:v>glass spice container B (C, RU); glass spice container A (C, UD); yellow-white striped cup B (O, UD)</x:v>
      </x:c>
      <x:c r="E80" s="41" t="str"/>
      <x:c r="F80" s="41" t="str">
        <x:v>179</x:v>
      </x:c>
      <x:c r="G80" s="40" t="str">
        <x:v>Physical-state and manipulation-trajectory reference under a direct category prompt; the evaluated state word × object-category cell is intentionally absent from training.</x:v>
      </x:c>
      <x:c r="H80" s="40" t="str">
        <x:v>glass spice container B</x:v>
      </x:c>
      <x:c r="I80" s="40" t="str"/>
      <x:c r="J80" s="45" t="str">
        <x:v>Concept/compositional transfer</x:v>
      </x:c>
      <x:c r="K80" s="41" t="str">
        <x:v>SR-CT20</x:v>
      </x:c>
      <x:c r="L80" s="41" t="str">
        <x:v>RU</x:v>
      </x:c>
      <x:c r="M80" s="41" t="str">
        <x:v>glass spice container</x:v>
      </x:c>
      <x:c r="N80" s="41" t="n">
        <x:v>3</x:v>
      </x:c>
      <x:c r="O80" s="41" t="n">
        <x:v>1</x:v>
      </x:c>
      <x:c r="P80" s="41" t="str">
        <x:v>Empty</x:v>
      </x:c>
      <x:c r="Q80" s="40" t="str">
        <x:v>Primary held-out state-object composition</x:v>
      </x:c>
      <x:c r="R80" s="41" t="n">
        <x:v>3</x:v>
      </x:c>
      <x:c r="S80" s="40" t="str">
        <x:v>Build the listed same-category discrimination scene with the bowl empty.</x:v>
      </x:c>
      <x:c r="T80" s="40" t="str">
        <x:v>Two same-category candidates share the non-queried state axis; only the held-out state word identifies the target.</x:v>
      </x:c>
      <x:c r="U80" s="40" t="str"/>
    </x:row>
    <x:row r="81" ht="51" customHeight="1">
      <x:c r="A81" s="32" t="str">
        <x:v>Not collected</x:v>
      </x:c>
      <x:c r="B81" s="34" t="n">
        <x:v>79</x:v>
      </x:c>
      <x:c r="C81" s="32" t="str">
        <x:v>Place the upside-down glass spice container in the bowl.</x:v>
      </x:c>
      <x:c r="D81" s="32" t="str">
        <x:v>glass spice container B (C, RU); glass spice container A (C, UD); yellow-white striped cup B (O, UD)</x:v>
      </x:c>
      <x:c r="E81" s="34" t="n">
        <x:v>78</x:v>
      </x:c>
      <x:c r="F81" s="34" t="str">
        <x:v>177</x:v>
      </x:c>
      <x:c r="G81" s="32" t="str">
        <x:v>Training-supported state-object cell for the control. The evaluation scene is shared exactly with the paired transfer row, while the physical layout is manually recreated.</x:v>
      </x:c>
      <x:c r="H81" s="32" t="str">
        <x:v>glass spice container A</x:v>
      </x:c>
      <x:c r="I81" s="32" t="str"/>
      <x:c r="J81" s="37" t="str">
        <x:v>Matched manipulation control</x:v>
      </x:c>
      <x:c r="K81" s="34" t="str">
        <x:v>SR-CT20</x:v>
      </x:c>
      <x:c r="L81" s="34" t="str">
        <x:v>UD</x:v>
      </x:c>
      <x:c r="M81" s="34" t="str">
        <x:v>glass spice container</x:v>
      </x:c>
      <x:c r="N81" s="34" t="n">
        <x:v>3</x:v>
      </x:c>
      <x:c r="O81" s="34" t="n">
        <x:v>1</x:v>
      </x:c>
      <x:c r="P81" s="34" t="str">
        <x:v>Empty</x:v>
      </x:c>
      <x:c r="Q81" s="32" t="str">
        <x:v>Exact-scene trained state-object counterfactual</x:v>
      </x:c>
      <x:c r="R81" s="34" t="n">
        <x:v>3</x:v>
      </x:c>
      <x:c r="S81" s="32" t="str">
        <x:v>Reset the moved object exactly; preserve every object and state; change only the prompt and expected target.</x:v>
      </x:c>
      <x:c r="T81" s="32" t="str">
        <x:v>The correct target switches to the other same-category instance. This cell is explicit in training and controls recognition/manipulation in the transfer scene.</x:v>
      </x:c>
      <x:c r="U81" s="32" t="str"/>
    </x:row>
    <x:row r="82" ht="51" customHeight="1">
      <x:c r="A82" s="40" t="str">
        <x:v>Not collected</x:v>
      </x:c>
      <x:c r="B82" s="41" t="n">
        <x:v>80</x:v>
      </x:c>
      <x:c r="C82" s="40" t="str">
        <x:v>Place the upside-down white cup in the bowl.</x:v>
      </x:c>
      <x:c r="D82" s="40" t="str">
        <x:v>white cup A (O, UD); white cup B (O, RU); glass spice container A (C, RU); yellow-white striped cup B (O, RU)</x:v>
      </x:c>
      <x:c r="E82" s="41" t="str"/>
      <x:c r="F82" s="41" t="str">
        <x:v>34</x:v>
      </x:c>
      <x:c r="G82" s="40" t="str">
        <x:v>Physical-state and manipulation-trajectory reference under a direct category prompt; the evaluated state word × object-category cell is intentionally absent from training.</x:v>
      </x:c>
      <x:c r="H82" s="40" t="str">
        <x:v>white cup A</x:v>
      </x:c>
      <x:c r="I82" s="40" t="str"/>
      <x:c r="J82" s="45" t="str">
        <x:v>Concept/compositional transfer</x:v>
      </x:c>
      <x:c r="K82" s="41" t="str">
        <x:v>SR-CT21</x:v>
      </x:c>
      <x:c r="L82" s="41" t="str">
        <x:v>UD</x:v>
      </x:c>
      <x:c r="M82" s="41" t="str">
        <x:v>white cup</x:v>
      </x:c>
      <x:c r="N82" s="41" t="n">
        <x:v>4</x:v>
      </x:c>
      <x:c r="O82" s="41" t="n">
        <x:v>1</x:v>
      </x:c>
      <x:c r="P82" s="41" t="str">
        <x:v>Empty</x:v>
      </x:c>
      <x:c r="Q82" s="40" t="str">
        <x:v>Primary held-out state-object composition</x:v>
      </x:c>
      <x:c r="R82" s="41" t="n">
        <x:v>4</x:v>
      </x:c>
      <x:c r="S82" s="40" t="str">
        <x:v>Build the listed same-category discrimination scene with the bowl empty.</x:v>
      </x:c>
      <x:c r="T82" s="40" t="str">
        <x:v>Two same-category candidates share the non-queried state axis; only the held-out state word identifies the target.</x:v>
      </x:c>
      <x:c r="U82" s="40" t="str"/>
    </x:row>
    <x:row r="83" ht="51" customHeight="1">
      <x:c r="A83" s="43" t="str">
        <x:v>Not collected</x:v>
      </x:c>
      <x:c r="B83" s="44" t="n">
        <x:v>81</x:v>
      </x:c>
      <x:c r="C83" s="43" t="str">
        <x:v>Place the open yellow-white striped cup in the bowl.</x:v>
      </x:c>
      <x:c r="D83" s="43" t="str">
        <x:v>yellow-white striped cup B (O, UD); yellow-white striped cup A (C, UD)</x:v>
      </x:c>
      <x:c r="E83" s="44" t="str"/>
      <x:c r="F83" s="44" t="str">
        <x:v>53</x:v>
      </x:c>
      <x:c r="G83" s="43" t="str">
        <x:v>Physical-state and manipulation-trajectory reference under a direct category prompt; the evaluated state word × object-category cell is intentionally absent from training.</x:v>
      </x:c>
      <x:c r="H83" s="43" t="str">
        <x:v>yellow-white striped cup B</x:v>
      </x:c>
      <x:c r="I83" s="43" t="str"/>
      <x:c r="J83" s="45" t="str">
        <x:v>Concept/compositional transfer</x:v>
      </x:c>
      <x:c r="K83" s="44" t="str">
        <x:v>SR-CT22</x:v>
      </x:c>
      <x:c r="L83" s="44" t="str">
        <x:v>O</x:v>
      </x:c>
      <x:c r="M83" s="44" t="str">
        <x:v>yellow-white striped cup</x:v>
      </x:c>
      <x:c r="N83" s="44" t="n">
        <x:v>2</x:v>
      </x:c>
      <x:c r="O83" s="44" t="n">
        <x:v>1</x:v>
      </x:c>
      <x:c r="P83" s="44" t="str">
        <x:v>Empty</x:v>
      </x:c>
      <x:c r="Q83" s="43" t="str">
        <x:v>Primary held-out state-object composition</x:v>
      </x:c>
      <x:c r="R83" s="44" t="n">
        <x:v>4</x:v>
      </x:c>
      <x:c r="S83" s="43" t="str">
        <x:v>Build the listed same-category discrimination scene with the bowl empty.</x:v>
      </x:c>
      <x:c r="T83" s="43" t="str">
        <x:v>Two same-category candidates share the non-queried state axis; only the held-out state word identifies the target.</x:v>
      </x:c>
      <x:c r="U83" s="43" t="str"/>
    </x:row>
    <x:row r="84" ht="51" customHeight="1">
      <x:c r="A84" s="40" t="str">
        <x:v>Not collected</x:v>
      </x:c>
      <x:c r="B84" s="41" t="n">
        <x:v>82</x:v>
      </x:c>
      <x:c r="C84" s="40" t="str">
        <x:v>Place the closed brown cup in the bowl.</x:v>
      </x:c>
      <x:c r="D84" s="40" t="str">
        <x:v>brown cup A (C, UD); brown cup B (O, UD); yellow-white striped cup A (C, UD)</x:v>
      </x:c>
      <x:c r="E84" s="41" t="str"/>
      <x:c r="F84" s="41" t="str">
        <x:v>107</x:v>
      </x:c>
      <x:c r="G84" s="40" t="str">
        <x:v>Physical-state and manipulation-trajectory reference under a direct category prompt; the evaluated state word × object-category cell is intentionally absent from training.</x:v>
      </x:c>
      <x:c r="H84" s="40" t="str">
        <x:v>brown cup A</x:v>
      </x:c>
      <x:c r="I84" s="40" t="str"/>
      <x:c r="J84" s="45" t="str">
        <x:v>Concept/compositional transfer</x:v>
      </x:c>
      <x:c r="K84" s="41" t="str">
        <x:v>SR-CT23</x:v>
      </x:c>
      <x:c r="L84" s="41" t="str">
        <x:v>C</x:v>
      </x:c>
      <x:c r="M84" s="41" t="str">
        <x:v>brown cup</x:v>
      </x:c>
      <x:c r="N84" s="41" t="n">
        <x:v>3</x:v>
      </x:c>
      <x:c r="O84" s="41" t="n">
        <x:v>1</x:v>
      </x:c>
      <x:c r="P84" s="41" t="str">
        <x:v>Empty</x:v>
      </x:c>
      <x:c r="Q84" s="40" t="str">
        <x:v>Primary held-out state-object composition</x:v>
      </x:c>
      <x:c r="R84" s="41" t="n">
        <x:v>4</x:v>
      </x:c>
      <x:c r="S84" s="40" t="str">
        <x:v>Build the listed same-category discrimination scene with the bowl empty.</x:v>
      </x:c>
      <x:c r="T84" s="40" t="str">
        <x:v>Two same-category candidates share the non-queried state axis; only the held-out state word identifies the target.</x:v>
      </x:c>
      <x:c r="U84" s="40" t="str"/>
    </x:row>
    <x:row r="85" ht="51" customHeight="1">
      <x:c r="A85" s="43" t="str">
        <x:v>Not collected</x:v>
      </x:c>
      <x:c r="B85" s="44" t="n">
        <x:v>83</x:v>
      </x:c>
      <x:c r="C85" s="43" t="str">
        <x:v>Place the upright glass spice container in the bowl.</x:v>
      </x:c>
      <x:c r="D85" s="43" t="str">
        <x:v>glass spice container B (O, RU); glass spice container A (O, UD); brown cup B (O, UD); white cup A (C, RU)</x:v>
      </x:c>
      <x:c r="E85" s="44" t="str"/>
      <x:c r="F85" s="44" t="str">
        <x:v>183</x:v>
      </x:c>
      <x:c r="G85" s="43" t="str">
        <x:v>Physical-state and manipulation-trajectory reference under a direct category prompt; the evaluated state word × object-category cell is intentionally absent from training.</x:v>
      </x:c>
      <x:c r="H85" s="43" t="str">
        <x:v>glass spice container B</x:v>
      </x:c>
      <x:c r="I85" s="43" t="str"/>
      <x:c r="J85" s="45" t="str">
        <x:v>Concept/compositional transfer</x:v>
      </x:c>
      <x:c r="K85" s="44" t="str">
        <x:v>SR-CT24</x:v>
      </x:c>
      <x:c r="L85" s="44" t="str">
        <x:v>RU</x:v>
      </x:c>
      <x:c r="M85" s="44" t="str">
        <x:v>glass spice container</x:v>
      </x:c>
      <x:c r="N85" s="44" t="n">
        <x:v>4</x:v>
      </x:c>
      <x:c r="O85" s="44" t="n">
        <x:v>1</x:v>
      </x:c>
      <x:c r="P85" s="44" t="str">
        <x:v>Empty</x:v>
      </x:c>
      <x:c r="Q85" s="43" t="str">
        <x:v>Primary held-out state-object composition</x:v>
      </x:c>
      <x:c r="R85" s="44" t="n">
        <x:v>4</x:v>
      </x:c>
      <x:c r="S85" s="43" t="str">
        <x:v>Build the listed same-category discrimination scene with the bowl empty.</x:v>
      </x:c>
      <x:c r="T85" s="43" t="str">
        <x:v>Two same-category candidates share the non-queried state axis; only the held-out state word identifies the target.</x:v>
      </x:c>
      <x:c r="U85" s="43" t="str"/>
    </x:row>
    <x:row r="86" ht="51" customHeight="1">
      <x:c r="A86" s="40" t="str">
        <x:v>Not collected</x:v>
      </x:c>
      <x:c r="B86" s="41" t="n">
        <x:v>84</x:v>
      </x:c>
      <x:c r="C86" s="40" t="str">
        <x:v>Place the upside-down white cup in the bowl.</x:v>
      </x:c>
      <x:c r="D86" s="40" t="str">
        <x:v>white cup A (C, UD); white cup B (C, RU)</x:v>
      </x:c>
      <x:c r="E86" s="41" t="str"/>
      <x:c r="F86" s="41" t="str">
        <x:v>39</x:v>
      </x:c>
      <x:c r="G86" s="40" t="str">
        <x:v>Physical-state and manipulation-trajectory reference under a direct category prompt; the evaluated state word × object-category cell is intentionally absent from training.</x:v>
      </x:c>
      <x:c r="H86" s="40" t="str">
        <x:v>white cup A</x:v>
      </x:c>
      <x:c r="I86" s="40" t="str"/>
      <x:c r="J86" s="45" t="str">
        <x:v>Concept/compositional transfer</x:v>
      </x:c>
      <x:c r="K86" s="41" t="str">
        <x:v>SR-CT25</x:v>
      </x:c>
      <x:c r="L86" s="41" t="str">
        <x:v>UD</x:v>
      </x:c>
      <x:c r="M86" s="41" t="str">
        <x:v>white cup</x:v>
      </x:c>
      <x:c r="N86" s="41" t="n">
        <x:v>2</x:v>
      </x:c>
      <x:c r="O86" s="41" t="n">
        <x:v>1</x:v>
      </x:c>
      <x:c r="P86" s="41" t="str">
        <x:v>Empty</x:v>
      </x:c>
      <x:c r="Q86" s="40" t="str">
        <x:v>Primary held-out state-object composition</x:v>
      </x:c>
      <x:c r="R86" s="41" t="n">
        <x:v>4</x:v>
      </x:c>
      <x:c r="S86" s="40" t="str">
        <x:v>Build the listed same-category discrimination scene with the bowl empty.</x:v>
      </x:c>
      <x:c r="T86" s="40" t="str">
        <x:v>Two same-category candidates share the non-queried state axis; only the held-out state word identifies the target.</x:v>
      </x:c>
      <x:c r="U86" s="40" t="str"/>
    </x:row>
    <x:row r="87" ht="51" customHeight="1">
      <x:c r="A87" s="43" t="str">
        <x:v>Not collected</x:v>
      </x:c>
      <x:c r="B87" s="44" t="n">
        <x:v>85</x:v>
      </x:c>
      <x:c r="C87" s="43" t="str">
        <x:v>Place the open yellow-white striped cup in the bowl.</x:v>
      </x:c>
      <x:c r="D87" s="43" t="str">
        <x:v>yellow-white striped cup B (O, RU); yellow-white striped cup A (C, RU); brown cup B (O, RU)</x:v>
      </x:c>
      <x:c r="E87" s="44" t="str"/>
      <x:c r="F87" s="44" t="str">
        <x:v>64</x:v>
      </x:c>
      <x:c r="G87" s="43" t="str">
        <x:v>Physical-state and manipulation-trajectory reference under a direct category prompt; the evaluated state word × object-category cell is intentionally absent from training.</x:v>
      </x:c>
      <x:c r="H87" s="43" t="str">
        <x:v>yellow-white striped cup B</x:v>
      </x:c>
      <x:c r="I87" s="43" t="str"/>
      <x:c r="J87" s="45" t="str">
        <x:v>Concept/compositional transfer</x:v>
      </x:c>
      <x:c r="K87" s="44" t="str">
        <x:v>SR-CT26</x:v>
      </x:c>
      <x:c r="L87" s="44" t="str">
        <x:v>O</x:v>
      </x:c>
      <x:c r="M87" s="44" t="str">
        <x:v>yellow-white striped cup</x:v>
      </x:c>
      <x:c r="N87" s="44" t="n">
        <x:v>3</x:v>
      </x:c>
      <x:c r="O87" s="44" t="n">
        <x:v>1</x:v>
      </x:c>
      <x:c r="P87" s="44" t="str">
        <x:v>Empty</x:v>
      </x:c>
      <x:c r="Q87" s="43" t="str">
        <x:v>Primary held-out state-object composition</x:v>
      </x:c>
      <x:c r="R87" s="44" t="n">
        <x:v>4</x:v>
      </x:c>
      <x:c r="S87" s="43" t="str">
        <x:v>Build the listed same-category discrimination scene with the bowl empty.</x:v>
      </x:c>
      <x:c r="T87" s="43" t="str">
        <x:v>Two same-category candidates share the non-queried state axis; only the held-out state word identifies the target.</x:v>
      </x:c>
      <x:c r="U87" s="43" t="str"/>
    </x:row>
    <x:row r="88" ht="51" customHeight="1">
      <x:c r="A88" s="40" t="str">
        <x:v>Not collected</x:v>
      </x:c>
      <x:c r="B88" s="41" t="n">
        <x:v>86</x:v>
      </x:c>
      <x:c r="C88" s="40" t="str">
        <x:v>Place the closed brown cup in the bowl.</x:v>
      </x:c>
      <x:c r="D88" s="40" t="str">
        <x:v>brown cup A (C, RU); brown cup B (O, RU); glass spice container A (C, UD); white cup B (O, UD)</x:v>
      </x:c>
      <x:c r="E88" s="41" t="str"/>
      <x:c r="F88" s="41" t="str">
        <x:v>143</x:v>
      </x:c>
      <x:c r="G88" s="40" t="str">
        <x:v>Physical-state and manipulation-trajectory reference under a direct category prompt; the evaluated state word × object-category cell is intentionally absent from training.</x:v>
      </x:c>
      <x:c r="H88" s="40" t="str">
        <x:v>brown cup A</x:v>
      </x:c>
      <x:c r="I88" s="40" t="str"/>
      <x:c r="J88" s="45" t="str">
        <x:v>Concept/compositional transfer</x:v>
      </x:c>
      <x:c r="K88" s="41" t="str">
        <x:v>SR-CT27</x:v>
      </x:c>
      <x:c r="L88" s="41" t="str">
        <x:v>C</x:v>
      </x:c>
      <x:c r="M88" s="41" t="str">
        <x:v>brown cup</x:v>
      </x:c>
      <x:c r="N88" s="41" t="n">
        <x:v>4</x:v>
      </x:c>
      <x:c r="O88" s="41" t="n">
        <x:v>1</x:v>
      </x:c>
      <x:c r="P88" s="41" t="str">
        <x:v>Empty</x:v>
      </x:c>
      <x:c r="Q88" s="40" t="str">
        <x:v>Primary held-out state-object composition</x:v>
      </x:c>
      <x:c r="R88" s="41" t="n">
        <x:v>4</x:v>
      </x:c>
      <x:c r="S88" s="40" t="str">
        <x:v>Build the listed same-category discrimination scene with the bowl empty.</x:v>
      </x:c>
      <x:c r="T88" s="40" t="str">
        <x:v>Two same-category candidates share the non-queried state axis; only the held-out state word identifies the target.</x:v>
      </x:c>
      <x:c r="U88" s="40" t="str"/>
    </x:row>
    <x:row r="89" ht="51" customHeight="1">
      <x:c r="A89" s="43" t="str">
        <x:v>Not collected</x:v>
      </x:c>
      <x:c r="B89" s="44" t="n">
        <x:v>87</x:v>
      </x:c>
      <x:c r="C89" s="43" t="str">
        <x:v>Place the upright glass spice container in the bowl.</x:v>
      </x:c>
      <x:c r="D89" s="43" t="str">
        <x:v>glass spice container B (C, RU); glass spice container A (C, UD)</x:v>
      </x:c>
      <x:c r="E89" s="44" t="str"/>
      <x:c r="F89" s="44" t="str">
        <x:v>182</x:v>
      </x:c>
      <x:c r="G89" s="43" t="str">
        <x:v>Physical-state and manipulation-trajectory reference under a direct category prompt; the evaluated state word × object-category cell is intentionally absent from training.</x:v>
      </x:c>
      <x:c r="H89" s="43" t="str">
        <x:v>glass spice container B</x:v>
      </x:c>
      <x:c r="I89" s="43" t="str"/>
      <x:c r="J89" s="45" t="str">
        <x:v>Concept/compositional transfer</x:v>
      </x:c>
      <x:c r="K89" s="44" t="str">
        <x:v>SR-CT28</x:v>
      </x:c>
      <x:c r="L89" s="44" t="str">
        <x:v>RU</x:v>
      </x:c>
      <x:c r="M89" s="44" t="str">
        <x:v>glass spice container</x:v>
      </x:c>
      <x:c r="N89" s="44" t="n">
        <x:v>2</x:v>
      </x:c>
      <x:c r="O89" s="44" t="n">
        <x:v>1</x:v>
      </x:c>
      <x:c r="P89" s="44" t="str">
        <x:v>Empty</x:v>
      </x:c>
      <x:c r="Q89" s="43" t="str">
        <x:v>Primary held-out state-object composition</x:v>
      </x:c>
      <x:c r="R89" s="44" t="n">
        <x:v>4</x:v>
      </x:c>
      <x:c r="S89" s="43" t="str">
        <x:v>Build the listed same-category discrimination scene with the bowl empty.</x:v>
      </x:c>
      <x:c r="T89" s="43" t="str">
        <x:v>Two same-category candidates share the non-queried state axis; only the held-out state word identifies the target.</x:v>
      </x:c>
      <x:c r="U89" s="43" t="str"/>
    </x:row>
    <x:row r="90" ht="51" customHeight="1">
      <x:c r="A90" s="40" t="str">
        <x:v>Not collected</x:v>
      </x:c>
      <x:c r="B90" s="41" t="n">
        <x:v>88</x:v>
      </x:c>
      <x:c r="C90" s="40" t="str">
        <x:v>Place the upside-down white cup in the bowl.</x:v>
      </x:c>
      <x:c r="D90" s="40" t="str">
        <x:v>white cup A (O, UD); white cup B (O, RU); brown cup A (C, RU)</x:v>
      </x:c>
      <x:c r="E90" s="41" t="str"/>
      <x:c r="F90" s="41" t="str">
        <x:v>49</x:v>
      </x:c>
      <x:c r="G90" s="40" t="str">
        <x:v>Physical-state and manipulation-trajectory reference under a direct category prompt; the evaluated state word × object-category cell is intentionally absent from training.</x:v>
      </x:c>
      <x:c r="H90" s="40" t="str">
        <x:v>white cup A</x:v>
      </x:c>
      <x:c r="I90" s="40" t="str"/>
      <x:c r="J90" s="45" t="str">
        <x:v>Concept/compositional transfer</x:v>
      </x:c>
      <x:c r="K90" s="41" t="str">
        <x:v>SR-CT29</x:v>
      </x:c>
      <x:c r="L90" s="41" t="str">
        <x:v>UD</x:v>
      </x:c>
      <x:c r="M90" s="41" t="str">
        <x:v>white cup</x:v>
      </x:c>
      <x:c r="N90" s="41" t="n">
        <x:v>3</x:v>
      </x:c>
      <x:c r="O90" s="41" t="n">
        <x:v>1</x:v>
      </x:c>
      <x:c r="P90" s="41" t="str">
        <x:v>Empty</x:v>
      </x:c>
      <x:c r="Q90" s="40" t="str">
        <x:v>Primary held-out state-object composition</x:v>
      </x:c>
      <x:c r="R90" s="41" t="n">
        <x:v>4</x:v>
      </x:c>
      <x:c r="S90" s="40" t="str">
        <x:v>Build the listed same-category discrimination scene with the bowl empty.</x:v>
      </x:c>
      <x:c r="T90" s="40" t="str">
        <x:v>Two same-category candidates share the non-queried state axis; only the held-out state word identifies the target.</x:v>
      </x:c>
      <x:c r="U90" s="40" t="str"/>
    </x:row>
    <x:row r="91" ht="51" customHeight="1">
      <x:c r="A91" s="43" t="str">
        <x:v>Not collected</x:v>
      </x:c>
      <x:c r="B91" s="44" t="n">
        <x:v>89</x:v>
      </x:c>
      <x:c r="C91" s="43" t="str">
        <x:v>Place the open yellow-white striped cup in the bowl.</x:v>
      </x:c>
      <x:c r="D91" s="43" t="str">
        <x:v>yellow-white striped cup B (O, UD); yellow-white striped cup A (C, UD); glass spice container B (O, RU); white cup A (C, UD)</x:v>
      </x:c>
      <x:c r="E91" s="44" t="str"/>
      <x:c r="F91" s="44" t="str">
        <x:v>53</x:v>
      </x:c>
      <x:c r="G91" s="43" t="str">
        <x:v>Physical-state and manipulation-trajectory reference under a direct category prompt; the evaluated state word × object-category cell is intentionally absent from training.</x:v>
      </x:c>
      <x:c r="H91" s="43" t="str">
        <x:v>yellow-white striped cup B</x:v>
      </x:c>
      <x:c r="I91" s="43" t="str"/>
      <x:c r="J91" s="45" t="str">
        <x:v>Concept/compositional transfer</x:v>
      </x:c>
      <x:c r="K91" s="44" t="str">
        <x:v>SR-CT30</x:v>
      </x:c>
      <x:c r="L91" s="44" t="str">
        <x:v>O</x:v>
      </x:c>
      <x:c r="M91" s="44" t="str">
        <x:v>yellow-white striped cup</x:v>
      </x:c>
      <x:c r="N91" s="44" t="n">
        <x:v>4</x:v>
      </x:c>
      <x:c r="O91" s="44" t="n">
        <x:v>1</x:v>
      </x:c>
      <x:c r="P91" s="44" t="str">
        <x:v>Empty</x:v>
      </x:c>
      <x:c r="Q91" s="43" t="str">
        <x:v>Primary held-out state-object composition</x:v>
      </x:c>
      <x:c r="R91" s="44" t="n">
        <x:v>4</x:v>
      </x:c>
      <x:c r="S91" s="43" t="str">
        <x:v>Build the listed same-category discrimination scene with the bowl empty.</x:v>
      </x:c>
      <x:c r="T91" s="43" t="str">
        <x:v>Two same-category candidates share the non-queried state axis; only the held-out state word identifies the target.</x:v>
      </x:c>
      <x:c r="U91" s="43" t="str"/>
    </x:row>
    <x:row r="92" ht="51" customHeight="1">
      <x:c r="A92" s="40" t="str">
        <x:v>Not collected</x:v>
      </x:c>
      <x:c r="B92" s="41" t="n">
        <x:v>90</x:v>
      </x:c>
      <x:c r="C92" s="40" t="str">
        <x:v>Place the closed brown cup in the bowl.</x:v>
      </x:c>
      <x:c r="D92" s="40" t="str">
        <x:v>brown cup A (C, UD); brown cup B (O, UD)</x:v>
      </x:c>
      <x:c r="E92" s="41" t="str"/>
      <x:c r="F92" s="41" t="str">
        <x:v>129</x:v>
      </x:c>
      <x:c r="G92" s="40" t="str">
        <x:v>Physical-state and manipulation-trajectory reference under a direct category prompt; the evaluated state word × object-category cell is intentionally absent from training.</x:v>
      </x:c>
      <x:c r="H92" s="40" t="str">
        <x:v>brown cup A</x:v>
      </x:c>
      <x:c r="I92" s="40" t="str"/>
      <x:c r="J92" s="45" t="str">
        <x:v>Concept/compositional transfer</x:v>
      </x:c>
      <x:c r="K92" s="41" t="str">
        <x:v>SR-CT31</x:v>
      </x:c>
      <x:c r="L92" s="41" t="str">
        <x:v>C</x:v>
      </x:c>
      <x:c r="M92" s="41" t="str">
        <x:v>brown cup</x:v>
      </x:c>
      <x:c r="N92" s="41" t="n">
        <x:v>2</x:v>
      </x:c>
      <x:c r="O92" s="41" t="n">
        <x:v>1</x:v>
      </x:c>
      <x:c r="P92" s="41" t="str">
        <x:v>Empty</x:v>
      </x:c>
      <x:c r="Q92" s="40" t="str">
        <x:v>Primary held-out state-object composition</x:v>
      </x:c>
      <x:c r="R92" s="41" t="n">
        <x:v>4</x:v>
      </x:c>
      <x:c r="S92" s="40" t="str">
        <x:v>Build the listed same-category discrimination scene with the bowl empty.</x:v>
      </x:c>
      <x:c r="T92" s="40" t="str">
        <x:v>Two same-category candidates share the non-queried state axis; only the held-out state word identifies the target.</x:v>
      </x:c>
      <x:c r="U92" s="40" t="str"/>
    </x:row>
    <x:row r="93" ht="51" customHeight="1">
      <x:c r="A93" s="43" t="str">
        <x:v>Not collected</x:v>
      </x:c>
      <x:c r="B93" s="44" t="n">
        <x:v>91</x:v>
      </x:c>
      <x:c r="C93" s="43" t="str">
        <x:v>Place the upright glass spice container in the bowl.</x:v>
      </x:c>
      <x:c r="D93" s="43" t="str">
        <x:v>glass spice container B (O, RU); glass spice container A (O, UD); yellow-white striped cup B (O, UD)</x:v>
      </x:c>
      <x:c r="E93" s="44" t="str"/>
      <x:c r="F93" s="44" t="str">
        <x:v>197</x:v>
      </x:c>
      <x:c r="G93" s="43" t="str">
        <x:v>Physical-state and manipulation-trajectory reference under a direct category prompt; the evaluated state word × object-category cell is intentionally absent from training.</x:v>
      </x:c>
      <x:c r="H93" s="43" t="str">
        <x:v>glass spice container B</x:v>
      </x:c>
      <x:c r="I93" s="43" t="str"/>
      <x:c r="J93" s="45" t="str">
        <x:v>Concept/compositional transfer</x:v>
      </x:c>
      <x:c r="K93" s="44" t="str">
        <x:v>SR-CT32</x:v>
      </x:c>
      <x:c r="L93" s="44" t="str">
        <x:v>RU</x:v>
      </x:c>
      <x:c r="M93" s="44" t="str">
        <x:v>glass spice container</x:v>
      </x:c>
      <x:c r="N93" s="44" t="n">
        <x:v>3</x:v>
      </x:c>
      <x:c r="O93" s="44" t="n">
        <x:v>1</x:v>
      </x:c>
      <x:c r="P93" s="44" t="str">
        <x:v>Empty</x:v>
      </x:c>
      <x:c r="Q93" s="43" t="str">
        <x:v>Primary held-out state-object composition</x:v>
      </x:c>
      <x:c r="R93" s="44" t="n">
        <x:v>4</x:v>
      </x:c>
      <x:c r="S93" s="43" t="str">
        <x:v>Build the listed same-category discrimination scene with the bowl empty.</x:v>
      </x:c>
      <x:c r="T93" s="43" t="str">
        <x:v>Two same-category candidates share the non-queried state axis; only the held-out state word identifies the target.</x:v>
      </x:c>
      <x:c r="U93" s="43" t="str"/>
    </x:row>
    <x:row r="94" ht="51" customHeight="1">
      <x:c r="A94" s="40" t="str">
        <x:v>Not collected</x:v>
      </x:c>
      <x:c r="B94" s="41" t="n">
        <x:v>92</x:v>
      </x:c>
      <x:c r="C94" s="40" t="str">
        <x:v>Place the upside-down white cup in the bowl.</x:v>
      </x:c>
      <x:c r="D94" s="40" t="str">
        <x:v>white cup A (C, UD); white cup B (C, RU); glass spice container A (C, RU); yellow-white striped cup B (O, RU)</x:v>
      </x:c>
      <x:c r="E94" s="41" t="str"/>
      <x:c r="F94" s="41" t="str">
        <x:v>35</x:v>
      </x:c>
      <x:c r="G94" s="40" t="str">
        <x:v>Physical-state and manipulation-trajectory reference under a direct category prompt; the evaluated state word × object-category cell is intentionally absent from training.</x:v>
      </x:c>
      <x:c r="H94" s="40" t="str">
        <x:v>white cup A</x:v>
      </x:c>
      <x:c r="I94" s="40" t="str"/>
      <x:c r="J94" s="45" t="str">
        <x:v>Concept/compositional transfer</x:v>
      </x:c>
      <x:c r="K94" s="41" t="str">
        <x:v>SR-CT33</x:v>
      </x:c>
      <x:c r="L94" s="41" t="str">
        <x:v>UD</x:v>
      </x:c>
      <x:c r="M94" s="41" t="str">
        <x:v>white cup</x:v>
      </x:c>
      <x:c r="N94" s="41" t="n">
        <x:v>4</x:v>
      </x:c>
      <x:c r="O94" s="41" t="n">
        <x:v>1</x:v>
      </x:c>
      <x:c r="P94" s="41" t="str">
        <x:v>Empty</x:v>
      </x:c>
      <x:c r="Q94" s="40" t="str">
        <x:v>Primary held-out state-object composition</x:v>
      </x:c>
      <x:c r="R94" s="41" t="n">
        <x:v>4</x:v>
      </x:c>
      <x:c r="S94" s="40" t="str">
        <x:v>Build the listed same-category discrimination scene with the bowl empty.</x:v>
      </x:c>
      <x:c r="T94" s="40" t="str">
        <x:v>Two same-category candidates share the non-queried state axis; only the held-out state word identifies the target.</x:v>
      </x:c>
      <x:c r="U94" s="40" t="str"/>
    </x:row>
    <x:row r="95" ht="51" customHeight="1">
      <x:c r="A95" s="43" t="str">
        <x:v>Not collected</x:v>
      </x:c>
      <x:c r="B95" s="44" t="n">
        <x:v>93</x:v>
      </x:c>
      <x:c r="C95" s="43" t="str">
        <x:v>Place the open yellow-white striped cup in the bowl.</x:v>
      </x:c>
      <x:c r="D95" s="43" t="str">
        <x:v>yellow-white striped cup B (O, RU); yellow-white striped cup A (C, RU)</x:v>
      </x:c>
      <x:c r="E95" s="44" t="str"/>
      <x:c r="F95" s="44" t="str">
        <x:v>71</x:v>
      </x:c>
      <x:c r="G95" s="43" t="str">
        <x:v>Physical-state and manipulation-trajectory reference under a direct category prompt; the evaluated state word × object-category cell is intentionally absent from training.</x:v>
      </x:c>
      <x:c r="H95" s="43" t="str">
        <x:v>yellow-white striped cup B</x:v>
      </x:c>
      <x:c r="I95" s="43" t="str"/>
      <x:c r="J95" s="45" t="str">
        <x:v>Concept/compositional transfer</x:v>
      </x:c>
      <x:c r="K95" s="44" t="str">
        <x:v>SR-CT34</x:v>
      </x:c>
      <x:c r="L95" s="44" t="str">
        <x:v>O</x:v>
      </x:c>
      <x:c r="M95" s="44" t="str">
        <x:v>yellow-white striped cup</x:v>
      </x:c>
      <x:c r="N95" s="44" t="n">
        <x:v>2</x:v>
      </x:c>
      <x:c r="O95" s="44" t="n">
        <x:v>1</x:v>
      </x:c>
      <x:c r="P95" s="44" t="str">
        <x:v>Empty</x:v>
      </x:c>
      <x:c r="Q95" s="43" t="str">
        <x:v>Primary held-out state-object composition</x:v>
      </x:c>
      <x:c r="R95" s="44" t="n">
        <x:v>4</x:v>
      </x:c>
      <x:c r="S95" s="43" t="str">
        <x:v>Build the listed same-category discrimination scene with the bowl empty.</x:v>
      </x:c>
      <x:c r="T95" s="43" t="str">
        <x:v>Two same-category candidates share the non-queried state axis; only the held-out state word identifies the target.</x:v>
      </x:c>
      <x:c r="U95" s="43" t="str"/>
    </x:row>
    <x:row r="96" ht="51" customHeight="1">
      <x:c r="A96" s="40" t="str">
        <x:v>Not collected</x:v>
      </x:c>
      <x:c r="B96" s="41" t="n">
        <x:v>94</x:v>
      </x:c>
      <x:c r="C96" s="40" t="str">
        <x:v>Place the closed brown cup in the bowl.</x:v>
      </x:c>
      <x:c r="D96" s="40" t="str">
        <x:v>brown cup A (C, RU); brown cup B (O, RU); yellow-white striped cup A (C, UD)</x:v>
      </x:c>
      <x:c r="E96" s="41" t="str"/>
      <x:c r="F96" s="41" t="str">
        <x:v>100</x:v>
      </x:c>
      <x:c r="G96" s="40" t="str">
        <x:v>Physical-state and manipulation-trajectory reference under a direct category prompt; the evaluated state word × object-category cell is intentionally absent from training.</x:v>
      </x:c>
      <x:c r="H96" s="40" t="str">
        <x:v>brown cup A</x:v>
      </x:c>
      <x:c r="I96" s="40" t="str"/>
      <x:c r="J96" s="45" t="str">
        <x:v>Concept/compositional transfer</x:v>
      </x:c>
      <x:c r="K96" s="41" t="str">
        <x:v>SR-CT35</x:v>
      </x:c>
      <x:c r="L96" s="41" t="str">
        <x:v>C</x:v>
      </x:c>
      <x:c r="M96" s="41" t="str">
        <x:v>brown cup</x:v>
      </x:c>
      <x:c r="N96" s="41" t="n">
        <x:v>3</x:v>
      </x:c>
      <x:c r="O96" s="41" t="n">
        <x:v>1</x:v>
      </x:c>
      <x:c r="P96" s="41" t="str">
        <x:v>Empty</x:v>
      </x:c>
      <x:c r="Q96" s="40" t="str">
        <x:v>Primary held-out state-object composition</x:v>
      </x:c>
      <x:c r="R96" s="41" t="n">
        <x:v>4</x:v>
      </x:c>
      <x:c r="S96" s="40" t="str">
        <x:v>Build the listed same-category discrimination scene with the bowl empty.</x:v>
      </x:c>
      <x:c r="T96" s="40" t="str">
        <x:v>Two same-category candidates share the non-queried state axis; only the held-out state word identifies the target.</x:v>
      </x:c>
      <x:c r="U96" s="40" t="str"/>
    </x:row>
    <x:row r="97" ht="51" customHeight="1">
      <x:c r="A97" s="43" t="str">
        <x:v>Not collected</x:v>
      </x:c>
      <x:c r="B97" s="44" t="n">
        <x:v>95</x:v>
      </x:c>
      <x:c r="C97" s="43" t="str">
        <x:v>Place the upright glass spice container in the bowl.</x:v>
      </x:c>
      <x:c r="D97" s="43" t="str">
        <x:v>glass spice container B (C, RU); glass spice container A (C, UD); brown cup B (O, UD); white cup A (C, RU)</x:v>
      </x:c>
      <x:c r="E97" s="44" t="str"/>
      <x:c r="F97" s="44" t="str">
        <x:v>169</x:v>
      </x:c>
      <x:c r="G97" s="43" t="str">
        <x:v>Physical-state and manipulation-trajectory reference under a direct category prompt; the evaluated state word × object-category cell is intentionally absent from training.</x:v>
      </x:c>
      <x:c r="H97" s="43" t="str">
        <x:v>glass spice container B</x:v>
      </x:c>
      <x:c r="I97" s="43" t="str"/>
      <x:c r="J97" s="45" t="str">
        <x:v>Concept/compositional transfer</x:v>
      </x:c>
      <x:c r="K97" s="44" t="str">
        <x:v>SR-CT36</x:v>
      </x:c>
      <x:c r="L97" s="44" t="str">
        <x:v>RU</x:v>
      </x:c>
      <x:c r="M97" s="44" t="str">
        <x:v>glass spice container</x:v>
      </x:c>
      <x:c r="N97" s="44" t="n">
        <x:v>4</x:v>
      </x:c>
      <x:c r="O97" s="44" t="n">
        <x:v>1</x:v>
      </x:c>
      <x:c r="P97" s="44" t="str">
        <x:v>Empty</x:v>
      </x:c>
      <x:c r="Q97" s="43" t="str">
        <x:v>Primary held-out state-object composition</x:v>
      </x:c>
      <x:c r="R97" s="44" t="n">
        <x:v>4</x:v>
      </x:c>
      <x:c r="S97" s="43" t="str">
        <x:v>Build the listed same-category discrimination scene with the bowl empty.</x:v>
      </x:c>
      <x:c r="T97" s="43" t="str">
        <x:v>Two same-category candidates share the non-queried state axis; only the held-out state word identifies the target.</x:v>
      </x:c>
      <x:c r="U97" s="43" t="str"/>
    </x:row>
    <x:row r="98" ht="51" customHeight="1">
      <x:c r="A98" s="40" t="str">
        <x:v>Not collected</x:v>
      </x:c>
      <x:c r="B98" s="41" t="n">
        <x:v>96</x:v>
      </x:c>
      <x:c r="C98" s="40" t="str">
        <x:v>Place the upside-down white cup in the bowl.</x:v>
      </x:c>
      <x:c r="D98" s="40" t="str">
        <x:v>white cup A (O, UD); white cup B (O, RU)</x:v>
      </x:c>
      <x:c r="E98" s="41" t="str"/>
      <x:c r="F98" s="41" t="str">
        <x:v>30</x:v>
      </x:c>
      <x:c r="G98" s="40" t="str">
        <x:v>Physical-state and manipulation-trajectory reference under a direct category prompt; the evaluated state word × object-category cell is intentionally absent from training.</x:v>
      </x:c>
      <x:c r="H98" s="40" t="str">
        <x:v>white cup A</x:v>
      </x:c>
      <x:c r="I98" s="40" t="str"/>
      <x:c r="J98" s="45" t="str">
        <x:v>Concept/compositional transfer</x:v>
      </x:c>
      <x:c r="K98" s="41" t="str">
        <x:v>SR-CT37</x:v>
      </x:c>
      <x:c r="L98" s="41" t="str">
        <x:v>UD</x:v>
      </x:c>
      <x:c r="M98" s="41" t="str">
        <x:v>white cup</x:v>
      </x:c>
      <x:c r="N98" s="41" t="n">
        <x:v>2</x:v>
      </x:c>
      <x:c r="O98" s="41" t="n">
        <x:v>1</x:v>
      </x:c>
      <x:c r="P98" s="41" t="str">
        <x:v>Empty</x:v>
      </x:c>
      <x:c r="Q98" s="40" t="str">
        <x:v>Primary held-out state-object composition</x:v>
      </x:c>
      <x:c r="R98" s="41" t="n">
        <x:v>4</x:v>
      </x:c>
      <x:c r="S98" s="40" t="str">
        <x:v>Build the listed same-category discrimination scene with the bowl empty.</x:v>
      </x:c>
      <x:c r="T98" s="40" t="str">
        <x:v>Two same-category candidates share the non-queried state axis; only the held-out state word identifies the target.</x:v>
      </x:c>
      <x:c r="U98" s="40" t="str"/>
    </x:row>
    <x:row r="99" ht="51" customHeight="1">
      <x:c r="A99" s="43" t="str">
        <x:v>Not collected</x:v>
      </x:c>
      <x:c r="B99" s="44" t="n">
        <x:v>97</x:v>
      </x:c>
      <x:c r="C99" s="43" t="str">
        <x:v>Place the open yellow-white striped cup in the bowl.</x:v>
      </x:c>
      <x:c r="D99" s="43" t="str">
        <x:v>yellow-white striped cup B (O, UD); yellow-white striped cup A (C, UD); brown cup B (O, RU)</x:v>
      </x:c>
      <x:c r="E99" s="44" t="str"/>
      <x:c r="F99" s="44" t="str">
        <x:v>53</x:v>
      </x:c>
      <x:c r="G99" s="43" t="str">
        <x:v>Physical-state and manipulation-trajectory reference under a direct category prompt; the evaluated state word × object-category cell is intentionally absent from training.</x:v>
      </x:c>
      <x:c r="H99" s="43" t="str">
        <x:v>yellow-white striped cup B</x:v>
      </x:c>
      <x:c r="I99" s="43" t="str"/>
      <x:c r="J99" s="45" t="str">
        <x:v>Concept/compositional transfer</x:v>
      </x:c>
      <x:c r="K99" s="44" t="str">
        <x:v>SR-CT38</x:v>
      </x:c>
      <x:c r="L99" s="44" t="str">
        <x:v>O</x:v>
      </x:c>
      <x:c r="M99" s="44" t="str">
        <x:v>yellow-white striped cup</x:v>
      </x:c>
      <x:c r="N99" s="44" t="n">
        <x:v>3</x:v>
      </x:c>
      <x:c r="O99" s="44" t="n">
        <x:v>1</x:v>
      </x:c>
      <x:c r="P99" s="44" t="str">
        <x:v>Empty</x:v>
      </x:c>
      <x:c r="Q99" s="43" t="str">
        <x:v>Primary held-out state-object composition</x:v>
      </x:c>
      <x:c r="R99" s="44" t="n">
        <x:v>4</x:v>
      </x:c>
      <x:c r="S99" s="43" t="str">
        <x:v>Build the listed same-category discrimination scene with the bowl empty.</x:v>
      </x:c>
      <x:c r="T99" s="43" t="str">
        <x:v>Two same-category candidates share the non-queried state axis; only the held-out state word identifies the target.</x:v>
      </x:c>
      <x:c r="U99" s="43" t="str"/>
    </x:row>
    <x:row r="100" ht="51" customHeight="1">
      <x:c r="A100" s="40" t="str">
        <x:v>Not collected</x:v>
      </x:c>
      <x:c r="B100" s="41" t="n">
        <x:v>98</x:v>
      </x:c>
      <x:c r="C100" s="40" t="str">
        <x:v>Place the closed brown cup in the bowl.</x:v>
      </x:c>
      <x:c r="D100" s="40" t="str">
        <x:v>brown cup A (C, UD); brown cup B (O, UD); glass spice container A (C, UD); white cup B (O, UD)</x:v>
      </x:c>
      <x:c r="E100" s="41" t="str"/>
      <x:c r="F100" s="41" t="str">
        <x:v>107</x:v>
      </x:c>
      <x:c r="G100" s="40" t="str">
        <x:v>Physical-state and manipulation-trajectory reference under a direct category prompt; the evaluated state word × object-category cell is intentionally absent from training.</x:v>
      </x:c>
      <x:c r="H100" s="40" t="str">
        <x:v>brown cup A</x:v>
      </x:c>
      <x:c r="I100" s="40" t="str"/>
      <x:c r="J100" s="45" t="str">
        <x:v>Concept/compositional transfer</x:v>
      </x:c>
      <x:c r="K100" s="41" t="str">
        <x:v>SR-CT39</x:v>
      </x:c>
      <x:c r="L100" s="41" t="str">
        <x:v>C</x:v>
      </x:c>
      <x:c r="M100" s="41" t="str">
        <x:v>brown cup</x:v>
      </x:c>
      <x:c r="N100" s="41" t="n">
        <x:v>4</x:v>
      </x:c>
      <x:c r="O100" s="41" t="n">
        <x:v>1</x:v>
      </x:c>
      <x:c r="P100" s="41" t="str">
        <x:v>Empty</x:v>
      </x:c>
      <x:c r="Q100" s="40" t="str">
        <x:v>Primary held-out state-object composition</x:v>
      </x:c>
      <x:c r="R100" s="41" t="n">
        <x:v>4</x:v>
      </x:c>
      <x:c r="S100" s="40" t="str">
        <x:v>Build the listed same-category discrimination scene with the bowl empty.</x:v>
      </x:c>
      <x:c r="T100" s="40" t="str">
        <x:v>Two same-category candidates share the non-queried state axis; only the held-out state word identifies the target.</x:v>
      </x:c>
      <x:c r="U100" s="40" t="str"/>
    </x:row>
    <x:row r="101" ht="51" customHeight="1">
      <x:c r="A101" s="43" t="str">
        <x:v>Not collected</x:v>
      </x:c>
      <x:c r="B101" s="44" t="n">
        <x:v>99</x:v>
      </x:c>
      <x:c r="C101" s="43" t="str">
        <x:v>Place the upright glass spice container in the bowl.</x:v>
      </x:c>
      <x:c r="D101" s="43" t="str">
        <x:v>glass spice container B (O, RU); glass spice container A (O, UD)</x:v>
      </x:c>
      <x:c r="E101" s="44" t="str"/>
      <x:c r="F101" s="44" t="str">
        <x:v>153</x:v>
      </x:c>
      <x:c r="G101" s="43" t="str">
        <x:v>Physical-state and manipulation-trajectory reference under a direct category prompt; the evaluated state word × object-category cell is intentionally absent from training.</x:v>
      </x:c>
      <x:c r="H101" s="43" t="str">
        <x:v>glass spice container B</x:v>
      </x:c>
      <x:c r="I101" s="43" t="str"/>
      <x:c r="J101" s="45" t="str">
        <x:v>Concept/compositional transfer</x:v>
      </x:c>
      <x:c r="K101" s="44" t="str">
        <x:v>SR-CT40</x:v>
      </x:c>
      <x:c r="L101" s="44" t="str">
        <x:v>RU</x:v>
      </x:c>
      <x:c r="M101" s="44" t="str">
        <x:v>glass spice container</x:v>
      </x:c>
      <x:c r="N101" s="44" t="n">
        <x:v>2</x:v>
      </x:c>
      <x:c r="O101" s="44" t="n">
        <x:v>1</x:v>
      </x:c>
      <x:c r="P101" s="44" t="str">
        <x:v>Empty</x:v>
      </x:c>
      <x:c r="Q101" s="43" t="str">
        <x:v>Primary held-out state-object composition</x:v>
      </x:c>
      <x:c r="R101" s="44" t="n">
        <x:v>4</x:v>
      </x:c>
      <x:c r="S101" s="43" t="str">
        <x:v>Build the listed same-category discrimination scene with the bowl empty.</x:v>
      </x:c>
      <x:c r="T101" s="43" t="str">
        <x:v>Two same-category candidates share the non-queried state axis; only the held-out state word identifies the target.</x:v>
      </x:c>
      <x:c r="U101" s="43" t="str"/>
    </x:row>
    <x:row r="102" ht="51" customHeight="1">
      <x:c r="A102" s="40" t="str">
        <x:v>Not collected</x:v>
      </x:c>
      <x:c r="B102" s="41" t="n">
        <x:v>100</x:v>
      </x:c>
      <x:c r="C102" s="40" t="str">
        <x:v>Place the upside-down white cup in the bowl.</x:v>
      </x:c>
      <x:c r="D102" s="40" t="str">
        <x:v>white cup A (C, UD); white cup B (C, RU); brown cup A (C, RU)</x:v>
      </x:c>
      <x:c r="E102" s="41" t="str"/>
      <x:c r="F102" s="41" t="str">
        <x:v>39</x:v>
      </x:c>
      <x:c r="G102" s="40" t="str">
        <x:v>Physical-state and manipulation-trajectory reference under a direct category prompt; the evaluated state word × object-category cell is intentionally absent from training.</x:v>
      </x:c>
      <x:c r="H102" s="40" t="str">
        <x:v>white cup A</x:v>
      </x:c>
      <x:c r="I102" s="40" t="str"/>
      <x:c r="J102" s="45" t="str">
        <x:v>Concept/compositional transfer</x:v>
      </x:c>
      <x:c r="K102" s="41" t="str">
        <x:v>SR-CT41</x:v>
      </x:c>
      <x:c r="L102" s="41" t="str">
        <x:v>UD</x:v>
      </x:c>
      <x:c r="M102" s="41" t="str">
        <x:v>white cup</x:v>
      </x:c>
      <x:c r="N102" s="41" t="n">
        <x:v>3</x:v>
      </x:c>
      <x:c r="O102" s="41" t="n">
        <x:v>1</x:v>
      </x:c>
      <x:c r="P102" s="41" t="str">
        <x:v>Empty</x:v>
      </x:c>
      <x:c r="Q102" s="40" t="str">
        <x:v>Primary held-out state-object composition</x:v>
      </x:c>
      <x:c r="R102" s="41" t="n">
        <x:v>4</x:v>
      </x:c>
      <x:c r="S102" s="40" t="str">
        <x:v>Build the listed same-category discrimination scene with the bowl empty.</x:v>
      </x:c>
      <x:c r="T102" s="40" t="str">
        <x:v>Two same-category candidates share the non-queried state axis; only the held-out state word identifies the target.</x:v>
      </x:c>
      <x:c r="U102" s="40" t="str"/>
    </x:row>
    <x:row r="103" ht="51" customHeight="1">
      <x:c r="A103" s="43" t="str">
        <x:v>Not collected</x:v>
      </x:c>
      <x:c r="B103" s="44" t="n">
        <x:v>101</x:v>
      </x:c>
      <x:c r="C103" s="43" t="str">
        <x:v>Place the open yellow-white striped cup in the bowl.</x:v>
      </x:c>
      <x:c r="D103" s="43" t="str">
        <x:v>yellow-white striped cup B (O, RU); yellow-white striped cup A (C, RU); glass spice container B (O, RU); white cup A (C, UD)</x:v>
      </x:c>
      <x:c r="E103" s="44" t="str"/>
      <x:c r="F103" s="44" t="str">
        <x:v>72</x:v>
      </x:c>
      <x:c r="G103" s="43" t="str">
        <x:v>Physical-state and manipulation-trajectory reference under a direct category prompt; the evaluated state word × object-category cell is intentionally absent from training.</x:v>
      </x:c>
      <x:c r="H103" s="43" t="str">
        <x:v>yellow-white striped cup B</x:v>
      </x:c>
      <x:c r="I103" s="43" t="str"/>
      <x:c r="J103" s="45" t="str">
        <x:v>Concept/compositional transfer</x:v>
      </x:c>
      <x:c r="K103" s="44" t="str">
        <x:v>SR-CT42</x:v>
      </x:c>
      <x:c r="L103" s="44" t="str">
        <x:v>O</x:v>
      </x:c>
      <x:c r="M103" s="44" t="str">
        <x:v>yellow-white striped cup</x:v>
      </x:c>
      <x:c r="N103" s="44" t="n">
        <x:v>4</x:v>
      </x:c>
      <x:c r="O103" s="44" t="n">
        <x:v>1</x:v>
      </x:c>
      <x:c r="P103" s="44" t="str">
        <x:v>Empty</x:v>
      </x:c>
      <x:c r="Q103" s="43" t="str">
        <x:v>Primary held-out state-object composition</x:v>
      </x:c>
      <x:c r="R103" s="44" t="n">
        <x:v>4</x:v>
      </x:c>
      <x:c r="S103" s="43" t="str">
        <x:v>Build the listed same-category discrimination scene with the bowl empty.</x:v>
      </x:c>
      <x:c r="T103" s="43" t="str">
        <x:v>Two same-category candidates share the non-queried state axis; only the held-out state word identifies the target.</x:v>
      </x:c>
      <x:c r="U103" s="43" t="str"/>
    </x:row>
    <x:row r="104" ht="51" customHeight="1">
      <x:c r="A104" s="40" t="str">
        <x:v>Not collected</x:v>
      </x:c>
      <x:c r="B104" s="41" t="n">
        <x:v>102</x:v>
      </x:c>
      <x:c r="C104" s="40" t="str">
        <x:v>Place the closed brown cup in the bowl.</x:v>
      </x:c>
      <x:c r="D104" s="40" t="str">
        <x:v>brown cup A (C, RU); brown cup B (O, RU)</x:v>
      </x:c>
      <x:c r="E104" s="41" t="str"/>
      <x:c r="F104" s="41" t="str">
        <x:v>102</x:v>
      </x:c>
      <x:c r="G104" s="40" t="str">
        <x:v>Physical-state and manipulation-trajectory reference under a direct category prompt; the evaluated state word × object-category cell is intentionally absent from training.</x:v>
      </x:c>
      <x:c r="H104" s="40" t="str">
        <x:v>brown cup A</x:v>
      </x:c>
      <x:c r="I104" s="40" t="str"/>
      <x:c r="J104" s="45" t="str">
        <x:v>Concept/compositional transfer</x:v>
      </x:c>
      <x:c r="K104" s="41" t="str">
        <x:v>SR-CT43</x:v>
      </x:c>
      <x:c r="L104" s="41" t="str">
        <x:v>C</x:v>
      </x:c>
      <x:c r="M104" s="41" t="str">
        <x:v>brown cup</x:v>
      </x:c>
      <x:c r="N104" s="41" t="n">
        <x:v>2</x:v>
      </x:c>
      <x:c r="O104" s="41" t="n">
        <x:v>1</x:v>
      </x:c>
      <x:c r="P104" s="41" t="str">
        <x:v>Empty</x:v>
      </x:c>
      <x:c r="Q104" s="40" t="str">
        <x:v>Primary held-out state-object composition</x:v>
      </x:c>
      <x:c r="R104" s="41" t="n">
        <x:v>4</x:v>
      </x:c>
      <x:c r="S104" s="40" t="str">
        <x:v>Build the listed same-category discrimination scene with the bowl empty.</x:v>
      </x:c>
      <x:c r="T104" s="40" t="str">
        <x:v>Two same-category candidates share the non-queried state axis; only the held-out state word identifies the target.</x:v>
      </x:c>
      <x:c r="U104" s="40" t="str"/>
    </x:row>
    <x:row r="105" ht="51" customHeight="1">
      <x:c r="A105" s="43" t="str">
        <x:v>Not collected</x:v>
      </x:c>
      <x:c r="B105" s="44" t="n">
        <x:v>103</x:v>
      </x:c>
      <x:c r="C105" s="43" t="str">
        <x:v>Place the upright glass spice container in the bowl.</x:v>
      </x:c>
      <x:c r="D105" s="43" t="str">
        <x:v>glass spice container B (C, RU); glass spice container A (C, UD); yellow-white striped cup B (O, UD)</x:v>
      </x:c>
      <x:c r="E105" s="44" t="str"/>
      <x:c r="F105" s="44" t="str">
        <x:v>172</x:v>
      </x:c>
      <x:c r="G105" s="43" t="str">
        <x:v>Physical-state and manipulation-trajectory reference under a direct category prompt; the evaluated state word × object-category cell is intentionally absent from training.</x:v>
      </x:c>
      <x:c r="H105" s="43" t="str">
        <x:v>glass spice container B</x:v>
      </x:c>
      <x:c r="I105" s="43" t="str"/>
      <x:c r="J105" s="45" t="str">
        <x:v>Concept/compositional transfer</x:v>
      </x:c>
      <x:c r="K105" s="44" t="str">
        <x:v>SR-CT44</x:v>
      </x:c>
      <x:c r="L105" s="44" t="str">
        <x:v>RU</x:v>
      </x:c>
      <x:c r="M105" s="44" t="str">
        <x:v>glass spice container</x:v>
      </x:c>
      <x:c r="N105" s="44" t="n">
        <x:v>3</x:v>
      </x:c>
      <x:c r="O105" s="44" t="n">
        <x:v>1</x:v>
      </x:c>
      <x:c r="P105" s="44" t="str">
        <x:v>Empty</x:v>
      </x:c>
      <x:c r="Q105" s="43" t="str">
        <x:v>Primary held-out state-object composition</x:v>
      </x:c>
      <x:c r="R105" s="44" t="n">
        <x:v>4</x:v>
      </x:c>
      <x:c r="S105" s="43" t="str">
        <x:v>Build the listed same-category discrimination scene with the bowl empty.</x:v>
      </x:c>
      <x:c r="T105" s="43" t="str">
        <x:v>Two same-category candidates share the non-queried state axis; only the held-out state word identifies the target.</x:v>
      </x:c>
      <x:c r="U105" s="43" t="str"/>
    </x:row>
    <x:row r="106" ht="51" customHeight="1">
      <x:c r="A106" s="40" t="str">
        <x:v>Not collected</x:v>
      </x:c>
      <x:c r="B106" s="41" t="n">
        <x:v>104</x:v>
      </x:c>
      <x:c r="C106" s="40" t="str">
        <x:v>Place the upside-down white cup in the bowl.</x:v>
      </x:c>
      <x:c r="D106" s="40" t="str">
        <x:v>white cup A (O, UD); white cup B (O, RU); glass spice container A (C, RU); yellow-white striped cup B (O, RU)</x:v>
      </x:c>
      <x:c r="E106" s="41" t="str"/>
      <x:c r="F106" s="41" t="str">
        <x:v>32</x:v>
      </x:c>
      <x:c r="G106" s="40" t="str">
        <x:v>Physical-state and manipulation-trajectory reference under a direct category prompt; the evaluated state word × object-category cell is intentionally absent from training.</x:v>
      </x:c>
      <x:c r="H106" s="40" t="str">
        <x:v>white cup A</x:v>
      </x:c>
      <x:c r="I106" s="40" t="str"/>
      <x:c r="J106" s="45" t="str">
        <x:v>Concept/compositional transfer</x:v>
      </x:c>
      <x:c r="K106" s="41" t="str">
        <x:v>SR-CT45</x:v>
      </x:c>
      <x:c r="L106" s="41" t="str">
        <x:v>UD</x:v>
      </x:c>
      <x:c r="M106" s="41" t="str">
        <x:v>white cup</x:v>
      </x:c>
      <x:c r="N106" s="41" t="n">
        <x:v>4</x:v>
      </x:c>
      <x:c r="O106" s="41" t="n">
        <x:v>1</x:v>
      </x:c>
      <x:c r="P106" s="41" t="str">
        <x:v>Empty</x:v>
      </x:c>
      <x:c r="Q106" s="40" t="str">
        <x:v>Primary held-out state-object composition</x:v>
      </x:c>
      <x:c r="R106" s="41" t="n">
        <x:v>4</x:v>
      </x:c>
      <x:c r="S106" s="40" t="str">
        <x:v>Build the listed same-category discrimination scene with the bowl empty.</x:v>
      </x:c>
      <x:c r="T106" s="40" t="str">
        <x:v>Two same-category candidates share the non-queried state axis; only the held-out state word identifies the target.</x:v>
      </x:c>
      <x:c r="U106" s="40" t="str"/>
    </x:row>
    <x:row r="107" ht="51" customHeight="1">
      <x:c r="A107" s="43" t="str">
        <x:v>Not collected</x:v>
      </x:c>
      <x:c r="B107" s="44" t="n">
        <x:v>105</x:v>
      </x:c>
      <x:c r="C107" s="43" t="str">
        <x:v>Place the open yellow-white striped cup in the bowl.</x:v>
      </x:c>
      <x:c r="D107" s="43" t="str">
        <x:v>yellow-white striped cup B (O, UD); yellow-white striped cup A (C, UD)</x:v>
      </x:c>
      <x:c r="E107" s="44" t="str"/>
      <x:c r="F107" s="44" t="str">
        <x:v>53</x:v>
      </x:c>
      <x:c r="G107" s="43" t="str">
        <x:v>Physical-state and manipulation-trajectory reference under a direct category prompt; the evaluated state word × object-category cell is intentionally absent from training.</x:v>
      </x:c>
      <x:c r="H107" s="43" t="str">
        <x:v>yellow-white striped cup B</x:v>
      </x:c>
      <x:c r="I107" s="43" t="str"/>
      <x:c r="J107" s="45" t="str">
        <x:v>Concept/compositional transfer</x:v>
      </x:c>
      <x:c r="K107" s="44" t="str">
        <x:v>SR-CT46</x:v>
      </x:c>
      <x:c r="L107" s="44" t="str">
        <x:v>O</x:v>
      </x:c>
      <x:c r="M107" s="44" t="str">
        <x:v>yellow-white striped cup</x:v>
      </x:c>
      <x:c r="N107" s="44" t="n">
        <x:v>2</x:v>
      </x:c>
      <x:c r="O107" s="44" t="n">
        <x:v>1</x:v>
      </x:c>
      <x:c r="P107" s="44" t="str">
        <x:v>Empty</x:v>
      </x:c>
      <x:c r="Q107" s="43" t="str">
        <x:v>Primary held-out state-object composition</x:v>
      </x:c>
      <x:c r="R107" s="44" t="n">
        <x:v>4</x:v>
      </x:c>
      <x:c r="S107" s="43" t="str">
        <x:v>Build the listed same-category discrimination scene with the bowl empty.</x:v>
      </x:c>
      <x:c r="T107" s="43" t="str">
        <x:v>Two same-category candidates share the non-queried state axis; only the held-out state word identifies the target.</x:v>
      </x:c>
      <x:c r="U107" s="43" t="str"/>
    </x:row>
    <x:row r="108" ht="51" customHeight="1">
      <x:c r="A108" s="40" t="str">
        <x:v>Not collected</x:v>
      </x:c>
      <x:c r="B108" s="41" t="n">
        <x:v>106</x:v>
      </x:c>
      <x:c r="C108" s="40" t="str">
        <x:v>Place the closed brown cup in the bowl.</x:v>
      </x:c>
      <x:c r="D108" s="40" t="str">
        <x:v>brown cup A (C, UD); brown cup B (O, UD); yellow-white striped cup A (C, UD)</x:v>
      </x:c>
      <x:c r="E108" s="41" t="str"/>
      <x:c r="F108" s="41" t="str">
        <x:v>129</x:v>
      </x:c>
      <x:c r="G108" s="40" t="str">
        <x:v>Physical-state and manipulation-trajectory reference under a direct category prompt; the evaluated state word × object-category cell is intentionally absent from training.</x:v>
      </x:c>
      <x:c r="H108" s="40" t="str">
        <x:v>brown cup A</x:v>
      </x:c>
      <x:c r="I108" s="40" t="str"/>
      <x:c r="J108" s="45" t="str">
        <x:v>Concept/compositional transfer</x:v>
      </x:c>
      <x:c r="K108" s="41" t="str">
        <x:v>SR-CT47</x:v>
      </x:c>
      <x:c r="L108" s="41" t="str">
        <x:v>C</x:v>
      </x:c>
      <x:c r="M108" s="41" t="str">
        <x:v>brown cup</x:v>
      </x:c>
      <x:c r="N108" s="41" t="n">
        <x:v>3</x:v>
      </x:c>
      <x:c r="O108" s="41" t="n">
        <x:v>1</x:v>
      </x:c>
      <x:c r="P108" s="41" t="str">
        <x:v>Empty</x:v>
      </x:c>
      <x:c r="Q108" s="40" t="str">
        <x:v>Primary held-out state-object composition</x:v>
      </x:c>
      <x:c r="R108" s="41" t="n">
        <x:v>4</x:v>
      </x:c>
      <x:c r="S108" s="40" t="str">
        <x:v>Build the listed same-category discrimination scene with the bowl empty.</x:v>
      </x:c>
      <x:c r="T108" s="40" t="str">
        <x:v>Two same-category candidates share the non-queried state axis; only the held-out state word identifies the target.</x:v>
      </x:c>
      <x:c r="U108" s="40" t="str"/>
    </x:row>
    <x:row r="109" ht="51" customHeight="1">
      <x:c r="A109" s="43" t="str">
        <x:v>Not collected</x:v>
      </x:c>
      <x:c r="B109" s="44" t="n">
        <x:v>107</x:v>
      </x:c>
      <x:c r="C109" s="43" t="str">
        <x:v>Place the upright glass spice container in the bowl.</x:v>
      </x:c>
      <x:c r="D109" s="43" t="str">
        <x:v>glass spice container B (O, RU); glass spice container A (O, UD); brown cup B (O, UD); white cup A (C, RU)</x:v>
      </x:c>
      <x:c r="E109" s="44" t="str"/>
      <x:c r="F109" s="44" t="str">
        <x:v>157</x:v>
      </x:c>
      <x:c r="G109" s="43" t="str">
        <x:v>Physical-state and manipulation-trajectory reference under a direct category prompt; the evaluated state word × object-category cell is intentionally absent from training.</x:v>
      </x:c>
      <x:c r="H109" s="43" t="str">
        <x:v>glass spice container B</x:v>
      </x:c>
      <x:c r="I109" s="43" t="str"/>
      <x:c r="J109" s="45" t="str">
        <x:v>Concept/compositional transfer</x:v>
      </x:c>
      <x:c r="K109" s="44" t="str">
        <x:v>SR-CT48</x:v>
      </x:c>
      <x:c r="L109" s="44" t="str">
        <x:v>RU</x:v>
      </x:c>
      <x:c r="M109" s="44" t="str">
        <x:v>glass spice container</x:v>
      </x:c>
      <x:c r="N109" s="44" t="n">
        <x:v>4</x:v>
      </x:c>
      <x:c r="O109" s="44" t="n">
        <x:v>1</x:v>
      </x:c>
      <x:c r="P109" s="44" t="str">
        <x:v>Empty</x:v>
      </x:c>
      <x:c r="Q109" s="43" t="str">
        <x:v>Primary held-out state-object composition</x:v>
      </x:c>
      <x:c r="R109" s="44" t="n">
        <x:v>4</x:v>
      </x:c>
      <x:c r="S109" s="43" t="str">
        <x:v>Build the listed same-category discrimination scene with the bowl empty.</x:v>
      </x:c>
      <x:c r="T109" s="43" t="str">
        <x:v>Two same-category candidates share the non-queried state axis; only the held-out state word identifies the target.</x:v>
      </x:c>
      <x:c r="U109" s="43" t="str"/>
    </x:row>
    <x:row r="110" ht="51" customHeight="1">
      <x:c r="A110" s="40" t="str">
        <x:v>Not collected</x:v>
      </x:c>
      <x:c r="B110" s="41" t="n">
        <x:v>108</x:v>
      </x:c>
      <x:c r="C110" s="40" t="str">
        <x:v>Place the upside-down white cup in the bowl.</x:v>
      </x:c>
      <x:c r="D110" s="40" t="str">
        <x:v>white cup A (C, UD); white cup B (C, RU)</x:v>
      </x:c>
      <x:c r="E110" s="41" t="str"/>
      <x:c r="F110" s="41" t="str">
        <x:v>35</x:v>
      </x:c>
      <x:c r="G110" s="40" t="str">
        <x:v>Physical-state and manipulation-trajectory reference under a direct category prompt; the evaluated state word × object-category cell is intentionally absent from training.</x:v>
      </x:c>
      <x:c r="H110" s="40" t="str">
        <x:v>white cup A</x:v>
      </x:c>
      <x:c r="I110" s="40" t="str"/>
      <x:c r="J110" s="45" t="str">
        <x:v>Concept/compositional transfer</x:v>
      </x:c>
      <x:c r="K110" s="41" t="str">
        <x:v>SR-CT49</x:v>
      </x:c>
      <x:c r="L110" s="41" t="str">
        <x:v>UD</x:v>
      </x:c>
      <x:c r="M110" s="41" t="str">
        <x:v>white cup</x:v>
      </x:c>
      <x:c r="N110" s="41" t="n">
        <x:v>2</x:v>
      </x:c>
      <x:c r="O110" s="41" t="n">
        <x:v>1</x:v>
      </x:c>
      <x:c r="P110" s="41" t="str">
        <x:v>Empty</x:v>
      </x:c>
      <x:c r="Q110" s="40" t="str">
        <x:v>Primary held-out state-object composition</x:v>
      </x:c>
      <x:c r="R110" s="41" t="n">
        <x:v>4</x:v>
      </x:c>
      <x:c r="S110" s="40" t="str">
        <x:v>Build the listed same-category discrimination scene with the bowl empty.</x:v>
      </x:c>
      <x:c r="T110" s="40" t="str">
        <x:v>Two same-category candidates share the non-queried state axis; only the held-out state word identifies the target.</x:v>
      </x:c>
      <x:c r="U110" s="40" t="str"/>
    </x:row>
    <x:row r="111" ht="51" customHeight="1">
      <x:c r="A111" s="43" t="str">
        <x:v>Not collected</x:v>
      </x:c>
      <x:c r="B111" s="44" t="n">
        <x:v>109</x:v>
      </x:c>
      <x:c r="C111" s="43" t="str">
        <x:v>Place the open yellow-white striped cup in the bowl.</x:v>
      </x:c>
      <x:c r="D111" s="43" t="str">
        <x:v>yellow-white striped cup B (O, RU); yellow-white striped cup A (C, RU); brown cup B (O, RU)</x:v>
      </x:c>
      <x:c r="E111" s="44" t="str"/>
      <x:c r="F111" s="44" t="str">
        <x:v>64</x:v>
      </x:c>
      <x:c r="G111" s="43" t="str">
        <x:v>Physical-state and manipulation-trajectory reference under a direct category prompt; the evaluated state word × object-category cell is intentionally absent from training.</x:v>
      </x:c>
      <x:c r="H111" s="43" t="str">
        <x:v>yellow-white striped cup B</x:v>
      </x:c>
      <x:c r="I111" s="43" t="str"/>
      <x:c r="J111" s="45" t="str">
        <x:v>Concept/compositional transfer</x:v>
      </x:c>
      <x:c r="K111" s="44" t="str">
        <x:v>SR-CT50</x:v>
      </x:c>
      <x:c r="L111" s="44" t="str">
        <x:v>O</x:v>
      </x:c>
      <x:c r="M111" s="44" t="str">
        <x:v>yellow-white striped cup</x:v>
      </x:c>
      <x:c r="N111" s="44" t="n">
        <x:v>3</x:v>
      </x:c>
      <x:c r="O111" s="44" t="n">
        <x:v>1</x:v>
      </x:c>
      <x:c r="P111" s="44" t="str">
        <x:v>Empty</x:v>
      </x:c>
      <x:c r="Q111" s="43" t="str">
        <x:v>Primary held-out state-object composition</x:v>
      </x:c>
      <x:c r="R111" s="44" t="n">
        <x:v>4</x:v>
      </x:c>
      <x:c r="S111" s="43" t="str">
        <x:v>Build the listed same-category discrimination scene with the bowl empty.</x:v>
      </x:c>
      <x:c r="T111" s="43" t="str">
        <x:v>Two same-category candidates share the non-queried state axis; only the held-out state word identifies the target.</x:v>
      </x:c>
      <x:c r="U111" s="43" t="str"/>
    </x:row>
    <x:row r="112" ht="51" customHeight="1">
      <x:c r="A112" s="40" t="str">
        <x:v>Not collected</x:v>
      </x:c>
      <x:c r="B112" s="41" t="n">
        <x:v>110</x:v>
      </x:c>
      <x:c r="C112" s="40" t="str">
        <x:v>Place the closed black cup in the bowl.</x:v>
      </x:c>
      <x:c r="D112" s="40" t="str">
        <x:v>black cup A (C, RU); black cup B (O, RU)</x:v>
      </x:c>
      <x:c r="E112" s="41" t="str"/>
      <x:c r="F112" s="41" t="str">
        <x:v>0</x:v>
      </x:c>
      <x:c r="G112" s="40" t="str">
        <x:v>State-word concept reference only. The black cup is absent from fine-tuning, so no exact object-level training episode exists.</x:v>
      </x:c>
      <x:c r="H112" s="40" t="str">
        <x:v>black cup A</x:v>
      </x:c>
      <x:c r="I112" s="40" t="str"/>
      <x:c r="J112" s="46" t="str">
        <x:v>Novel-object state reasoning</x:v>
      </x:c>
      <x:c r="K112" s="41" t="str">
        <x:v>SR-BLACK01</x:v>
      </x:c>
      <x:c r="L112" s="41" t="str">
        <x:v>C</x:v>
      </x:c>
      <x:c r="M112" s="41" t="str">
        <x:v>black cup</x:v>
      </x:c>
      <x:c r="N112" s="41" t="n">
        <x:v>2</x:v>
      </x:c>
      <x:c r="O112" s="41" t="n">
        <x:v>1</x:v>
      </x:c>
      <x:c r="P112" s="41" t="str">
        <x:v>Empty</x:v>
      </x:c>
      <x:c r="Q112" s="40" t="str">
        <x:v>Reasoning-only globally unseen black-cup diagnostic</x:v>
      </x:c>
      <x:c r="R112" s="41" t="n">
        <x:v>5</x:v>
      </x:c>
      <x:c r="S112" s="40" t="str">
        <x:v>Build the listed two-black-cup discrimination scene with the bowl empty.</x:v>
      </x:c>
      <x:c r="T112" s="40" t="str">
        <x:v>Every prompt contains a state term; no direct-name-only black-cup trial is used. Report separately from the 50 primary transfer trials.</x:v>
      </x:c>
      <x:c r="U112" s="40" t="str"/>
    </x:row>
    <x:row r="113" ht="51" customHeight="1">
      <x:c r="A113" s="43" t="str">
        <x:v>Not collected</x:v>
      </x:c>
      <x:c r="B113" s="44" t="n">
        <x:v>111</x:v>
      </x:c>
      <x:c r="C113" s="43" t="str">
        <x:v>Place the open black cup in the bowl.</x:v>
      </x:c>
      <x:c r="D113" s="43" t="str">
        <x:v>black cup B (O, UD); black cup A (C, UD); yellow-white striped cup B (O, RU)</x:v>
      </x:c>
      <x:c r="E113" s="44" t="str"/>
      <x:c r="F113" s="44" t="str">
        <x:v>101</x:v>
      </x:c>
      <x:c r="G113" s="43" t="str">
        <x:v>State-word concept reference only. The black cup is absent from fine-tuning, so no exact object-level training episode exists.</x:v>
      </x:c>
      <x:c r="H113" s="43" t="str">
        <x:v>black cup B</x:v>
      </x:c>
      <x:c r="I113" s="43" t="str"/>
      <x:c r="J113" s="46" t="str">
        <x:v>Novel-object state reasoning</x:v>
      </x:c>
      <x:c r="K113" s="44" t="str">
        <x:v>SR-BLACK02</x:v>
      </x:c>
      <x:c r="L113" s="44" t="str">
        <x:v>O</x:v>
      </x:c>
      <x:c r="M113" s="44" t="str">
        <x:v>black cup</x:v>
      </x:c>
      <x:c r="N113" s="44" t="n">
        <x:v>3</x:v>
      </x:c>
      <x:c r="O113" s="44" t="n">
        <x:v>1</x:v>
      </x:c>
      <x:c r="P113" s="44" t="str">
        <x:v>Empty</x:v>
      </x:c>
      <x:c r="Q113" s="43" t="str">
        <x:v>Reasoning-only globally unseen black-cup diagnostic</x:v>
      </x:c>
      <x:c r="R113" s="44" t="n">
        <x:v>5</x:v>
      </x:c>
      <x:c r="S113" s="43" t="str">
        <x:v>Build the listed two-black-cup discrimination scene with the bowl empty.</x:v>
      </x:c>
      <x:c r="T113" s="43" t="str">
        <x:v>Every prompt contains a state term; no direct-name-only black-cup trial is used. Report separately from the 50 primary transfer trials.</x:v>
      </x:c>
      <x:c r="U113" s="43" t="str"/>
    </x:row>
    <x:row r="114" ht="51" customHeight="1">
      <x:c r="A114" s="40" t="str">
        <x:v>Not collected</x:v>
      </x:c>
      <x:c r="B114" s="41" t="n">
        <x:v>112</x:v>
      </x:c>
      <x:c r="C114" s="40" t="str">
        <x:v>Place the upside-down black cup in the bowl.</x:v>
      </x:c>
      <x:c r="D114" s="40" t="str">
        <x:v>black cup A (C, UD); black cup B (C, RU); brown cup A (C, UD); glass spice container B (O, UD)</x:v>
      </x:c>
      <x:c r="E114" s="41" t="str"/>
      <x:c r="F114" s="41" t="str">
        <x:v>78</x:v>
      </x:c>
      <x:c r="G114" s="40" t="str">
        <x:v>State-word concept reference only. The black cup is absent from fine-tuning, so no exact object-level training episode exists.</x:v>
      </x:c>
      <x:c r="H114" s="40" t="str">
        <x:v>black cup A</x:v>
      </x:c>
      <x:c r="I114" s="40" t="str"/>
      <x:c r="J114" s="46" t="str">
        <x:v>Novel-object state reasoning</x:v>
      </x:c>
      <x:c r="K114" s="41" t="str">
        <x:v>SR-BLACK03</x:v>
      </x:c>
      <x:c r="L114" s="41" t="str">
        <x:v>UD</x:v>
      </x:c>
      <x:c r="M114" s="41" t="str">
        <x:v>black cup</x:v>
      </x:c>
      <x:c r="N114" s="41" t="n">
        <x:v>4</x:v>
      </x:c>
      <x:c r="O114" s="41" t="n">
        <x:v>1</x:v>
      </x:c>
      <x:c r="P114" s="41" t="str">
        <x:v>Empty</x:v>
      </x:c>
      <x:c r="Q114" s="40" t="str">
        <x:v>Reasoning-only globally unseen black-cup diagnostic</x:v>
      </x:c>
      <x:c r="R114" s="41" t="n">
        <x:v>5</x:v>
      </x:c>
      <x:c r="S114" s="40" t="str">
        <x:v>Build the listed two-black-cup discrimination scene with the bowl empty.</x:v>
      </x:c>
      <x:c r="T114" s="40" t="str">
        <x:v>Every prompt contains a state term; no direct-name-only black-cup trial is used. Report separately from the 50 primary transfer trials.</x:v>
      </x:c>
      <x:c r="U114" s="40" t="str"/>
    </x:row>
    <x:row r="115" ht="51" customHeight="1">
      <x:c r="A115" s="43" t="str">
        <x:v>Not collected</x:v>
      </x:c>
      <x:c r="B115" s="44" t="n">
        <x:v>113</x:v>
      </x:c>
      <x:c r="C115" s="43" t="str">
        <x:v>Place the upright black cup in the bowl.</x:v>
      </x:c>
      <x:c r="D115" s="43" t="str">
        <x:v>black cup B (O, RU); black cup A (O, UD)</x:v>
      </x:c>
      <x:c r="E115" s="44" t="str"/>
      <x:c r="F115" s="44" t="str">
        <x:v>26</x:v>
      </x:c>
      <x:c r="G115" s="43" t="str">
        <x:v>State-word concept reference only. The black cup is absent from fine-tuning, so no exact object-level training episode exists.</x:v>
      </x:c>
      <x:c r="H115" s="43" t="str">
        <x:v>black cup B</x:v>
      </x:c>
      <x:c r="I115" s="43" t="str"/>
      <x:c r="J115" s="46" t="str">
        <x:v>Novel-object state reasoning</x:v>
      </x:c>
      <x:c r="K115" s="44" t="str">
        <x:v>SR-BLACK04</x:v>
      </x:c>
      <x:c r="L115" s="44" t="str">
        <x:v>RU</x:v>
      </x:c>
      <x:c r="M115" s="44" t="str">
        <x:v>black cup</x:v>
      </x:c>
      <x:c r="N115" s="44" t="n">
        <x:v>2</x:v>
      </x:c>
      <x:c r="O115" s="44" t="n">
        <x:v>1</x:v>
      </x:c>
      <x:c r="P115" s="44" t="str">
        <x:v>Empty</x:v>
      </x:c>
      <x:c r="Q115" s="43" t="str">
        <x:v>Reasoning-only globally unseen black-cup diagnostic</x:v>
      </x:c>
      <x:c r="R115" s="44" t="n">
        <x:v>5</x:v>
      </x:c>
      <x:c r="S115" s="43" t="str">
        <x:v>Build the listed two-black-cup discrimination scene with the bowl empty.</x:v>
      </x:c>
      <x:c r="T115" s="43" t="str">
        <x:v>Every prompt contains a state term; no direct-name-only black-cup trial is used. Report separately from the 50 primary transfer trials.</x:v>
      </x:c>
      <x:c r="U115" s="43" t="str"/>
    </x:row>
    <x:row r="116" ht="51" customHeight="1">
      <x:c r="A116" s="40" t="str">
        <x:v>Not collected</x:v>
      </x:c>
      <x:c r="B116" s="41" t="n">
        <x:v>114</x:v>
      </x:c>
      <x:c r="C116" s="40" t="str">
        <x:v>Place the closed black cup in the bowl.</x:v>
      </x:c>
      <x:c r="D116" s="40" t="str">
        <x:v>black cup A (C, RU); black cup B (O, RU); white cup A (C, RU)</x:v>
      </x:c>
      <x:c r="E116" s="41" t="str"/>
      <x:c r="F116" s="41" t="str">
        <x:v>0</x:v>
      </x:c>
      <x:c r="G116" s="40" t="str">
        <x:v>State-word concept reference only. The black cup is absent from fine-tuning, so no exact object-level training episode exists.</x:v>
      </x:c>
      <x:c r="H116" s="40" t="str">
        <x:v>black cup A</x:v>
      </x:c>
      <x:c r="I116" s="40" t="str"/>
      <x:c r="J116" s="46" t="str">
        <x:v>Novel-object state reasoning</x:v>
      </x:c>
      <x:c r="K116" s="41" t="str">
        <x:v>SR-BLACK05</x:v>
      </x:c>
      <x:c r="L116" s="41" t="str">
        <x:v>C</x:v>
      </x:c>
      <x:c r="M116" s="41" t="str">
        <x:v>black cup</x:v>
      </x:c>
      <x:c r="N116" s="41" t="n">
        <x:v>3</x:v>
      </x:c>
      <x:c r="O116" s="41" t="n">
        <x:v>1</x:v>
      </x:c>
      <x:c r="P116" s="41" t="str">
        <x:v>Empty</x:v>
      </x:c>
      <x:c r="Q116" s="40" t="str">
        <x:v>Reasoning-only globally unseen black-cup diagnostic</x:v>
      </x:c>
      <x:c r="R116" s="41" t="n">
        <x:v>5</x:v>
      </x:c>
      <x:c r="S116" s="40" t="str">
        <x:v>Build the listed two-black-cup discrimination scene with the bowl empty.</x:v>
      </x:c>
      <x:c r="T116" s="40" t="str">
        <x:v>Every prompt contains a state term; no direct-name-only black-cup trial is used. Report separately from the 50 primary transfer trials.</x:v>
      </x:c>
      <x:c r="U116" s="40" t="str"/>
    </x:row>
    <x:row r="117" ht="51" customHeight="1">
      <x:c r="A117" s="43" t="str">
        <x:v>Not collected</x:v>
      </x:c>
      <x:c r="B117" s="44" t="n">
        <x:v>115</x:v>
      </x:c>
      <x:c r="C117" s="43" t="str">
        <x:v>Place the open black cup in the bowl.</x:v>
      </x:c>
      <x:c r="D117" s="43" t="str">
        <x:v>black cup B (O, UD); black cup A (C, UD); yellow-white striped cup B (O, RU); brown cup A (C, UD)</x:v>
      </x:c>
      <x:c r="E117" s="44" t="str"/>
      <x:c r="F117" s="44" t="str">
        <x:v>101</x:v>
      </x:c>
      <x:c r="G117" s="43" t="str">
        <x:v>State-word concept reference only. The black cup is absent from fine-tuning, so no exact object-level training episode exists.</x:v>
      </x:c>
      <x:c r="H117" s="43" t="str">
        <x:v>black cup B</x:v>
      </x:c>
      <x:c r="I117" s="43" t="str"/>
      <x:c r="J117" s="46" t="str">
        <x:v>Novel-object state reasoning</x:v>
      </x:c>
      <x:c r="K117" s="44" t="str">
        <x:v>SR-BLACK06</x:v>
      </x:c>
      <x:c r="L117" s="44" t="str">
        <x:v>O</x:v>
      </x:c>
      <x:c r="M117" s="44" t="str">
        <x:v>black cup</x:v>
      </x:c>
      <x:c r="N117" s="44" t="n">
        <x:v>4</x:v>
      </x:c>
      <x:c r="O117" s="44" t="n">
        <x:v>1</x:v>
      </x:c>
      <x:c r="P117" s="44" t="str">
        <x:v>Empty</x:v>
      </x:c>
      <x:c r="Q117" s="43" t="str">
        <x:v>Reasoning-only globally unseen black-cup diagnostic</x:v>
      </x:c>
      <x:c r="R117" s="44" t="n">
        <x:v>5</x:v>
      </x:c>
      <x:c r="S117" s="43" t="str">
        <x:v>Build the listed two-black-cup discrimination scene with the bowl empty.</x:v>
      </x:c>
      <x:c r="T117" s="43" t="str">
        <x:v>Every prompt contains a state term; no direct-name-only black-cup trial is used. Report separately from the 50 primary transfer trials.</x:v>
      </x:c>
      <x:c r="U117" s="43" t="str"/>
    </x:row>
    <x:row r="118" ht="51" customHeight="1">
      <x:c r="A118" s="40" t="str">
        <x:v>Not collected</x:v>
      </x:c>
      <x:c r="B118" s="41" t="n">
        <x:v>116</x:v>
      </x:c>
      <x:c r="C118" s="40" t="str">
        <x:v>Place the upside-down black cup in the bowl.</x:v>
      </x:c>
      <x:c r="D118" s="40" t="str">
        <x:v>black cup A (C, UD); black cup B (C, RU)</x:v>
      </x:c>
      <x:c r="E118" s="41" t="str"/>
      <x:c r="F118" s="41" t="str">
        <x:v>78</x:v>
      </x:c>
      <x:c r="G118" s="40" t="str">
        <x:v>State-word concept reference only. The black cup is absent from fine-tuning, so no exact object-level training episode exists.</x:v>
      </x:c>
      <x:c r="H118" s="40" t="str">
        <x:v>black cup A</x:v>
      </x:c>
      <x:c r="I118" s="40" t="str"/>
      <x:c r="J118" s="46" t="str">
        <x:v>Novel-object state reasoning</x:v>
      </x:c>
      <x:c r="K118" s="41" t="str">
        <x:v>SR-BLACK07</x:v>
      </x:c>
      <x:c r="L118" s="41" t="str">
        <x:v>UD</x:v>
      </x:c>
      <x:c r="M118" s="41" t="str">
        <x:v>black cup</x:v>
      </x:c>
      <x:c r="N118" s="41" t="n">
        <x:v>2</x:v>
      </x:c>
      <x:c r="O118" s="41" t="n">
        <x:v>1</x:v>
      </x:c>
      <x:c r="P118" s="41" t="str">
        <x:v>Empty</x:v>
      </x:c>
      <x:c r="Q118" s="40" t="str">
        <x:v>Reasoning-only globally unseen black-cup diagnostic</x:v>
      </x:c>
      <x:c r="R118" s="41" t="n">
        <x:v>5</x:v>
      </x:c>
      <x:c r="S118" s="40" t="str">
        <x:v>Build the listed two-black-cup discrimination scene with the bowl empty.</x:v>
      </x:c>
      <x:c r="T118" s="40" t="str">
        <x:v>Every prompt contains a state term; no direct-name-only black-cup trial is used. Report separately from the 50 primary transfer trials.</x:v>
      </x:c>
      <x:c r="U118" s="40" t="str"/>
    </x:row>
    <x:row r="119" ht="51" customHeight="1">
      <x:c r="A119" s="43" t="str">
        <x:v>Not collected</x:v>
      </x:c>
      <x:c r="B119" s="44" t="n">
        <x:v>117</x:v>
      </x:c>
      <x:c r="C119" s="43" t="str">
        <x:v>Place the upright black cup in the bowl.</x:v>
      </x:c>
      <x:c r="D119" s="43" t="str">
        <x:v>black cup B (O, RU); black cup A (O, UD); glass spice container B (O, UD)</x:v>
      </x:c>
      <x:c r="E119" s="44" t="str"/>
      <x:c r="F119" s="44" t="str">
        <x:v>26</x:v>
      </x:c>
      <x:c r="G119" s="43" t="str">
        <x:v>State-word concept reference only. The black cup is absent from fine-tuning, so no exact object-level training episode exists.</x:v>
      </x:c>
      <x:c r="H119" s="43" t="str">
        <x:v>black cup B</x:v>
      </x:c>
      <x:c r="I119" s="43" t="str"/>
      <x:c r="J119" s="46" t="str">
        <x:v>Novel-object state reasoning</x:v>
      </x:c>
      <x:c r="K119" s="44" t="str">
        <x:v>SR-BLACK08</x:v>
      </x:c>
      <x:c r="L119" s="44" t="str">
        <x:v>RU</x:v>
      </x:c>
      <x:c r="M119" s="44" t="str">
        <x:v>black cup</x:v>
      </x:c>
      <x:c r="N119" s="44" t="n">
        <x:v>3</x:v>
      </x:c>
      <x:c r="O119" s="44" t="n">
        <x:v>1</x:v>
      </x:c>
      <x:c r="P119" s="44" t="str">
        <x:v>Empty</x:v>
      </x:c>
      <x:c r="Q119" s="43" t="str">
        <x:v>Reasoning-only globally unseen black-cup diagnostic</x:v>
      </x:c>
      <x:c r="R119" s="44" t="n">
        <x:v>5</x:v>
      </x:c>
      <x:c r="S119" s="43" t="str">
        <x:v>Build the listed two-black-cup discrimination scene with the bowl empty.</x:v>
      </x:c>
      <x:c r="T119" s="43" t="str">
        <x:v>Every prompt contains a state term; no direct-name-only black-cup trial is used. Report separately from the 50 primary transfer trials.</x:v>
      </x:c>
      <x:c r="U119" s="43" t="str"/>
    </x:row>
    <x:row r="120" ht="51" customHeight="1">
      <x:c r="A120" s="40" t="str">
        <x:v>Not collected</x:v>
      </x:c>
      <x:c r="B120" s="41" t="n">
        <x:v>118</x:v>
      </x:c>
      <x:c r="C120" s="40" t="str">
        <x:v>Place the closed black cup in the bowl.</x:v>
      </x:c>
      <x:c r="D120" s="40" t="str">
        <x:v>black cup A (C, RU); black cup B (O, RU); white cup A (C, RU); yellow-white striped cup B (O, RU)</x:v>
      </x:c>
      <x:c r="E120" s="41" t="str"/>
      <x:c r="F120" s="41" t="str">
        <x:v>0</x:v>
      </x:c>
      <x:c r="G120" s="40" t="str">
        <x:v>State-word concept reference only. The black cup is absent from fine-tuning, so no exact object-level training episode exists.</x:v>
      </x:c>
      <x:c r="H120" s="40" t="str">
        <x:v>black cup A</x:v>
      </x:c>
      <x:c r="I120" s="40" t="str"/>
      <x:c r="J120" s="46" t="str">
        <x:v>Novel-object state reasoning</x:v>
      </x:c>
      <x:c r="K120" s="41" t="str">
        <x:v>SR-BLACK09</x:v>
      </x:c>
      <x:c r="L120" s="41" t="str">
        <x:v>C</x:v>
      </x:c>
      <x:c r="M120" s="41" t="str">
        <x:v>black cup</x:v>
      </x:c>
      <x:c r="N120" s="41" t="n">
        <x:v>4</x:v>
      </x:c>
      <x:c r="O120" s="41" t="n">
        <x:v>1</x:v>
      </x:c>
      <x:c r="P120" s="41" t="str">
        <x:v>Empty</x:v>
      </x:c>
      <x:c r="Q120" s="40" t="str">
        <x:v>Reasoning-only globally unseen black-cup diagnostic</x:v>
      </x:c>
      <x:c r="R120" s="41" t="n">
        <x:v>5</x:v>
      </x:c>
      <x:c r="S120" s="40" t="str">
        <x:v>Build the listed two-black-cup discrimination scene with the bowl empty.</x:v>
      </x:c>
      <x:c r="T120" s="40" t="str">
        <x:v>Every prompt contains a state term; no direct-name-only black-cup trial is used. Report separately from the 50 primary transfer trials.</x:v>
      </x:c>
      <x:c r="U120" s="40" t="str"/>
    </x:row>
    <x:row r="121" ht="51" customHeight="1">
      <x:c r="A121" s="43" t="str">
        <x:v>Not collected</x:v>
      </x:c>
      <x:c r="B121" s="44" t="n">
        <x:v>119</x:v>
      </x:c>
      <x:c r="C121" s="43" t="str">
        <x:v>Place the open black cup in the bowl.</x:v>
      </x:c>
      <x:c r="D121" s="43" t="str">
        <x:v>black cup B (O, UD); black cup A (C, UD)</x:v>
      </x:c>
      <x:c r="E121" s="44" t="str"/>
      <x:c r="F121" s="44" t="str">
        <x:v>101</x:v>
      </x:c>
      <x:c r="G121" s="43" t="str">
        <x:v>State-word concept reference only. The black cup is absent from fine-tuning, so no exact object-level training episode exists.</x:v>
      </x:c>
      <x:c r="H121" s="43" t="str">
        <x:v>black cup B</x:v>
      </x:c>
      <x:c r="I121" s="43" t="str"/>
      <x:c r="J121" s="46" t="str">
        <x:v>Novel-object state reasoning</x:v>
      </x:c>
      <x:c r="K121" s="44" t="str">
        <x:v>SR-BLACK10</x:v>
      </x:c>
      <x:c r="L121" s="44" t="str">
        <x:v>O</x:v>
      </x:c>
      <x:c r="M121" s="44" t="str">
        <x:v>black cup</x:v>
      </x:c>
      <x:c r="N121" s="44" t="n">
        <x:v>2</x:v>
      </x:c>
      <x:c r="O121" s="44" t="n">
        <x:v>1</x:v>
      </x:c>
      <x:c r="P121" s="44" t="str">
        <x:v>Empty</x:v>
      </x:c>
      <x:c r="Q121" s="43" t="str">
        <x:v>Reasoning-only globally unseen black-cup diagnostic</x:v>
      </x:c>
      <x:c r="R121" s="44" t="n">
        <x:v>5</x:v>
      </x:c>
      <x:c r="S121" s="43" t="str">
        <x:v>Build the listed two-black-cup discrimination scene with the bowl empty.</x:v>
      </x:c>
      <x:c r="T121" s="43" t="str">
        <x:v>Every prompt contains a state term; no direct-name-only black-cup trial is used. Report separately from the 50 primary transfer trials.</x:v>
      </x:c>
      <x:c r="U121" s="43" t="str"/>
    </x:row>
    <x:row r="122" ht="51" customHeight="1">
      <x:c r="A122" s="40" t="str">
        <x:v>Not collected</x:v>
      </x:c>
      <x:c r="B122" s="41" t="n">
        <x:v>120</x:v>
      </x:c>
      <x:c r="C122" s="40" t="str">
        <x:v>Place the upside-down black cup in the bowl.</x:v>
      </x:c>
      <x:c r="D122" s="40" t="str">
        <x:v>black cup A (C, UD); black cup B (C, RU); brown cup A (C, UD)</x:v>
      </x:c>
      <x:c r="E122" s="41" t="str"/>
      <x:c r="F122" s="41" t="str">
        <x:v>78</x:v>
      </x:c>
      <x:c r="G122" s="40" t="str">
        <x:v>State-word concept reference only. The black cup is absent from fine-tuning, so no exact object-level training episode exists.</x:v>
      </x:c>
      <x:c r="H122" s="40" t="str">
        <x:v>black cup A</x:v>
      </x:c>
      <x:c r="I122" s="40" t="str"/>
      <x:c r="J122" s="46" t="str">
        <x:v>Novel-object state reasoning</x:v>
      </x:c>
      <x:c r="K122" s="41" t="str">
        <x:v>SR-BLACK11</x:v>
      </x:c>
      <x:c r="L122" s="41" t="str">
        <x:v>UD</x:v>
      </x:c>
      <x:c r="M122" s="41" t="str">
        <x:v>black cup</x:v>
      </x:c>
      <x:c r="N122" s="41" t="n">
        <x:v>3</x:v>
      </x:c>
      <x:c r="O122" s="41" t="n">
        <x:v>1</x:v>
      </x:c>
      <x:c r="P122" s="41" t="str">
        <x:v>Empty</x:v>
      </x:c>
      <x:c r="Q122" s="40" t="str">
        <x:v>Reasoning-only globally unseen black-cup diagnostic</x:v>
      </x:c>
      <x:c r="R122" s="41" t="n">
        <x:v>5</x:v>
      </x:c>
      <x:c r="S122" s="40" t="str">
        <x:v>Build the listed two-black-cup discrimination scene with the bowl empty.</x:v>
      </x:c>
      <x:c r="T122" s="40" t="str">
        <x:v>Every prompt contains a state term; no direct-name-only black-cup trial is used. Report separately from the 50 primary transfer trials.</x:v>
      </x:c>
      <x:c r="U122" s="40" t="str"/>
    </x:row>
    <x:row r="123" ht="51" customHeight="1">
      <x:c r="A123" s="43" t="str">
        <x:v>Not collected</x:v>
      </x:c>
      <x:c r="B123" s="44" t="n">
        <x:v>121</x:v>
      </x:c>
      <x:c r="C123" s="43" t="str">
        <x:v>Place the upright black cup in the bowl.</x:v>
      </x:c>
      <x:c r="D123" s="43" t="str">
        <x:v>black cup B (O, RU); black cup A (O, UD); glass spice container B (O, UD); white cup A (C, RU)</x:v>
      </x:c>
      <x:c r="E123" s="44" t="str"/>
      <x:c r="F123" s="44" t="str">
        <x:v>26</x:v>
      </x:c>
      <x:c r="G123" s="43" t="str">
        <x:v>State-word concept reference only. The black cup is absent from fine-tuning, so no exact object-level training episode exists.</x:v>
      </x:c>
      <x:c r="H123" s="43" t="str">
        <x:v>black cup B</x:v>
      </x:c>
      <x:c r="I123" s="43" t="str"/>
      <x:c r="J123" s="46" t="str">
        <x:v>Novel-object state reasoning</x:v>
      </x:c>
      <x:c r="K123" s="44" t="str">
        <x:v>SR-BLACK12</x:v>
      </x:c>
      <x:c r="L123" s="44" t="str">
        <x:v>RU</x:v>
      </x:c>
      <x:c r="M123" s="44" t="str">
        <x:v>black cup</x:v>
      </x:c>
      <x:c r="N123" s="44" t="n">
        <x:v>4</x:v>
      </x:c>
      <x:c r="O123" s="44" t="n">
        <x:v>1</x:v>
      </x:c>
      <x:c r="P123" s="44" t="str">
        <x:v>Empty</x:v>
      </x:c>
      <x:c r="Q123" s="43" t="str">
        <x:v>Reasoning-only globally unseen black-cup diagnostic</x:v>
      </x:c>
      <x:c r="R123" s="44" t="n">
        <x:v>5</x:v>
      </x:c>
      <x:c r="S123" s="43" t="str">
        <x:v>Build the listed two-black-cup discrimination scene with the bowl empty.</x:v>
      </x:c>
      <x:c r="T123" s="43" t="str">
        <x:v>Every prompt contains a state term; no direct-name-only black-cup trial is used. Report separately from the 50 primary transfer trials.</x:v>
      </x:c>
      <x:c r="U123" s="43" t="str"/>
    </x:row>
    <x:row r="124" ht="51" customHeight="1">
      <x:c r="A124" s="40" t="str">
        <x:v>Not collected</x:v>
      </x:c>
      <x:c r="B124" s="41" t="n">
        <x:v>122</x:v>
      </x:c>
      <x:c r="C124" s="40" t="str">
        <x:v>Place the closed black cup in the bowl.</x:v>
      </x:c>
      <x:c r="D124" s="40" t="str">
        <x:v>black cup A (C, RU); black cup B (O, RU)</x:v>
      </x:c>
      <x:c r="E124" s="41" t="str"/>
      <x:c r="F124" s="41" t="str">
        <x:v>0</x:v>
      </x:c>
      <x:c r="G124" s="40" t="str">
        <x:v>State-word concept reference only. The black cup is absent from fine-tuning, so no exact object-level training episode exists.</x:v>
      </x:c>
      <x:c r="H124" s="40" t="str">
        <x:v>black cup A</x:v>
      </x:c>
      <x:c r="I124" s="40" t="str"/>
      <x:c r="J124" s="46" t="str">
        <x:v>Novel-object state reasoning</x:v>
      </x:c>
      <x:c r="K124" s="41" t="str">
        <x:v>SR-BLACK13</x:v>
      </x:c>
      <x:c r="L124" s="41" t="str">
        <x:v>C</x:v>
      </x:c>
      <x:c r="M124" s="41" t="str">
        <x:v>black cup</x:v>
      </x:c>
      <x:c r="N124" s="41" t="n">
        <x:v>2</x:v>
      </x:c>
      <x:c r="O124" s="41" t="n">
        <x:v>1</x:v>
      </x:c>
      <x:c r="P124" s="41" t="str">
        <x:v>Empty</x:v>
      </x:c>
      <x:c r="Q124" s="40" t="str">
        <x:v>Reasoning-only globally unseen black-cup diagnostic</x:v>
      </x:c>
      <x:c r="R124" s="41" t="n">
        <x:v>5</x:v>
      </x:c>
      <x:c r="S124" s="40" t="str">
        <x:v>Build the listed two-black-cup discrimination scene with the bowl empty.</x:v>
      </x:c>
      <x:c r="T124" s="40" t="str">
        <x:v>Every prompt contains a state term; no direct-name-only black-cup trial is used. Report separately from the 50 primary transfer trials.</x:v>
      </x:c>
      <x:c r="U124" s="40" t="str"/>
    </x:row>
    <x:row r="125" ht="51" customHeight="1">
      <x:c r="A125" s="43" t="str">
        <x:v>Not collected</x:v>
      </x:c>
      <x:c r="B125" s="44" t="n">
        <x:v>123</x:v>
      </x:c>
      <x:c r="C125" s="43" t="str">
        <x:v>Place the open black cup in the bowl.</x:v>
      </x:c>
      <x:c r="D125" s="43" t="str">
        <x:v>black cup B (O, UD); black cup A (C, UD); yellow-white striped cup B (O, RU)</x:v>
      </x:c>
      <x:c r="E125" s="44" t="str"/>
      <x:c r="F125" s="44" t="str">
        <x:v>101</x:v>
      </x:c>
      <x:c r="G125" s="43" t="str">
        <x:v>State-word concept reference only. The black cup is absent from fine-tuning, so no exact object-level training episode exists.</x:v>
      </x:c>
      <x:c r="H125" s="43" t="str">
        <x:v>black cup B</x:v>
      </x:c>
      <x:c r="I125" s="43" t="str"/>
      <x:c r="J125" s="46" t="str">
        <x:v>Novel-object state reasoning</x:v>
      </x:c>
      <x:c r="K125" s="44" t="str">
        <x:v>SR-BLACK14</x:v>
      </x:c>
      <x:c r="L125" s="44" t="str">
        <x:v>O</x:v>
      </x:c>
      <x:c r="M125" s="44" t="str">
        <x:v>black cup</x:v>
      </x:c>
      <x:c r="N125" s="44" t="n">
        <x:v>3</x:v>
      </x:c>
      <x:c r="O125" s="44" t="n">
        <x:v>1</x:v>
      </x:c>
      <x:c r="P125" s="44" t="str">
        <x:v>Empty</x:v>
      </x:c>
      <x:c r="Q125" s="43" t="str">
        <x:v>Reasoning-only globally unseen black-cup diagnostic</x:v>
      </x:c>
      <x:c r="R125" s="44" t="n">
        <x:v>5</x:v>
      </x:c>
      <x:c r="S125" s="43" t="str">
        <x:v>Build the listed two-black-cup discrimination scene with the bowl empty.</x:v>
      </x:c>
      <x:c r="T125" s="43" t="str">
        <x:v>Every prompt contains a state term; no direct-name-only black-cup trial is used. Report separately from the 50 primary transfer trials.</x:v>
      </x:c>
      <x:c r="U125" s="43" t="str"/>
    </x:row>
    <x:row r="126" ht="51" customHeight="1">
      <x:c r="A126" s="40" t="str">
        <x:v>Not collected</x:v>
      </x:c>
      <x:c r="B126" s="41" t="n">
        <x:v>124</x:v>
      </x:c>
      <x:c r="C126" s="40" t="str">
        <x:v>Place the upside-down black cup in the bowl.</x:v>
      </x:c>
      <x:c r="D126" s="40" t="str">
        <x:v>black cup A (C, UD); black cup B (C, RU); brown cup A (C, UD); glass spice container B (O, UD)</x:v>
      </x:c>
      <x:c r="E126" s="41" t="str"/>
      <x:c r="F126" s="41" t="str">
        <x:v>78</x:v>
      </x:c>
      <x:c r="G126" s="40" t="str">
        <x:v>State-word concept reference only. The black cup is absent from fine-tuning, so no exact object-level training episode exists.</x:v>
      </x:c>
      <x:c r="H126" s="40" t="str">
        <x:v>black cup A</x:v>
      </x:c>
      <x:c r="I126" s="40" t="str"/>
      <x:c r="J126" s="46" t="str">
        <x:v>Novel-object state reasoning</x:v>
      </x:c>
      <x:c r="K126" s="41" t="str">
        <x:v>SR-BLACK15</x:v>
      </x:c>
      <x:c r="L126" s="41" t="str">
        <x:v>UD</x:v>
      </x:c>
      <x:c r="M126" s="41" t="str">
        <x:v>black cup</x:v>
      </x:c>
      <x:c r="N126" s="41" t="n">
        <x:v>4</x:v>
      </x:c>
      <x:c r="O126" s="41" t="n">
        <x:v>1</x:v>
      </x:c>
      <x:c r="P126" s="41" t="str">
        <x:v>Empty</x:v>
      </x:c>
      <x:c r="Q126" s="40" t="str">
        <x:v>Reasoning-only globally unseen black-cup diagnostic</x:v>
      </x:c>
      <x:c r="R126" s="41" t="n">
        <x:v>5</x:v>
      </x:c>
      <x:c r="S126" s="40" t="str">
        <x:v>Build the listed two-black-cup discrimination scene with the bowl empty.</x:v>
      </x:c>
      <x:c r="T126" s="40" t="str">
        <x:v>Every prompt contains a state term; no direct-name-only black-cup trial is used. Report separately from the 50 primary transfer trials.</x:v>
      </x:c>
      <x:c r="U126" s="40" t="str"/>
    </x:row>
    <x:row r="127" ht="51" customHeight="1">
      <x:c r="A127" s="43" t="str">
        <x:v>Not collected</x:v>
      </x:c>
      <x:c r="B127" s="44" t="n">
        <x:v>125</x:v>
      </x:c>
      <x:c r="C127" s="43" t="str">
        <x:v>Place the upright black cup in the bowl.</x:v>
      </x:c>
      <x:c r="D127" s="43" t="str">
        <x:v>black cup B (O, RU); black cup A (O, UD)</x:v>
      </x:c>
      <x:c r="E127" s="44" t="str"/>
      <x:c r="F127" s="44" t="str">
        <x:v>26</x:v>
      </x:c>
      <x:c r="G127" s="43" t="str">
        <x:v>State-word concept reference only. The black cup is absent from fine-tuning, so no exact object-level training episode exists.</x:v>
      </x:c>
      <x:c r="H127" s="43" t="str">
        <x:v>black cup B</x:v>
      </x:c>
      <x:c r="I127" s="43" t="str"/>
      <x:c r="J127" s="46" t="str">
        <x:v>Novel-object state reasoning</x:v>
      </x:c>
      <x:c r="K127" s="44" t="str">
        <x:v>SR-BLACK16</x:v>
      </x:c>
      <x:c r="L127" s="44" t="str">
        <x:v>RU</x:v>
      </x:c>
      <x:c r="M127" s="44" t="str">
        <x:v>black cup</x:v>
      </x:c>
      <x:c r="N127" s="44" t="n">
        <x:v>2</x:v>
      </x:c>
      <x:c r="O127" s="44" t="n">
        <x:v>1</x:v>
      </x:c>
      <x:c r="P127" s="44" t="str">
        <x:v>Empty</x:v>
      </x:c>
      <x:c r="Q127" s="43" t="str">
        <x:v>Reasoning-only globally unseen black-cup diagnostic</x:v>
      </x:c>
      <x:c r="R127" s="44" t="n">
        <x:v>5</x:v>
      </x:c>
      <x:c r="S127" s="43" t="str">
        <x:v>Build the listed two-black-cup discrimination scene with the bowl empty.</x:v>
      </x:c>
      <x:c r="T127" s="43" t="str">
        <x:v>Every prompt contains a state term; no direct-name-only black-cup trial is used. Report separately from the 50 primary transfer trials.</x:v>
      </x:c>
      <x:c r="U127" s="43" t="str"/>
    </x:row>
    <x:row r="128" ht="51" customHeight="1">
      <x:c r="A128" s="40" t="str">
        <x:v>Not collected</x:v>
      </x:c>
      <x:c r="B128" s="41" t="n">
        <x:v>126</x:v>
      </x:c>
      <x:c r="C128" s="40" t="str">
        <x:v>Place the closed black cup in the bowl.</x:v>
      </x:c>
      <x:c r="D128" s="40" t="str">
        <x:v>black cup A (C, RU); black cup B (O, RU); white cup A (C, RU)</x:v>
      </x:c>
      <x:c r="E128" s="41" t="str"/>
      <x:c r="F128" s="41" t="str">
        <x:v>0</x:v>
      </x:c>
      <x:c r="G128" s="40" t="str">
        <x:v>State-word concept reference only. The black cup is absent from fine-tuning, so no exact object-level training episode exists.</x:v>
      </x:c>
      <x:c r="H128" s="40" t="str">
        <x:v>black cup A</x:v>
      </x:c>
      <x:c r="I128" s="40" t="str"/>
      <x:c r="J128" s="46" t="str">
        <x:v>Novel-object state reasoning</x:v>
      </x:c>
      <x:c r="K128" s="41" t="str">
        <x:v>SR-BLACK17</x:v>
      </x:c>
      <x:c r="L128" s="41" t="str">
        <x:v>C</x:v>
      </x:c>
      <x:c r="M128" s="41" t="str">
        <x:v>black cup</x:v>
      </x:c>
      <x:c r="N128" s="41" t="n">
        <x:v>3</x:v>
      </x:c>
      <x:c r="O128" s="41" t="n">
        <x:v>1</x:v>
      </x:c>
      <x:c r="P128" s="41" t="str">
        <x:v>Empty</x:v>
      </x:c>
      <x:c r="Q128" s="40" t="str">
        <x:v>Reasoning-only globally unseen black-cup diagnostic</x:v>
      </x:c>
      <x:c r="R128" s="41" t="n">
        <x:v>5</x:v>
      </x:c>
      <x:c r="S128" s="40" t="str">
        <x:v>Build the listed two-black-cup discrimination scene with the bowl empty.</x:v>
      </x:c>
      <x:c r="T128" s="40" t="str">
        <x:v>Every prompt contains a state term; no direct-name-only black-cup trial is used. Report separately from the 50 primary transfer trials.</x:v>
      </x:c>
      <x:c r="U128" s="40" t="str"/>
    </x:row>
    <x:row r="129" ht="51" customHeight="1">
      <x:c r="A129" s="43" t="str">
        <x:v>Not collected</x:v>
      </x:c>
      <x:c r="B129" s="44" t="n">
        <x:v>127</x:v>
      </x:c>
      <x:c r="C129" s="43" t="str">
        <x:v>Place the open black cup in the bowl.</x:v>
      </x:c>
      <x:c r="D129" s="43" t="str">
        <x:v>black cup B (O, UD); black cup A (C, UD); yellow-white striped cup B (O, RU); brown cup A (C, UD)</x:v>
      </x:c>
      <x:c r="E129" s="44" t="str"/>
      <x:c r="F129" s="44" t="str">
        <x:v>101</x:v>
      </x:c>
      <x:c r="G129" s="43" t="str">
        <x:v>State-word concept reference only. The black cup is absent from fine-tuning, so no exact object-level training episode exists.</x:v>
      </x:c>
      <x:c r="H129" s="43" t="str">
        <x:v>black cup B</x:v>
      </x:c>
      <x:c r="I129" s="43" t="str"/>
      <x:c r="J129" s="46" t="str">
        <x:v>Novel-object state reasoning</x:v>
      </x:c>
      <x:c r="K129" s="44" t="str">
        <x:v>SR-BLACK18</x:v>
      </x:c>
      <x:c r="L129" s="44" t="str">
        <x:v>O</x:v>
      </x:c>
      <x:c r="M129" s="44" t="str">
        <x:v>black cup</x:v>
      </x:c>
      <x:c r="N129" s="44" t="n">
        <x:v>4</x:v>
      </x:c>
      <x:c r="O129" s="44" t="n">
        <x:v>1</x:v>
      </x:c>
      <x:c r="P129" s="44" t="str">
        <x:v>Empty</x:v>
      </x:c>
      <x:c r="Q129" s="43" t="str">
        <x:v>Reasoning-only globally unseen black-cup diagnostic</x:v>
      </x:c>
      <x:c r="R129" s="44" t="n">
        <x:v>5</x:v>
      </x:c>
      <x:c r="S129" s="43" t="str">
        <x:v>Build the listed two-black-cup discrimination scene with the bowl empty.</x:v>
      </x:c>
      <x:c r="T129" s="43" t="str">
        <x:v>Every prompt contains a state term; no direct-name-only black-cup trial is used. Report separately from the 50 primary transfer trials.</x:v>
      </x:c>
      <x:c r="U129" s="43" t="str"/>
    </x:row>
    <x:row r="130" ht="51" customHeight="1">
      <x:c r="A130" s="40" t="str">
        <x:v>Not collected</x:v>
      </x:c>
      <x:c r="B130" s="41" t="n">
        <x:v>128</x:v>
      </x:c>
      <x:c r="C130" s="40" t="str">
        <x:v>Place the upside-down black cup in the bowl.</x:v>
      </x:c>
      <x:c r="D130" s="40" t="str">
        <x:v>black cup A (C, UD); black cup B (C, RU)</x:v>
      </x:c>
      <x:c r="E130" s="41" t="str"/>
      <x:c r="F130" s="41" t="str">
        <x:v>78</x:v>
      </x:c>
      <x:c r="G130" s="40" t="str">
        <x:v>State-word concept reference only. The black cup is absent from fine-tuning, so no exact object-level training episode exists.</x:v>
      </x:c>
      <x:c r="H130" s="40" t="str">
        <x:v>black cup A</x:v>
      </x:c>
      <x:c r="I130" s="40" t="str"/>
      <x:c r="J130" s="46" t="str">
        <x:v>Novel-object state reasoning</x:v>
      </x:c>
      <x:c r="K130" s="41" t="str">
        <x:v>SR-BLACK19</x:v>
      </x:c>
      <x:c r="L130" s="41" t="str">
        <x:v>UD</x:v>
      </x:c>
      <x:c r="M130" s="41" t="str">
        <x:v>black cup</x:v>
      </x:c>
      <x:c r="N130" s="41" t="n">
        <x:v>2</x:v>
      </x:c>
      <x:c r="O130" s="41" t="n">
        <x:v>1</x:v>
      </x:c>
      <x:c r="P130" s="41" t="str">
        <x:v>Empty</x:v>
      </x:c>
      <x:c r="Q130" s="40" t="str">
        <x:v>Reasoning-only globally unseen black-cup diagnostic</x:v>
      </x:c>
      <x:c r="R130" s="41" t="n">
        <x:v>5</x:v>
      </x:c>
      <x:c r="S130" s="40" t="str">
        <x:v>Build the listed two-black-cup discrimination scene with the bowl empty.</x:v>
      </x:c>
      <x:c r="T130" s="40" t="str">
        <x:v>Every prompt contains a state term; no direct-name-only black-cup trial is used. Report separately from the 50 primary transfer trials.</x:v>
      </x:c>
      <x:c r="U130" s="40" t="str"/>
    </x:row>
    <x:row r="131" ht="51" customHeight="1">
      <x:c r="A131" s="43" t="str">
        <x:v>Not collected</x:v>
      </x:c>
      <x:c r="B131" s="44" t="n">
        <x:v>129</x:v>
      </x:c>
      <x:c r="C131" s="43" t="str">
        <x:v>Place the upright black cup in the bowl.</x:v>
      </x:c>
      <x:c r="D131" s="43" t="str">
        <x:v>black cup B (O, RU); black cup A (O, UD); glass spice container B (O, UD)</x:v>
      </x:c>
      <x:c r="E131" s="44" t="str"/>
      <x:c r="F131" s="44" t="str">
        <x:v>26</x:v>
      </x:c>
      <x:c r="G131" s="43" t="str">
        <x:v>State-word concept reference only. The black cup is absent from fine-tuning, so no exact object-level training episode exists.</x:v>
      </x:c>
      <x:c r="H131" s="43" t="str">
        <x:v>black cup B</x:v>
      </x:c>
      <x:c r="I131" s="43" t="str"/>
      <x:c r="J131" s="46" t="str">
        <x:v>Novel-object state reasoning</x:v>
      </x:c>
      <x:c r="K131" s="44" t="str">
        <x:v>SR-BLACK20</x:v>
      </x:c>
      <x:c r="L131" s="44" t="str">
        <x:v>RU</x:v>
      </x:c>
      <x:c r="M131" s="44" t="str">
        <x:v>black cup</x:v>
      </x:c>
      <x:c r="N131" s="44" t="n">
        <x:v>3</x:v>
      </x:c>
      <x:c r="O131" s="44" t="n">
        <x:v>1</x:v>
      </x:c>
      <x:c r="P131" s="44" t="str">
        <x:v>Empty</x:v>
      </x:c>
      <x:c r="Q131" s="43" t="str">
        <x:v>Reasoning-only globally unseen black-cup diagnostic</x:v>
      </x:c>
      <x:c r="R131" s="44" t="n">
        <x:v>5</x:v>
      </x:c>
      <x:c r="S131" s="43" t="str">
        <x:v>Build the listed two-black-cup discrimination scene with the bowl empty.</x:v>
      </x:c>
      <x:c r="T131" s="43" t="str">
        <x:v>Every prompt contains a state term; no direct-name-only black-cup trial is used. Report separately from the 50 primary transfer trials.</x:v>
      </x:c>
      <x:c r="U131" s="43" t="str"/>
    </x:row>
    <x:row r="132" ht="51" customHeight="1">
      <x:c r="A132" s="40" t="str">
        <x:v>Not collected</x:v>
      </x:c>
      <x:c r="B132" s="41" t="n">
        <x:v>130</x:v>
      </x:c>
      <x:c r="C132" s="40" t="str">
        <x:v>Place the closed white cup in the bowl.</x:v>
      </x:c>
      <x:c r="D132" s="40" t="str">
        <x:v>white cup A (O, RU); white cup B (O, UD)</x:v>
      </x:c>
      <x:c r="E132" s="41" t="str"/>
      <x:c r="F132" s="41" t="str">
        <x:v>0</x:v>
      </x:c>
      <x:c r="G132" s="40" t="str">
        <x:v>The state-object concept is explicitly trained, but training does not contain a no-satisfying-target abstention trajectory.</x:v>
      </x:c>
      <x:c r="H132" s="40" t="str">
        <x:v>NO-OP; no object has state C, so nothing should be picked up</x:v>
      </x:c>
      <x:c r="I132" s="40" t="str"/>
      <x:c r="J132" s="42" t="str">
        <x:v>No valid target / no movement</x:v>
      </x:c>
      <x:c r="K132" s="41" t="str">
        <x:v>SR-NOOP01</x:v>
      </x:c>
      <x:c r="L132" s="41" t="str">
        <x:v>C</x:v>
      </x:c>
      <x:c r="M132" s="41" t="str">
        <x:v>white cup</x:v>
      </x:c>
      <x:c r="N132" s="41" t="n">
        <x:v>2</x:v>
      </x:c>
      <x:c r="O132" s="41" t="n">
        <x:v>0</x:v>
      </x:c>
      <x:c r="P132" s="41" t="str">
        <x:v>Empty</x:v>
      </x:c>
      <x:c r="Q132" s="40" t="str">
        <x:v>No satisfying state present; bowl remains empty</x:v>
      </x:c>
      <x:c r="R132" s="41" t="n">
        <x:v>6</x:v>
      </x:c>
      <x:c r="S132" s="40" t="str">
        <x:v>Build the listed no-match scene and confirm the bowl is empty.</x:v>
      </x:c>
      <x:c r="T132" s="40" t="str">
        <x:v>No object in the entire scene has the queried state. The prompt uses the same canonical frame as active trials, and the queried state-object cell is training-supported.</x:v>
      </x:c>
      <x:c r="U132" s="40" t="str"/>
    </x:row>
    <x:row r="133" ht="51" customHeight="1">
      <x:c r="A133" s="43" t="str">
        <x:v>Not collected</x:v>
      </x:c>
      <x:c r="B133" s="44" t="n">
        <x:v>131</x:v>
      </x:c>
      <x:c r="C133" s="43" t="str">
        <x:v>Place the upside-down yellow-white striped cup in the bowl.</x:v>
      </x:c>
      <x:c r="D133" s="43" t="str">
        <x:v>yellow-white striped cup A (C, RU); yellow-white striped cup B (O, RU); brown cup B (O, RU)</x:v>
      </x:c>
      <x:c r="E133" s="44" t="str"/>
      <x:c r="F133" s="44" t="str">
        <x:v>78</x:v>
      </x:c>
      <x:c r="G133" s="43" t="str">
        <x:v>The state-object concept is explicitly trained, but training does not contain a no-satisfying-target abstention trajectory.</x:v>
      </x:c>
      <x:c r="H133" s="43" t="str">
        <x:v>NO-OP; no object has state UD, so nothing should be picked up</x:v>
      </x:c>
      <x:c r="I133" s="43" t="str"/>
      <x:c r="J133" s="42" t="str">
        <x:v>No valid target / no movement</x:v>
      </x:c>
      <x:c r="K133" s="44" t="str">
        <x:v>SR-NOOP02</x:v>
      </x:c>
      <x:c r="L133" s="44" t="str">
        <x:v>UD</x:v>
      </x:c>
      <x:c r="M133" s="44" t="str">
        <x:v>yellow-white striped cup</x:v>
      </x:c>
      <x:c r="N133" s="44" t="n">
        <x:v>3</x:v>
      </x:c>
      <x:c r="O133" s="44" t="n">
        <x:v>0</x:v>
      </x:c>
      <x:c r="P133" s="44" t="str">
        <x:v>Empty</x:v>
      </x:c>
      <x:c r="Q133" s="43" t="str">
        <x:v>No satisfying state present; bowl remains empty</x:v>
      </x:c>
      <x:c r="R133" s="44" t="n">
        <x:v>6</x:v>
      </x:c>
      <x:c r="S133" s="43" t="str">
        <x:v>Build the listed no-match scene and confirm the bowl is empty.</x:v>
      </x:c>
      <x:c r="T133" s="43" t="str">
        <x:v>No object in the entire scene has the queried state. The prompt uses the same canonical frame as active trials, and the queried state-object cell is training-supported.</x:v>
      </x:c>
      <x:c r="U133" s="43" t="str"/>
    </x:row>
    <x:row r="134" ht="51" customHeight="1">
      <x:c r="A134" s="40" t="str">
        <x:v>Not collected</x:v>
      </x:c>
      <x:c r="B134" s="41" t="n">
        <x:v>132</x:v>
      </x:c>
      <x:c r="C134" s="40" t="str">
        <x:v>Place the open brown cup in the bowl.</x:v>
      </x:c>
      <x:c r="D134" s="40" t="str">
        <x:v>brown cup A (C, RU); brown cup B (C, UD); glass spice container A (C, UD); white cup B (C, UD)</x:v>
      </x:c>
      <x:c r="E134" s="41" t="str"/>
      <x:c r="F134" s="41" t="str">
        <x:v>101</x:v>
      </x:c>
      <x:c r="G134" s="40" t="str">
        <x:v>The state-object concept is explicitly trained, but training does not contain a no-satisfying-target abstention trajectory.</x:v>
      </x:c>
      <x:c r="H134" s="40" t="str">
        <x:v>NO-OP; no object has state O, so nothing should be picked up</x:v>
      </x:c>
      <x:c r="I134" s="40" t="str"/>
      <x:c r="J134" s="42" t="str">
        <x:v>No valid target / no movement</x:v>
      </x:c>
      <x:c r="K134" s="41" t="str">
        <x:v>SR-NOOP03</x:v>
      </x:c>
      <x:c r="L134" s="41" t="str">
        <x:v>O</x:v>
      </x:c>
      <x:c r="M134" s="41" t="str">
        <x:v>brown cup</x:v>
      </x:c>
      <x:c r="N134" s="41" t="n">
        <x:v>4</x:v>
      </x:c>
      <x:c r="O134" s="41" t="n">
        <x:v>0</x:v>
      </x:c>
      <x:c r="P134" s="41" t="str">
        <x:v>Empty</x:v>
      </x:c>
      <x:c r="Q134" s="40" t="str">
        <x:v>No satisfying state present; bowl remains empty</x:v>
      </x:c>
      <x:c r="R134" s="41" t="n">
        <x:v>6</x:v>
      </x:c>
      <x:c r="S134" s="40" t="str">
        <x:v>Build the listed no-match scene and confirm the bowl is empty.</x:v>
      </x:c>
      <x:c r="T134" s="40" t="str">
        <x:v>No object in the entire scene has the queried state. The prompt uses the same canonical frame as active trials, and the queried state-object cell is training-supported.</x:v>
      </x:c>
      <x:c r="U134" s="40" t="str"/>
    </x:row>
    <x:row r="135" ht="51" customHeight="1">
      <x:c r="A135" s="43" t="str">
        <x:v>Not collected</x:v>
      </x:c>
      <x:c r="B135" s="44" t="n">
        <x:v>133</x:v>
      </x:c>
      <x:c r="C135" s="43" t="str">
        <x:v>Place the closed glass spice container in the bowl.</x:v>
      </x:c>
      <x:c r="D135" s="43" t="str">
        <x:v>glass spice container A (O, RU); glass spice container B (O, UD)</x:v>
      </x:c>
      <x:c r="E135" s="44" t="str"/>
      <x:c r="F135" s="44" t="str">
        <x:v>151</x:v>
      </x:c>
      <x:c r="G135" s="43" t="str">
        <x:v>The state-object concept is explicitly trained, but training does not contain a no-satisfying-target abstention trajectory.</x:v>
      </x:c>
      <x:c r="H135" s="43" t="str">
        <x:v>NO-OP; no object has state C, so nothing should be picked up</x:v>
      </x:c>
      <x:c r="I135" s="43" t="str"/>
      <x:c r="J135" s="42" t="str">
        <x:v>No valid target / no movement</x:v>
      </x:c>
      <x:c r="K135" s="44" t="str">
        <x:v>SR-NOOP04</x:v>
      </x:c>
      <x:c r="L135" s="44" t="str">
        <x:v>C</x:v>
      </x:c>
      <x:c r="M135" s="44" t="str">
        <x:v>glass spice container</x:v>
      </x:c>
      <x:c r="N135" s="44" t="n">
        <x:v>2</x:v>
      </x:c>
      <x:c r="O135" s="44" t="n">
        <x:v>0</x:v>
      </x:c>
      <x:c r="P135" s="44" t="str">
        <x:v>Empty</x:v>
      </x:c>
      <x:c r="Q135" s="43" t="str">
        <x:v>No satisfying state present; bowl remains empty</x:v>
      </x:c>
      <x:c r="R135" s="44" t="n">
        <x:v>6</x:v>
      </x:c>
      <x:c r="S135" s="43" t="str">
        <x:v>Build the listed no-match scene and confirm the bowl is empty.</x:v>
      </x:c>
      <x:c r="T135" s="43" t="str">
        <x:v>No object in the entire scene has the queried state. The prompt uses the same canonical frame as active trials, and the queried state-object cell is training-supported.</x:v>
      </x:c>
      <x:c r="U135" s="43" t="str"/>
    </x:row>
    <x:row r="136" ht="51" customHeight="1">
      <x:c r="A136" s="40" t="str">
        <x:v>Not collected</x:v>
      </x:c>
      <x:c r="B136" s="41" t="n">
        <x:v>134</x:v>
      </x:c>
      <x:c r="C136" s="40" t="str">
        <x:v>Place the open white cup in the bowl.</x:v>
      </x:c>
      <x:c r="D136" s="40" t="str">
        <x:v>white cup A (C, UD); white cup B (C, RU); glass spice container B (C, RU)</x:v>
      </x:c>
      <x:c r="E136" s="41" t="str"/>
      <x:c r="F136" s="41" t="str">
        <x:v>1</x:v>
      </x:c>
      <x:c r="G136" s="40" t="str">
        <x:v>The state-object concept is explicitly trained, but training does not contain a no-satisfying-target abstention trajectory.</x:v>
      </x:c>
      <x:c r="H136" s="40" t="str">
        <x:v>NO-OP; no object has state O, so nothing should be picked up</x:v>
      </x:c>
      <x:c r="I136" s="40" t="str"/>
      <x:c r="J136" s="42" t="str">
        <x:v>No valid target / no movement</x:v>
      </x:c>
      <x:c r="K136" s="41" t="str">
        <x:v>SR-NOOP05</x:v>
      </x:c>
      <x:c r="L136" s="41" t="str">
        <x:v>O</x:v>
      </x:c>
      <x:c r="M136" s="41" t="str">
        <x:v>white cup</x:v>
      </x:c>
      <x:c r="N136" s="41" t="n">
        <x:v>3</x:v>
      </x:c>
      <x:c r="O136" s="41" t="n">
        <x:v>0</x:v>
      </x:c>
      <x:c r="P136" s="41" t="str">
        <x:v>Empty</x:v>
      </x:c>
      <x:c r="Q136" s="40" t="str">
        <x:v>No satisfying state present; bowl remains empty</x:v>
      </x:c>
      <x:c r="R136" s="41" t="n">
        <x:v>6</x:v>
      </x:c>
      <x:c r="S136" s="40" t="str">
        <x:v>Build the listed no-match scene and confirm the bowl is empty.</x:v>
      </x:c>
      <x:c r="T136" s="40" t="str">
        <x:v>No object in the entire scene has the queried state. The prompt uses the same canonical frame as active trials, and the queried state-object cell is training-supported.</x:v>
      </x:c>
      <x:c r="U136" s="40" t="str"/>
    </x:row>
    <x:row r="137" ht="51" customHeight="1">
      <x:c r="A137" s="43" t="str">
        <x:v>Not collected</x:v>
      </x:c>
      <x:c r="B137" s="44" t="n">
        <x:v>135</x:v>
      </x:c>
      <x:c r="C137" s="43" t="str">
        <x:v>Place the upright yellow-white striped cup in the bowl.</x:v>
      </x:c>
      <x:c r="D137" s="43" t="str">
        <x:v>yellow-white striped cup A (O, UD); yellow-white striped cup B (C, UD); white cup A (C, UD); brown cup B (O, UD)</x:v>
      </x:c>
      <x:c r="E137" s="44" t="str"/>
      <x:c r="F137" s="44" t="str">
        <x:v>75</x:v>
      </x:c>
      <x:c r="G137" s="43" t="str">
        <x:v>The state-object concept is explicitly trained, but training does not contain a no-satisfying-target abstention trajectory.</x:v>
      </x:c>
      <x:c r="H137" s="43" t="str">
        <x:v>NO-OP; no object has state RU, so nothing should be picked up</x:v>
      </x:c>
      <x:c r="I137" s="43" t="str"/>
      <x:c r="J137" s="42" t="str">
        <x:v>No valid target / no movement</x:v>
      </x:c>
      <x:c r="K137" s="44" t="str">
        <x:v>SR-NOOP06</x:v>
      </x:c>
      <x:c r="L137" s="44" t="str">
        <x:v>RU</x:v>
      </x:c>
      <x:c r="M137" s="44" t="str">
        <x:v>yellow-white striped cup</x:v>
      </x:c>
      <x:c r="N137" s="44" t="n">
        <x:v>4</x:v>
      </x:c>
      <x:c r="O137" s="44" t="n">
        <x:v>0</x:v>
      </x:c>
      <x:c r="P137" s="44" t="str">
        <x:v>Empty</x:v>
      </x:c>
      <x:c r="Q137" s="43" t="str">
        <x:v>No satisfying state present; bowl remains empty</x:v>
      </x:c>
      <x:c r="R137" s="44" t="n">
        <x:v>6</x:v>
      </x:c>
      <x:c r="S137" s="43" t="str">
        <x:v>Build the listed no-match scene and confirm the bowl is empty.</x:v>
      </x:c>
      <x:c r="T137" s="43" t="str">
        <x:v>No object in the entire scene has the queried state. The prompt uses the same canonical frame as active trials, and the queried state-object cell is training-supported.</x:v>
      </x:c>
      <x:c r="U137" s="43" t="str"/>
    </x:row>
    <x:row r="138" ht="51" customHeight="1">
      <x:c r="A138" s="40" t="str">
        <x:v>Not collected</x:v>
      </x:c>
      <x:c r="B138" s="41" t="n">
        <x:v>136</x:v>
      </x:c>
      <x:c r="C138" s="40" t="str">
        <x:v>Place the upside-down brown cup in the bowl.</x:v>
      </x:c>
      <x:c r="D138" s="40" t="str">
        <x:v>brown cup A (O, RU); brown cup B (C, RU)</x:v>
      </x:c>
      <x:c r="E138" s="41" t="str"/>
      <x:c r="F138" s="41" t="str">
        <x:v>125</x:v>
      </x:c>
      <x:c r="G138" s="40" t="str">
        <x:v>The state-object concept is explicitly trained, but training does not contain a no-satisfying-target abstention trajectory.</x:v>
      </x:c>
      <x:c r="H138" s="40" t="str">
        <x:v>NO-OP; no object has state UD, so nothing should be picked up</x:v>
      </x:c>
      <x:c r="I138" s="40" t="str"/>
      <x:c r="J138" s="42" t="str">
        <x:v>No valid target / no movement</x:v>
      </x:c>
      <x:c r="K138" s="41" t="str">
        <x:v>SR-NOOP07</x:v>
      </x:c>
      <x:c r="L138" s="41" t="str">
        <x:v>UD</x:v>
      </x:c>
      <x:c r="M138" s="41" t="str">
        <x:v>brown cup</x:v>
      </x:c>
      <x:c r="N138" s="41" t="n">
        <x:v>2</x:v>
      </x:c>
      <x:c r="O138" s="41" t="n">
        <x:v>0</x:v>
      </x:c>
      <x:c r="P138" s="41" t="str">
        <x:v>Empty</x:v>
      </x:c>
      <x:c r="Q138" s="40" t="str">
        <x:v>No satisfying state present; bowl remains empty</x:v>
      </x:c>
      <x:c r="R138" s="41" t="n">
        <x:v>6</x:v>
      </x:c>
      <x:c r="S138" s="40" t="str">
        <x:v>Build the listed no-match scene and confirm the bowl is empty.</x:v>
      </x:c>
      <x:c r="T138" s="40" t="str">
        <x:v>No object in the entire scene has the queried state. The prompt uses the same canonical frame as active trials, and the queried state-object cell is training-supported.</x:v>
      </x:c>
      <x:c r="U138" s="40" t="str"/>
    </x:row>
    <x:row r="139" ht="51" customHeight="1">
      <x:c r="A139" s="43" t="str">
        <x:v>Not collected</x:v>
      </x:c>
      <x:c r="B139" s="44" t="n">
        <x:v>137</x:v>
      </x:c>
      <x:c r="C139" s="43" t="str">
        <x:v>Place the open glass spice container in the bowl.</x:v>
      </x:c>
      <x:c r="D139" s="43" t="str">
        <x:v>glass spice container A (C, UD); glass spice container B (C, RU); brown cup A (C, RU)</x:v>
      </x:c>
      <x:c r="E139" s="44" t="str"/>
      <x:c r="F139" s="44" t="str">
        <x:v>150</x:v>
      </x:c>
      <x:c r="G139" s="43" t="str">
        <x:v>The state-object concept is explicitly trained, but training does not contain a no-satisfying-target abstention trajectory.</x:v>
      </x:c>
      <x:c r="H139" s="43" t="str">
        <x:v>NO-OP; no object has state O, so nothing should be picked up</x:v>
      </x:c>
      <x:c r="I139" s="43" t="str"/>
      <x:c r="J139" s="42" t="str">
        <x:v>No valid target / no movement</x:v>
      </x:c>
      <x:c r="K139" s="44" t="str">
        <x:v>SR-NOOP08</x:v>
      </x:c>
      <x:c r="L139" s="44" t="str">
        <x:v>O</x:v>
      </x:c>
      <x:c r="M139" s="44" t="str">
        <x:v>glass spice container</x:v>
      </x:c>
      <x:c r="N139" s="44" t="n">
        <x:v>3</x:v>
      </x:c>
      <x:c r="O139" s="44" t="n">
        <x:v>0</x:v>
      </x:c>
      <x:c r="P139" s="44" t="str">
        <x:v>Empty</x:v>
      </x:c>
      <x:c r="Q139" s="43" t="str">
        <x:v>No satisfying state present; bowl remains empty</x:v>
      </x:c>
      <x:c r="R139" s="44" t="n">
        <x:v>6</x:v>
      </x:c>
      <x:c r="S139" s="43" t="str">
        <x:v>Build the listed no-match scene and confirm the bowl is empty.</x:v>
      </x:c>
      <x:c r="T139" s="43" t="str">
        <x:v>No object in the entire scene has the queried state. The prompt uses the same canonical frame as active trials, and the queried state-object cell is training-supported.</x:v>
      </x:c>
      <x:c r="U139" s="43" t="str"/>
    </x:row>
    <x:row r="140" ht="51" customHeight="1">
      <x:c r="A140" s="40" t="str">
        <x:v>Not collected</x:v>
      </x:c>
      <x:c r="B140" s="41" t="n">
        <x:v>138</x:v>
      </x:c>
      <x:c r="C140" s="40" t="str">
        <x:v>Place the upright white cup in the bowl.</x:v>
      </x:c>
      <x:c r="D140" s="40" t="str">
        <x:v>white cup A (C, UD); white cup B (O, UD); brown cup A (C, UD); glass spice container B (O, UD)</x:v>
      </x:c>
      <x:c r="E140" s="41" t="str"/>
      <x:c r="F140" s="41" t="str">
        <x:v>26</x:v>
      </x:c>
      <x:c r="G140" s="40" t="str">
        <x:v>The state-object concept is explicitly trained, but training does not contain a no-satisfying-target abstention trajectory.</x:v>
      </x:c>
      <x:c r="H140" s="40" t="str">
        <x:v>NO-OP; no object has state RU, so nothing should be picked up</x:v>
      </x:c>
      <x:c r="I140" s="40" t="str"/>
      <x:c r="J140" s="42" t="str">
        <x:v>No valid target / no movement</x:v>
      </x:c>
      <x:c r="K140" s="41" t="str">
        <x:v>SR-NOOP09</x:v>
      </x:c>
      <x:c r="L140" s="41" t="str">
        <x:v>RU</x:v>
      </x:c>
      <x:c r="M140" s="41" t="str">
        <x:v>white cup</x:v>
      </x:c>
      <x:c r="N140" s="41" t="n">
        <x:v>4</x:v>
      </x:c>
      <x:c r="O140" s="41" t="n">
        <x:v>0</x:v>
      </x:c>
      <x:c r="P140" s="41" t="str">
        <x:v>Empty</x:v>
      </x:c>
      <x:c r="Q140" s="40" t="str">
        <x:v>No satisfying state present; bowl remains empty</x:v>
      </x:c>
      <x:c r="R140" s="41" t="n">
        <x:v>6</x:v>
      </x:c>
      <x:c r="S140" s="40" t="str">
        <x:v>Build the listed no-match scene and confirm the bowl is empty.</x:v>
      </x:c>
      <x:c r="T140" s="40" t="str">
        <x:v>No object in the entire scene has the queried state. The prompt uses the same canonical frame as active trials, and the queried state-object cell is training-supported.</x:v>
      </x:c>
      <x:c r="U140" s="40" t="str"/>
    </x:row>
    <x:row r="141" ht="51" customHeight="1">
      <x:c r="A141" s="43" t="str">
        <x:v>Not collected</x:v>
      </x:c>
      <x:c r="B141" s="44" t="n">
        <x:v>139</x:v>
      </x:c>
      <x:c r="C141" s="43" t="str">
        <x:v>Place the closed yellow-white striped cup in the bowl.</x:v>
      </x:c>
      <x:c r="D141" s="43" t="str">
        <x:v>yellow-white striped cup A (O, RU); yellow-white striped cup B (O, UD)</x:v>
      </x:c>
      <x:c r="E141" s="44" t="str"/>
      <x:c r="F141" s="44" t="str">
        <x:v>51</x:v>
      </x:c>
      <x:c r="G141" s="43" t="str">
        <x:v>The state-object concept is explicitly trained, but training does not contain a no-satisfying-target abstention trajectory.</x:v>
      </x:c>
      <x:c r="H141" s="43" t="str">
        <x:v>NO-OP; no object has state C, so nothing should be picked up</x:v>
      </x:c>
      <x:c r="I141" s="43" t="str"/>
      <x:c r="J141" s="42" t="str">
        <x:v>No valid target / no movement</x:v>
      </x:c>
      <x:c r="K141" s="44" t="str">
        <x:v>SR-NOOP10</x:v>
      </x:c>
      <x:c r="L141" s="44" t="str">
        <x:v>C</x:v>
      </x:c>
      <x:c r="M141" s="44" t="str">
        <x:v>yellow-white striped cup</x:v>
      </x:c>
      <x:c r="N141" s="44" t="n">
        <x:v>2</x:v>
      </x:c>
      <x:c r="O141" s="44" t="n">
        <x:v>0</x:v>
      </x:c>
      <x:c r="P141" s="44" t="str">
        <x:v>Empty</x:v>
      </x:c>
      <x:c r="Q141" s="43" t="str">
        <x:v>No satisfying state present; bowl remains empty</x:v>
      </x:c>
      <x:c r="R141" s="44" t="n">
        <x:v>6</x:v>
      </x:c>
      <x:c r="S141" s="43" t="str">
        <x:v>Build the listed no-match scene and confirm the bowl is empty.</x:v>
      </x:c>
      <x:c r="T141" s="43" t="str">
        <x:v>No object in the entire scene has the queried state. The prompt uses the same canonical frame as active trials, and the queried state-object cell is training-supported.</x:v>
      </x:c>
      <x:c r="U141" s="43" t="str"/>
    </x:row>
    <x:row r="142" ht="51" customHeight="1">
      <x:c r="A142" s="40" t="str">
        <x:v>Not collected</x:v>
      </x:c>
      <x:c r="B142" s="41" t="n">
        <x:v>140</x:v>
      </x:c>
      <x:c r="C142" s="40" t="str">
        <x:v>Place the upright brown cup in the bowl.</x:v>
      </x:c>
      <x:c r="D142" s="40" t="str">
        <x:v>brown cup A (C, UD); brown cup B (O, UD); white cup A (C, UD)</x:v>
      </x:c>
      <x:c r="E142" s="41" t="str"/>
      <x:c r="F142" s="41" t="str">
        <x:v>128</x:v>
      </x:c>
      <x:c r="G142" s="40" t="str">
        <x:v>The state-object concept is explicitly trained, but training does not contain a no-satisfying-target abstention trajectory.</x:v>
      </x:c>
      <x:c r="H142" s="40" t="str">
        <x:v>NO-OP; no object has state RU, so nothing should be picked up</x:v>
      </x:c>
      <x:c r="I142" s="40" t="str"/>
      <x:c r="J142" s="42" t="str">
        <x:v>No valid target / no movement</x:v>
      </x:c>
      <x:c r="K142" s="41" t="str">
        <x:v>SR-NOOP11</x:v>
      </x:c>
      <x:c r="L142" s="41" t="str">
        <x:v>RU</x:v>
      </x:c>
      <x:c r="M142" s="41" t="str">
        <x:v>brown cup</x:v>
      </x:c>
      <x:c r="N142" s="41" t="n">
        <x:v>3</x:v>
      </x:c>
      <x:c r="O142" s="41" t="n">
        <x:v>0</x:v>
      </x:c>
      <x:c r="P142" s="41" t="str">
        <x:v>Empty</x:v>
      </x:c>
      <x:c r="Q142" s="40" t="str">
        <x:v>No satisfying state present; bowl remains empty</x:v>
      </x:c>
      <x:c r="R142" s="41" t="n">
        <x:v>6</x:v>
      </x:c>
      <x:c r="S142" s="40" t="str">
        <x:v>Build the listed no-match scene and confirm the bowl is empty.</x:v>
      </x:c>
      <x:c r="T142" s="40" t="str">
        <x:v>No object in the entire scene has the queried state. The prompt uses the same canonical frame as active trials, and the queried state-object cell is training-supported.</x:v>
      </x:c>
      <x:c r="U142" s="40" t="str"/>
    </x:row>
    <x:row r="143" ht="51" customHeight="1">
      <x:c r="A143" s="43" t="str">
        <x:v>Not collected</x:v>
      </x:c>
      <x:c r="B143" s="44" t="n">
        <x:v>141</x:v>
      </x:c>
      <x:c r="C143" s="43" t="str">
        <x:v>Place the upside-down glass spice container in the bowl.</x:v>
      </x:c>
      <x:c r="D143" s="43" t="str">
        <x:v>glass spice container A (C, RU); glass spice container B (O, RU); yellow-white striped cup B (O, RU); brown cup A (C, RU)</x:v>
      </x:c>
      <x:c r="E143" s="44" t="str"/>
      <x:c r="F143" s="44" t="str">
        <x:v>176</x:v>
      </x:c>
      <x:c r="G143" s="43" t="str">
        <x:v>The state-object concept is explicitly trained, but training does not contain a no-satisfying-target abstention trajectory.</x:v>
      </x:c>
      <x:c r="H143" s="43" t="str">
        <x:v>NO-OP; no object has state UD, so nothing should be picked up</x:v>
      </x:c>
      <x:c r="I143" s="43" t="str"/>
      <x:c r="J143" s="42" t="str">
        <x:v>No valid target / no movement</x:v>
      </x:c>
      <x:c r="K143" s="44" t="str">
        <x:v>SR-NOOP12</x:v>
      </x:c>
      <x:c r="L143" s="44" t="str">
        <x:v>UD</x:v>
      </x:c>
      <x:c r="M143" s="44" t="str">
        <x:v>glass spice container</x:v>
      </x:c>
      <x:c r="N143" s="44" t="n">
        <x:v>4</x:v>
      </x:c>
      <x:c r="O143" s="44" t="n">
        <x:v>0</x:v>
      </x:c>
      <x:c r="P143" s="44" t="str">
        <x:v>Empty</x:v>
      </x:c>
      <x:c r="Q143" s="43" t="str">
        <x:v>No satisfying state present; bowl remains empty</x:v>
      </x:c>
      <x:c r="R143" s="44" t="n">
        <x:v>6</x:v>
      </x:c>
      <x:c r="S143" s="43" t="str">
        <x:v>Build the listed no-match scene and confirm the bowl is empty.</x:v>
      </x:c>
      <x:c r="T143" s="43" t="str">
        <x:v>No object in the entire scene has the queried state. The prompt uses the same canonical frame as active trials, and the queried state-object cell is training-supported.</x:v>
      </x:c>
      <x:c r="U143" s="43" t="str"/>
    </x:row>
    <x:row r="144" ht="51" customHeight="1">
      <x:c r="A144" s="40" t="str">
        <x:v>Not collected</x:v>
      </x:c>
      <x:c r="B144" s="41" t="n">
        <x:v>142</x:v>
      </x:c>
      <x:c r="C144" s="40" t="str">
        <x:v>Place the closed white cup in the bowl.</x:v>
      </x:c>
      <x:c r="D144" s="40" t="str">
        <x:v>white cup A (O, UD); white cup B (O, RU)</x:v>
      </x:c>
      <x:c r="E144" s="41" t="str"/>
      <x:c r="F144" s="41" t="str">
        <x:v>3</x:v>
      </x:c>
      <x:c r="G144" s="40" t="str">
        <x:v>The state-object concept is explicitly trained, but training does not contain a no-satisfying-target abstention trajectory.</x:v>
      </x:c>
      <x:c r="H144" s="40" t="str">
        <x:v>NO-OP; no object has state C, so nothing should be picked up</x:v>
      </x:c>
      <x:c r="I144" s="40" t="str"/>
      <x:c r="J144" s="42" t="str">
        <x:v>No valid target / no movement</x:v>
      </x:c>
      <x:c r="K144" s="41" t="str">
        <x:v>SR-NOOP13</x:v>
      </x:c>
      <x:c r="L144" s="41" t="str">
        <x:v>C</x:v>
      </x:c>
      <x:c r="M144" s="41" t="str">
        <x:v>white cup</x:v>
      </x:c>
      <x:c r="N144" s="41" t="n">
        <x:v>2</x:v>
      </x:c>
      <x:c r="O144" s="41" t="n">
        <x:v>0</x:v>
      </x:c>
      <x:c r="P144" s="41" t="str">
        <x:v>Empty</x:v>
      </x:c>
      <x:c r="Q144" s="40" t="str">
        <x:v>No satisfying state present; bowl remains empty</x:v>
      </x:c>
      <x:c r="R144" s="41" t="n">
        <x:v>6</x:v>
      </x:c>
      <x:c r="S144" s="40" t="str">
        <x:v>Build the listed no-match scene and confirm the bowl is empty.</x:v>
      </x:c>
      <x:c r="T144" s="40" t="str">
        <x:v>No object in the entire scene has the queried state. The prompt uses the same canonical frame as active trials, and the queried state-object cell is training-supported.</x:v>
      </x:c>
      <x:c r="U144" s="40" t="str"/>
    </x:row>
    <x:row r="145" ht="51" customHeight="1">
      <x:c r="A145" s="43" t="str">
        <x:v>Not collected</x:v>
      </x:c>
      <x:c r="B145" s="44" t="n">
        <x:v>143</x:v>
      </x:c>
      <x:c r="C145" s="43" t="str">
        <x:v>Place the upside-down yellow-white striped cup in the bowl.</x:v>
      </x:c>
      <x:c r="D145" s="43" t="str">
        <x:v>yellow-white striped cup A (O, RU); yellow-white striped cup B (C, RU); brown cup A (C, RU)</x:v>
      </x:c>
      <x:c r="E145" s="44" t="str"/>
      <x:c r="F145" s="44" t="str">
        <x:v>83</x:v>
      </x:c>
      <x:c r="G145" s="43" t="str">
        <x:v>The state-object concept is explicitly trained, but training does not contain a no-satisfying-target abstention trajectory.</x:v>
      </x:c>
      <x:c r="H145" s="43" t="str">
        <x:v>NO-OP; no object has state UD, so nothing should be picked up</x:v>
      </x:c>
      <x:c r="I145" s="43" t="str"/>
      <x:c r="J145" s="42" t="str">
        <x:v>No valid target / no movement</x:v>
      </x:c>
      <x:c r="K145" s="44" t="str">
        <x:v>SR-NOOP14</x:v>
      </x:c>
      <x:c r="L145" s="44" t="str">
        <x:v>UD</x:v>
      </x:c>
      <x:c r="M145" s="44" t="str">
        <x:v>yellow-white striped cup</x:v>
      </x:c>
      <x:c r="N145" s="44" t="n">
        <x:v>3</x:v>
      </x:c>
      <x:c r="O145" s="44" t="n">
        <x:v>0</x:v>
      </x:c>
      <x:c r="P145" s="44" t="str">
        <x:v>Empty</x:v>
      </x:c>
      <x:c r="Q145" s="43" t="str">
        <x:v>No satisfying state present; bowl remains empty</x:v>
      </x:c>
      <x:c r="R145" s="44" t="n">
        <x:v>6</x:v>
      </x:c>
      <x:c r="S145" s="43" t="str">
        <x:v>Build the listed no-match scene and confirm the bowl is empty.</x:v>
      </x:c>
      <x:c r="T145" s="43" t="str">
        <x:v>No object in the entire scene has the queried state. The prompt uses the same canonical frame as active trials, and the queried state-object cell is training-supported.</x:v>
      </x:c>
      <x:c r="U145" s="43" t="str"/>
    </x:row>
    <x:row r="146" ht="51" customHeight="1">
      <x:c r="A146" s="40" t="str">
        <x:v>Not collected</x:v>
      </x:c>
      <x:c r="B146" s="41" t="n">
        <x:v>144</x:v>
      </x:c>
      <x:c r="C146" s="40" t="str">
        <x:v>Place the upside-down brown cup in the bowl.</x:v>
      </x:c>
      <x:c r="D146" s="40" t="str">
        <x:v>brown cup A (O, RU); brown cup B (C, RU); glass spice container B (O, RU); white cup A (C, RU)</x:v>
      </x:c>
      <x:c r="E146" s="41" t="str"/>
      <x:c r="F146" s="41" t="str">
        <x:v>127</x:v>
      </x:c>
      <x:c r="G146" s="40" t="str">
        <x:v>The state-object concept is explicitly trained, but training does not contain a no-satisfying-target abstention trajectory.</x:v>
      </x:c>
      <x:c r="H146" s="40" t="str">
        <x:v>NO-OP; no object has state UD, so nothing should be picked up</x:v>
      </x:c>
      <x:c r="I146" s="40" t="str"/>
      <x:c r="J146" s="42" t="str">
        <x:v>No valid target / no movement</x:v>
      </x:c>
      <x:c r="K146" s="41" t="str">
        <x:v>SR-NOOP15</x:v>
      </x:c>
      <x:c r="L146" s="41" t="str">
        <x:v>UD</x:v>
      </x:c>
      <x:c r="M146" s="41" t="str">
        <x:v>brown cup</x:v>
      </x:c>
      <x:c r="N146" s="41" t="n">
        <x:v>4</x:v>
      </x:c>
      <x:c r="O146" s="41" t="n">
        <x:v>0</x:v>
      </x:c>
      <x:c r="P146" s="41" t="str">
        <x:v>Empty</x:v>
      </x:c>
      <x:c r="Q146" s="40" t="str">
        <x:v>No satisfying state present; bowl remains empty</x:v>
      </x:c>
      <x:c r="R146" s="41" t="n">
        <x:v>6</x:v>
      </x:c>
      <x:c r="S146" s="40" t="str">
        <x:v>Build the listed no-match scene and confirm the bowl is empty.</x:v>
      </x:c>
      <x:c r="T146" s="40" t="str">
        <x:v>No object in the entire scene has the queried state. The prompt uses the same canonical frame as active trials, and the queried state-object cell is training-supported.</x:v>
      </x:c>
      <x:c r="U146" s="40" t="str"/>
    </x:row>
    <x:row r="147" ht="51" customHeight="1">
      <x:c r="A147" s="43" t="str">
        <x:v>Not collected</x:v>
      </x:c>
      <x:c r="B147" s="44" t="n">
        <x:v>145</x:v>
      </x:c>
      <x:c r="C147" s="43" t="str">
        <x:v>Place the closed glass spice container in the bowl.</x:v>
      </x:c>
      <x:c r="D147" s="43" t="str">
        <x:v>glass spice container A (O, UD); glass spice container B (O, RU)</x:v>
      </x:c>
      <x:c r="E147" s="44" t="str"/>
      <x:c r="F147" s="44" t="str">
        <x:v>152</x:v>
      </x:c>
      <x:c r="G147" s="43" t="str">
        <x:v>The state-object concept is explicitly trained, but training does not contain a no-satisfying-target abstention trajectory.</x:v>
      </x:c>
      <x:c r="H147" s="43" t="str">
        <x:v>NO-OP; no object has state C, so nothing should be picked up</x:v>
      </x:c>
      <x:c r="I147" s="43" t="str"/>
      <x:c r="J147" s="42" t="str">
        <x:v>No valid target / no movement</x:v>
      </x:c>
      <x:c r="K147" s="44" t="str">
        <x:v>SR-NOOP16</x:v>
      </x:c>
      <x:c r="L147" s="44" t="str">
        <x:v>C</x:v>
      </x:c>
      <x:c r="M147" s="44" t="str">
        <x:v>glass spice container</x:v>
      </x:c>
      <x:c r="N147" s="44" t="n">
        <x:v>2</x:v>
      </x:c>
      <x:c r="O147" s="44" t="n">
        <x:v>0</x:v>
      </x:c>
      <x:c r="P147" s="44" t="str">
        <x:v>Empty</x:v>
      </x:c>
      <x:c r="Q147" s="43" t="str">
        <x:v>No satisfying state present; bowl remains empty</x:v>
      </x:c>
      <x:c r="R147" s="44" t="n">
        <x:v>6</x:v>
      </x:c>
      <x:c r="S147" s="43" t="str">
        <x:v>Build the listed no-match scene and confirm the bowl is empty.</x:v>
      </x:c>
      <x:c r="T147" s="43" t="str">
        <x:v>No object in the entire scene has the queried state. The prompt uses the same canonical frame as active trials, and the queried state-object cell is training-supported.</x:v>
      </x:c>
      <x:c r="U147" s="43" t="str"/>
    </x:row>
    <x:row r="148" ht="51" customHeight="1">
      <x:c r="A148" s="40" t="str">
        <x:v>Not collected</x:v>
      </x:c>
      <x:c r="B148" s="41" t="n">
        <x:v>146</x:v>
      </x:c>
      <x:c r="C148" s="40" t="str">
        <x:v>Place the open white cup in the bowl.</x:v>
      </x:c>
      <x:c r="D148" s="40" t="str">
        <x:v>white cup A (C, RU); white cup B (C, UD); glass spice container A (C, RU)</x:v>
      </x:c>
      <x:c r="E148" s="41" t="str"/>
      <x:c r="F148" s="41" t="str">
        <x:v>2</x:v>
      </x:c>
      <x:c r="G148" s="40" t="str">
        <x:v>The state-object concept is explicitly trained, but training does not contain a no-satisfying-target abstention trajectory.</x:v>
      </x:c>
      <x:c r="H148" s="40" t="str">
        <x:v>NO-OP; no object has state O, so nothing should be picked up</x:v>
      </x:c>
      <x:c r="I148" s="40" t="str"/>
      <x:c r="J148" s="42" t="str">
        <x:v>No valid target / no movement</x:v>
      </x:c>
      <x:c r="K148" s="41" t="str">
        <x:v>SR-NOOP17</x:v>
      </x:c>
      <x:c r="L148" s="41" t="str">
        <x:v>O</x:v>
      </x:c>
      <x:c r="M148" s="41" t="str">
        <x:v>white cup</x:v>
      </x:c>
      <x:c r="N148" s="41" t="n">
        <x:v>3</x:v>
      </x:c>
      <x:c r="O148" s="41" t="n">
        <x:v>0</x:v>
      </x:c>
      <x:c r="P148" s="41" t="str">
        <x:v>Empty</x:v>
      </x:c>
      <x:c r="Q148" s="40" t="str">
        <x:v>No satisfying state present; bowl remains empty</x:v>
      </x:c>
      <x:c r="R148" s="41" t="n">
        <x:v>6</x:v>
      </x:c>
      <x:c r="S148" s="40" t="str">
        <x:v>Build the listed no-match scene and confirm the bowl is empty.</x:v>
      </x:c>
      <x:c r="T148" s="40" t="str">
        <x:v>No object in the entire scene has the queried state. The prompt uses the same canonical frame as active trials, and the queried state-object cell is training-supported.</x:v>
      </x:c>
      <x:c r="U148" s="40" t="str"/>
    </x:row>
    <x:row r="149" ht="51" customHeight="1">
      <x:c r="A149" s="43" t="str">
        <x:v>Not collected</x:v>
      </x:c>
      <x:c r="B149" s="44" t="n">
        <x:v>147</x:v>
      </x:c>
      <x:c r="C149" s="43" t="str">
        <x:v>Place the upright yellow-white striped cup in the bowl.</x:v>
      </x:c>
      <x:c r="D149" s="43" t="str">
        <x:v>yellow-white striped cup A (C, UD); yellow-white striped cup B (O, UD); white cup B (O, UD); brown cup A (C, UD)</x:v>
      </x:c>
      <x:c r="E149" s="44" t="str"/>
      <x:c r="F149" s="44" t="str">
        <x:v>76</x:v>
      </x:c>
      <x:c r="G149" s="43" t="str">
        <x:v>The state-object concept is explicitly trained, but training does not contain a no-satisfying-target abstention trajectory.</x:v>
      </x:c>
      <x:c r="H149" s="43" t="str">
        <x:v>NO-OP; no object has state RU, so nothing should be picked up</x:v>
      </x:c>
      <x:c r="I149" s="43" t="str"/>
      <x:c r="J149" s="42" t="str">
        <x:v>No valid target / no movement</x:v>
      </x:c>
      <x:c r="K149" s="44" t="str">
        <x:v>SR-NOOP18</x:v>
      </x:c>
      <x:c r="L149" s="44" t="str">
        <x:v>RU</x:v>
      </x:c>
      <x:c r="M149" s="44" t="str">
        <x:v>yellow-white striped cup</x:v>
      </x:c>
      <x:c r="N149" s="44" t="n">
        <x:v>4</x:v>
      </x:c>
      <x:c r="O149" s="44" t="n">
        <x:v>0</x:v>
      </x:c>
      <x:c r="P149" s="44" t="str">
        <x:v>Empty</x:v>
      </x:c>
      <x:c r="Q149" s="43" t="str">
        <x:v>No satisfying state present; bowl remains empty</x:v>
      </x:c>
      <x:c r="R149" s="44" t="n">
        <x:v>6</x:v>
      </x:c>
      <x:c r="S149" s="43" t="str">
        <x:v>Build the listed no-match scene and confirm the bowl is empty.</x:v>
      </x:c>
      <x:c r="T149" s="43" t="str">
        <x:v>No object in the entire scene has the queried state. The prompt uses the same canonical frame as active trials, and the queried state-object cell is training-supported.</x:v>
      </x:c>
      <x:c r="U149" s="43" t="str"/>
    </x:row>
    <x:row r="150" ht="51" customHeight="1">
      <x:c r="A150" s="40" t="str">
        <x:v>Not collected</x:v>
      </x:c>
      <x:c r="B150" s="41" t="n">
        <x:v>148</x:v>
      </x:c>
      <x:c r="C150" s="40" t="str">
        <x:v>Place the upright brown cup in the bowl.</x:v>
      </x:c>
      <x:c r="D150" s="40" t="str">
        <x:v>brown cup A (C, UD); brown cup B (O, UD)</x:v>
      </x:c>
      <x:c r="E150" s="41" t="str"/>
      <x:c r="F150" s="41" t="str">
        <x:v>130</x:v>
      </x:c>
      <x:c r="G150" s="40" t="str">
        <x:v>The state-object concept is explicitly trained, but training does not contain a no-satisfying-target abstention trajectory.</x:v>
      </x:c>
      <x:c r="H150" s="40" t="str">
        <x:v>NO-OP; no object has state RU, so nothing should be picked up</x:v>
      </x:c>
      <x:c r="I150" s="40" t="str"/>
      <x:c r="J150" s="42" t="str">
        <x:v>No valid target / no movement</x:v>
      </x:c>
      <x:c r="K150" s="41" t="str">
        <x:v>SR-NOOP19</x:v>
      </x:c>
      <x:c r="L150" s="41" t="str">
        <x:v>RU</x:v>
      </x:c>
      <x:c r="M150" s="41" t="str">
        <x:v>brown cup</x:v>
      </x:c>
      <x:c r="N150" s="41" t="n">
        <x:v>2</x:v>
      </x:c>
      <x:c r="O150" s="41" t="n">
        <x:v>0</x:v>
      </x:c>
      <x:c r="P150" s="41" t="str">
        <x:v>Empty</x:v>
      </x:c>
      <x:c r="Q150" s="40" t="str">
        <x:v>No satisfying state present; bowl remains empty</x:v>
      </x:c>
      <x:c r="R150" s="41" t="n">
        <x:v>6</x:v>
      </x:c>
      <x:c r="S150" s="40" t="str">
        <x:v>Build the listed no-match scene and confirm the bowl is empty.</x:v>
      </x:c>
      <x:c r="T150" s="40" t="str">
        <x:v>No object in the entire scene has the queried state. The prompt uses the same canonical frame as active trials, and the queried state-object cell is training-supported.</x:v>
      </x:c>
      <x:c r="U150" s="40" t="str"/>
    </x:row>
    <x:row r="151" ht="51" customHeight="1">
      <x:c r="A151" s="43" t="str">
        <x:v>Not collected</x:v>
      </x:c>
      <x:c r="B151" s="44" t="n">
        <x:v>149</x:v>
      </x:c>
      <x:c r="C151" s="43" t="str">
        <x:v>Place the open glass spice container in the bowl.</x:v>
      </x:c>
      <x:c r="D151" s="43" t="str">
        <x:v>glass spice container A (C, RU); glass spice container B (C, UD); brown cup B (C, UD)</x:v>
      </x:c>
      <x:c r="E151" s="44" t="str"/>
      <x:c r="F151" s="44" t="str">
        <x:v>154</x:v>
      </x:c>
      <x:c r="G151" s="43" t="str">
        <x:v>The state-object concept is explicitly trained, but training does not contain a no-satisfying-target abstention trajectory.</x:v>
      </x:c>
      <x:c r="H151" s="43" t="str">
        <x:v>NO-OP; no object has state O, so nothing should be picked up</x:v>
      </x:c>
      <x:c r="I151" s="43" t="str"/>
      <x:c r="J151" s="42" t="str">
        <x:v>No valid target / no movement</x:v>
      </x:c>
      <x:c r="K151" s="44" t="str">
        <x:v>SR-NOOP20</x:v>
      </x:c>
      <x:c r="L151" s="44" t="str">
        <x:v>O</x:v>
      </x:c>
      <x:c r="M151" s="44" t="str">
        <x:v>glass spice container</x:v>
      </x:c>
      <x:c r="N151" s="44" t="n">
        <x:v>3</x:v>
      </x:c>
      <x:c r="O151" s="44" t="n">
        <x:v>0</x:v>
      </x:c>
      <x:c r="P151" s="44" t="str">
        <x:v>Empty</x:v>
      </x:c>
      <x:c r="Q151" s="43" t="str">
        <x:v>No satisfying state present; bowl remains empty</x:v>
      </x:c>
      <x:c r="R151" s="44" t="n">
        <x:v>6</x:v>
      </x:c>
      <x:c r="S151" s="43" t="str">
        <x:v>Build the listed no-match scene and confirm the bowl is empty.</x:v>
      </x:c>
      <x:c r="T151" s="43" t="str">
        <x:v>No object in the entire scene has the queried state. The prompt uses the same canonical frame as active trials, and the queried state-object cell is training-supported.</x:v>
      </x:c>
      <x:c r="U151" s="43" t="str"/>
    </x:row>
  </x:sheetData>
  <x:conditionalFormatting sqref="A2:P131">
    <x:cfRule type="expression" dxfId="0" priority="1">
      <x:formula>$A2="Success"</x:formula>
    </x:cfRule>
    <x:cfRule type="expression" dxfId="1" priority="2">
      <x:formula>$A2="Failure"</x:formula>
    </x:cfRule>
  </x:conditionalFormatting>
  <x:conditionalFormatting sqref="H2:H131">
    <x:cfRule type="containsText" dxfId="2" priority="3" operator="containsText" text="Concept/compositional transfer"/>
    <x:cfRule type="containsText" dxfId="3" priority="4" operator="containsText" text="Exact-scene opposite-state contrast"/>
    <x:cfRule type="containsText" dxfId="4" priority="5" operator="containsText" text="Matched manipulation control"/>
    <x:cfRule type="containsText" dxfId="5" priority="6" operator="containsText" text="Black-cup"/>
    <x:cfRule type="containsText" dxfId="6" priority="7" operator="containsText" text="Language robustness"/>
  </x:conditionalFormatting>
  <x:conditionalFormatting sqref="A2:U151">
    <x:cfRule type="expression" dxfId="18" priority="8">
      <x:formula>$A2="Success"</x:formula>
    </x:cfRule>
    <x:cfRule type="expression" dxfId="19" priority="9">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10" hidden="0" customWidth="1"/>
    <x:col min="3" max="3" width="17.219999313354492" hidden="0" customWidth="1"/>
    <x:col min="4" max="4" width="15.5600004196167" hidden="0" customWidth="1"/>
    <x:col min="5" max="5" width="11.670000076293945" hidden="0" customWidth="1"/>
    <x:col min="6" max="6" width="27.780000686645508" hidden="0" customWidth="1"/>
    <x:col min="7" max="7" width="43.33000183105469" hidden="0" customWidth="1"/>
    <x:col min="8" max="8" width="62" hidden="0" customWidth="1"/>
  </x:cols>
  <x:sheetData>
    <x:row r="1" ht="30" customHeight="1">
      <x:c r="A1" s="30" t="str">
        <x:v>Category</x:v>
      </x:c>
      <x:c r="B1" s="30" t="str">
        <x:v>Instances</x:v>
      </x:c>
      <x:c r="C1" s="30" t="str">
        <x:v>Seen in state-recognition training?</x:v>
      </x:c>
      <x:c r="D1" s="30" t="str">
        <x:v>Explicit state cells</x:v>
      </x:c>
      <x:c r="E1" s="30" t="str">
        <x:v>Held-out cell</x:v>
      </x:c>
      <x:c r="F1" s="30" t="str">
        <x:v>Evaluation roles</x:v>
      </x:c>
      <x:c r="G1" s="30" t="str">
        <x:v>Notes</x:v>
      </x:c>
      <x:c r="H1"/>
    </x:row>
    <x:row r="2" ht="39" customHeight="1">
      <x:c r="A2" s="25" t="str">
        <x:v>white cup</x:v>
      </x:c>
      <x:c r="B2" s="25" t="str">
        <x:v>A, B</x:v>
      </x:c>
      <x:c r="C2" s="25" t="str">
        <x:v>Yes</x:v>
      </x:c>
      <x:c r="D2" s="25" t="str">
        <x:v>C, O, RU</x:v>
      </x:c>
      <x:c r="E2" s="25" t="str">
        <x:v>UD</x:v>
      </x:c>
      <x:c r="F2" s="25" t="str">
        <x:v>Baseline, primary, control, language, no-op</x:v>
      </x:c>
      <x:c r="G2" s="25" t="str">
        <x:v>Two same-category candidates are used whenever a target exists.</x:v>
      </x:c>
      <x:c r="H2"/>
    </x:row>
    <x:row r="3" ht="39" customHeight="1">
      <x:c r="A3" s="25" t="str">
        <x:v>yellow-white striped cup</x:v>
      </x:c>
      <x:c r="B3" s="25" t="str">
        <x:v>A, B</x:v>
      </x:c>
      <x:c r="C3" s="25" t="str">
        <x:v>Yes</x:v>
      </x:c>
      <x:c r="D3" s="25" t="str">
        <x:v>C, UD, RU</x:v>
      </x:c>
      <x:c r="E3" s="25" t="str">
        <x:v>O</x:v>
      </x:c>
      <x:c r="F3" s="25" t="str">
        <x:v>Baseline, primary, control, language, no-op</x:v>
      </x:c>
      <x:c r="G3" s="25" t="str">
        <x:v>Open × striped cup appears only in the 50-row primary condition.</x:v>
      </x:c>
      <x:c r="H3"/>
    </x:row>
    <x:row r="4" ht="39" customHeight="1">
      <x:c r="A4" s="25" t="str">
        <x:v>brown cup</x:v>
      </x:c>
      <x:c r="B4" s="25" t="str">
        <x:v>A, B</x:v>
      </x:c>
      <x:c r="C4" s="25" t="str">
        <x:v>Yes</x:v>
      </x:c>
      <x:c r="D4" s="25" t="str">
        <x:v>O, UD, RU</x:v>
      </x:c>
      <x:c r="E4" s="25" t="str">
        <x:v>C</x:v>
      </x:c>
      <x:c r="F4" s="25" t="str">
        <x:v>Baseline, primary, control, language, no-op</x:v>
      </x:c>
      <x:c r="G4" s="25" t="str">
        <x:v>Closed × brown cup appears only in the 50-row primary condition.</x:v>
      </x:c>
      <x:c r="H4"/>
    </x:row>
    <x:row r="5" ht="39" customHeight="1">
      <x:c r="A5" s="25" t="str">
        <x:v>glass spice container</x:v>
      </x:c>
      <x:c r="B5" s="25" t="str">
        <x:v>A, B</x:v>
      </x:c>
      <x:c r="C5" s="25" t="str">
        <x:v>Yes</x:v>
      </x:c>
      <x:c r="D5" s="25" t="str">
        <x:v>C, O, UD</x:v>
      </x:c>
      <x:c r="E5" s="25" t="str">
        <x:v>RU</x:v>
      </x:c>
      <x:c r="F5" s="25" t="str">
        <x:v>Baseline, primary, control, language, no-op</x:v>
      </x:c>
      <x:c r="G5" s="25" t="str">
        <x:v>Upright × spice container appears only in the 50-row primary condition.</x:v>
      </x:c>
      <x:c r="H5"/>
    </x:row>
    <x:row r="6" ht="39" customHeight="1">
      <x:c r="A6" s="25" t="str">
        <x:v>black cup</x:v>
      </x:c>
      <x:c r="B6" s="25" t="str">
        <x:v>A, B</x:v>
      </x:c>
      <x:c r="C6" s="25" t="str">
        <x:v>No</x:v>
      </x:c>
      <x:c r="D6" s="25" t="str">
        <x:v>None</x:v>
      </x:c>
      <x:c r="E6" s="25" t="str">
        <x:v>N/A</x:v>
      </x:c>
      <x:c r="F6" s="25" t="str">
        <x:v>Novel-object state reasoning only</x:v>
      </x:c>
      <x:c r="G6" s="25" t="str">
        <x:v>Globally unseen. All 20 prompts contain a state term; no direct-name-only trials.</x:v>
      </x:c>
      <x:c r="H6"/>
    </x:row>
    <x:row r="7" ht="56" customHeight="1">
      <x:c r="A7"/>
      <x:c r="B7"/>
      <x:c r="C7"/>
      <x:c r="D7"/>
      <x:c r="E7"/>
      <x:c r="F7"/>
      <x:c r="G7"/>
      <x:c r="H7"/>
    </x:row>
    <x:row r="8" ht="56" customHeight="1">
      <x:c r="A8"/>
      <x:c r="B8"/>
      <x:c r="C8"/>
      <x:c r="D8"/>
      <x:c r="E8"/>
      <x:c r="F8"/>
      <x:c r="G8"/>
      <x:c r="H8"/>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9.4399995803833" hidden="0" customWidth="1"/>
    <x:col min="3" max="3" width="16.670000076293945" hidden="0" customWidth="1"/>
    <x:col min="4" max="4" width="15.5600004196167" hidden="0" customWidth="1"/>
    <x:col min="5" max="5" width="17.780000686645508" hidden="0" customWidth="1"/>
    <x:col min="6" max="6" width="53.33000183105469" hidden="0" customWidth="1"/>
  </x:cols>
  <x:sheetData>
    <x:row r="1" ht="33" customHeight="1">
      <x:c r="A1" s="30" t="str">
        <x:v>Object category</x:v>
      </x:c>
      <x:c r="B1" s="30" t="str">
        <x:v>C</x:v>
      </x:c>
      <x:c r="C1" s="30" t="str">
        <x:v>O</x:v>
      </x:c>
      <x:c r="D1" s="30" t="str">
        <x:v>UD</x:v>
      </x:c>
      <x:c r="E1" s="30" t="str">
        <x:v>RU</x:v>
      </x:c>
      <x:c r="F1" s="30" t="str">
        <x:v>Primary held-out cell</x:v>
      </x:c>
    </x:row>
    <x:row r="2" ht="33" customHeight="1">
      <x:c r="A2" s="25" t="str">
        <x:v>white cup</x:v>
      </x:c>
      <x:c r="B2" s="25" t="str">
        <x:v>Explicit</x:v>
      </x:c>
      <x:c r="C2" s="25" t="str">
        <x:v>Explicit</x:v>
      </x:c>
      <x:c r="D2" s="25" t="str">
        <x:v>HELD OUT</x:v>
      </x:c>
      <x:c r="E2" s="25" t="str">
        <x:v>Explicit</x:v>
      </x:c>
      <x:c r="F2" s="25" t="str">
        <x:v>white cup × UD</x:v>
      </x:c>
    </x:row>
    <x:row r="3" ht="33" customHeight="1">
      <x:c r="A3" s="25" t="str">
        <x:v>yellow-white striped cup</x:v>
      </x:c>
      <x:c r="B3" s="25" t="str">
        <x:v>Explicit</x:v>
      </x:c>
      <x:c r="C3" s="25" t="str">
        <x:v>HELD OUT</x:v>
      </x:c>
      <x:c r="D3" s="25" t="str">
        <x:v>Explicit</x:v>
      </x:c>
      <x:c r="E3" s="25" t="str">
        <x:v>Explicit</x:v>
      </x:c>
      <x:c r="F3" s="25" t="str">
        <x:v>striped cup × O</x:v>
      </x:c>
    </x:row>
    <x:row r="4" ht="33" customHeight="1">
      <x:c r="A4" s="25" t="str">
        <x:v>brown cup</x:v>
      </x:c>
      <x:c r="B4" s="25" t="str">
        <x:v>HELD OUT</x:v>
      </x:c>
      <x:c r="C4" s="25" t="str">
        <x:v>Explicit</x:v>
      </x:c>
      <x:c r="D4" s="25" t="str">
        <x:v>Explicit</x:v>
      </x:c>
      <x:c r="E4" s="25" t="str">
        <x:v>Explicit</x:v>
      </x:c>
      <x:c r="F4" s="25" t="str">
        <x:v>brown cup × C</x:v>
      </x:c>
    </x:row>
    <x:row r="5" ht="33" customHeight="1">
      <x:c r="A5" s="25" t="str">
        <x:v>glass spice container</x:v>
      </x:c>
      <x:c r="B5" s="25" t="str">
        <x:v>Explicit</x:v>
      </x:c>
      <x:c r="C5" s="25" t="str">
        <x:v>Explicit</x:v>
      </x:c>
      <x:c r="D5" s="25" t="str">
        <x:v>Explicit</x:v>
      </x:c>
      <x:c r="E5" s="25" t="str">
        <x:v>HELD OUT</x:v>
      </x:c>
      <x:c r="F5" s="25" t="str">
        <x:v>spice container × RU</x:v>
      </x:c>
    </x:row>
    <x:row r="6" ht="33" customHeight="1">
      <x:c r="A6" s="25" t="str"/>
      <x:c r="B6" s="25" t="str"/>
      <x:c r="C6" s="25" t="str"/>
      <x:c r="D6" s="25" t="str"/>
      <x:c r="E6" s="25" t="str"/>
      <x:c r="F6" s="25" t="str"/>
    </x:row>
    <x:row r="7" ht="33" customHeight="1">
      <x:c r="A7" s="30" t="str">
        <x:v>Evaluation condition</x:v>
      </x:c>
      <x:c r="B7" s="30" t="str">
        <x:v>Rows</x:v>
      </x:c>
      <x:c r="C7" s="30" t="str">
        <x:v>Uses held-out cell?</x:v>
      </x:c>
      <x:c r="D7" s="30" t="str">
        <x:v>Target candidates</x:v>
      </x:c>
      <x:c r="E7" s="30" t="str">
        <x:v>Object-count variation</x:v>
      </x:c>
      <x:c r="F7" s="30" t="str">
        <x:v>Interpretation</x:v>
      </x:c>
    </x:row>
    <x:row r="8" ht="33" customHeight="1">
      <x:c r="A8" s="25" t="str">
        <x:v>In-distribution baseline</x:v>
      </x:c>
      <x:c r="B8" s="25" t="n">
        <x:v>20</x:v>
      </x:c>
      <x:c r="C8" s="25" t="str">
        <x:v>No</x:v>
      </x:c>
      <x:c r="D8" s="25" t="str">
        <x:v>Exactly 1</x:v>
      </x:c>
      <x:c r="E8" s="25" t="str">
        <x:v>2 / 3 / 4</x:v>
      </x:c>
      <x:c r="F8" s="25" t="str">
        <x:v>Exact manifest cells; five trials per category and per state.</x:v>
      </x:c>
    </x:row>
    <x:row r="9" ht="33" customHeight="1">
      <x:c r="A9" s="25" t="str">
        <x:v>Compositional transfer</x:v>
      </x:c>
      <x:c r="B9" s="25" t="n">
        <x:v>50</x:v>
      </x:c>
      <x:c r="C9" s="25" t="str">
        <x:v>Yes — canonical primary</x:v>
      </x:c>
      <x:c r="D9" s="25" t="str">
        <x:v>Exactly 1</x:v>
      </x:c>
      <x:c r="E9" s="25" t="str">
        <x:v>2 / 3 / 4</x:v>
      </x:c>
      <x:c r="F9" s="25" t="str">
        <x:v>Primary endpoint: 13/13/12/12 across the four missing cells.</x:v>
      </x:c>
    </x:row>
    <x:row r="10" ht="33" customHeight="1">
      <x:c r="A10" s="25" t="str">
        <x:v>Matched control</x:v>
      </x:c>
      <x:c r="B10" s="25" t="n">
        <x:v>20</x:v>
      </x:c>
      <x:c r="C10" s="25" t="str">
        <x:v>No</x:v>
      </x:c>
      <x:c r="D10" s="25" t="str">
        <x:v>Exactly 1</x:v>
      </x:c>
      <x:c r="E10" s="25" t="str">
        <x:v>Same as paired primary</x:v>
      </x:c>
      <x:c r="F10" s="25" t="str">
        <x:v>Trained state-object counterfactual in the exact transfer scene.</x:v>
      </x:c>
    </x:row>
    <x:row r="11" ht="33" customHeight="1">
      <x:c r="A11" s="25" t="str">
        <x:v>Language robustness</x:v>
      </x:c>
      <x:c r="B11" s="25" t="n">
        <x:v>20</x:v>
      </x:c>
      <x:c r="C11" s="25" t="str">
        <x:v>10 held-out + 10 trained</x:v>
      </x:c>
      <x:c r="D11" s="25" t="str">
        <x:v>Exactly 1</x:v>
      </x:c>
      <x:c r="E11" s="25" t="str">
        <x:v>Same as referenced row</x:v>
      </x:c>
      <x:c r="F11" s="25" t="str">
        <x:v>10 exact-scene transfer paraphrases and 10 exact-scene matched-control paraphrases.</x:v>
      </x:c>
    </x:row>
    <x:row r="12" ht="33" customHeight="1">
      <x:c r="A12" s="25" t="str">
        <x:v>Novel black cup</x:v>
      </x:c>
      <x:c r="B12" s="25" t="n">
        <x:v>20</x:v>
      </x:c>
      <x:c r="C12" s="25" t="str">
        <x:v>Separate</x:v>
      </x:c>
      <x:c r="D12" s="25" t="str">
        <x:v>Exactly 1</x:v>
      </x:c>
      <x:c r="E12" s="25" t="str">
        <x:v>2 / 3 / 4</x:v>
      </x:c>
      <x:c r="F12" s="25" t="str">
        <x:v>Five per state; globally unseen object; no direct-name-only prompts.</x:v>
      </x:c>
    </x:row>
    <x:row r="13" ht="33" customHeight="1">
      <x:c r="A13" s="25" t="str">
        <x:v>No valid target / no movement</x:v>
      </x:c>
      <x:c r="B13" s="25" t="n">
        <x:v>20</x:v>
      </x:c>
      <x:c r="C13" s="25" t="str">
        <x:v>No</x:v>
      </x:c>
      <x:c r="D13" s="25" t="str">
        <x:v>0</x:v>
      </x:c>
      <x:c r="E13" s="25" t="str">
        <x:v>2 / 3 / 4</x:v>
      </x:c>
      <x:c r="F13" s="25" t="str">
        <x:v>Unsatisfiable target-absence diagnostic: no object has the queried state and the bowl starts empty.</x:v>
      </x:c>
    </x:row>
  </x:sheetData>
  <x:conditionalFormatting sqref="B2:E5">
    <x:cfRule type="containsText" dxfId="26" priority="1" operator="containsText" text="HELD OUT"/>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94.44000244140625" hidden="0" customWidth="1"/>
  </x:cols>
  <x:sheetData>
    <x:row r="1" ht="36" customHeight="1">
      <x:c r="A1" s="30" t="str">
        <x:v>Protocol item</x:v>
      </x:c>
      <x:c r="B1" s="30" t="str">
        <x:v>Instruction</x:v>
      </x:c>
    </x:row>
    <x:row r="2" ht="36" customHeight="1">
      <x:c r="A2" s="25" t="str">
        <x:v>Evaluation size</x:v>
      </x:c>
      <x:c r="B2" s="25" t="str">
        <x:v>150 rollouts per model: 20 in-distribution, 50 primary transfer, 20 matched controls, 20 language, 20 novel black-cup, and 20 no-valid-target/no-movement trials.</x:v>
      </x:c>
    </x:row>
    <x:row r="3" ht="36" customHeight="1">
      <x:c r="A3" s="25" t="str">
        <x:v>State codes</x:v>
      </x:c>
      <x:c r="B3" s="25" t="str">
        <x:v>C = closed; O = open; UD = upside-down; RU = right-side-up/upright. Every listed object has one C/O code and one UD/RU code.</x:v>
      </x:c>
    </x:row>
    <x:row r="4" ht="36" customHeight="1">
      <x:c r="A4" s="25" t="str">
        <x:v>Scene column</x:v>
      </x:c>
      <x:c r="B4" s="25" t="str">
        <x:v>List only the objects and their state pairs. Do not add target labels, positions, or unlisted objects. The bowl starts empty in every row.</x:v>
      </x:c>
    </x:row>
    <x:row r="5" ht="36" customHeight="1">
      <x:c r="A5" s="25" t="str">
        <x:v>Candidate rule</x:v>
      </x:c>
      <x:c r="B5" s="25" t="str">
        <x:v>Every active trial has exactly two objects from the queried category and exactly one valid state match. The non-queried state axis is controlled within that pair.</x:v>
      </x:c>
    </x:row>
    <x:row r="6" ht="36" customHeight="1">
      <x:c r="A6" s="25" t="str">
        <x:v>Primary isolation</x:v>
      </x:c>
      <x:c r="B6" s="25" t="str">
        <x:v>The 50 canonical compositional-transfer rows form the primary endpoint. Ten language rows reuse held-out transfer scenes with paraphrased wording; these remain a separate language diagnostic and are not pooled into the primary estimate. No baseline, matched-control, black-cup, or no-valid-target row uses the four held-out cells.</x:v>
      </x:c>
    </x:row>
    <x:row r="7" ht="36" customHeight="1">
      <x:c r="A7" s="25" t="str">
        <x:v>Primary balance</x:v>
      </x:c>
      <x:c r="B7" s="25" t="str">
        <x:v>The 50 primary rows use the four missing cells 13, 13, 12, and 12 times. Object counts vary across 2, 3, and 4 objects at 17, 17, and 16 trials.</x:v>
      </x:c>
    </x:row>
    <x:row r="8" ht="36" customHeight="1">
      <x:c r="A8" s="25" t="str">
        <x:v>Matched controls</x:v>
      </x:c>
      <x:c r="B8" s="25" t="str">
        <x:v>Twenty primary scenes have an adjacent trained-state counterfactual. Preserve every object and state; only the prompt and correct same-category target change.</x:v>
      </x:c>
    </x:row>
    <x:row r="9" ht="36" customHeight="1">
      <x:c r="A9" s="25" t="str">
        <x:v>Language isolation</x:v>
      </x:c>
      <x:c r="B9" s="25" t="str">
        <x:v>Ten language rows paraphrase canonical compositional-transfer prompts and ten paraphrase matched controls. Each reuses the exact referenced scene, target, and object states; only the wording changes.</x:v>
      </x:c>
    </x:row>
    <x:row r="10" ht="36" customHeight="1">
      <x:c r="A10" s="25" t="str">
        <x:v>Novel black cup</x:v>
      </x:c>
      <x:c r="B10" s="25" t="str">
        <x:v>Use two black cups in every novel-object scene. Exactly one satisfies the state prompt. Each of C, O, UD, and RU appears five times, and all prompts require state reasoning.</x:v>
      </x:c>
    </x:row>
    <x:row r="11" ht="36" customHeight="1">
      <x:c r="A11" s="25" t="str">
        <x:v>Novel-object limitation</x:v>
      </x:c>
      <x:c r="B11" s="25" t="str">
        <x:v>Because direct-name-only black-cup controls are intentionally omitted, this block cannot separately estimate novel-object recognition/manipulation. Report it as a separate diagnostic, not part of the primary compositional-transfer estimate.</x:v>
      </x:c>
    </x:row>
    <x:row r="12" ht="36" customHeight="1">
      <x:c r="A12" s="25" t="str">
        <x:v>No-valid-target block</x:v>
      </x:c>
      <x:c r="B12" s="25" t="str">
        <x:v>The bowl is empty in all 20 episodes, and no object anywhere in the scene has the queried state. Use each trained category five times and each state five times. Success requires doing nothing.</x:v>
      </x:c>
    </x:row>
    <x:row r="13" ht="36" customHeight="1">
      <x:c r="A13" s="25" t="str">
        <x:v>Difference from Counting</x:v>
      </x:c>
      <x:c r="B13" s="25" t="str">
        <x:v>These are no-valid-target or infeasible-instruction trials, not goal-already-satisfied trials. In Counting, the requested goal already holds; here, the requested state-object target is absent.</x:v>
      </x:c>
    </x:row>
    <x:row r="14" ht="36" customHeight="1">
      <x:c r="A14" s="25" t="str">
        <x:v>No-movement wording</x:v>
      </x:c>
      <x:c r="B14" s="25" t="str">
        <x:v>Use the same canonical 'Place the [state] [category] in the bowl' frame as active trials. Wording must not reveal that no valid target exists.</x:v>
      </x:c>
    </x:row>
    <x:row r="15" ht="36" customHeight="1">
      <x:c r="A15" s="25" t="str">
        <x:v>Distractor variation</x:v>
      </x:c>
      <x:c r="B15" s="25" t="str">
        <x:v>The in-distribution, primary, novel-object, and no-movement conditions all include 2-, 3-, and 4-object scenes. Reproduce each listed object count exactly.</x:v>
      </x:c>
    </x:row>
    <x:row r="16" ht="36" customHeight="1">
      <x:c r="A16" s="25" t="str">
        <x:v>Training provenance</x:v>
      </x:c>
      <x:c r="B16" s="25" t="str">
        <x:v>Original Training Episode(s) identifies the relevant manifest episode. Manifest Alignment states whether the match is exact, a trained control cell, a masked trajectory reference, or concept-only grounding.</x:v>
      </x:c>
    </x:row>
    <x:row r="17" ht="36" customHeight="1">
      <x:c r="A17" s="25" t="str">
        <x:v>Collection order</x:v>
      </x:c>
      <x:c r="B17" s="25" t="str">
        <x:v>Episodes 0–19 are the in-distribution baseline. In each of the first 10 transfer families, collect canonical transfer, canonical control, transfer paraphrase, and control paraphrase consecutively. The next 10 families place transfer and control consecutively. Use the same episode order for every model.</x:v>
      </x:c>
    </x:row>
    <x:row r="18" ht="36" customHeight="1">
      <x:c r="A18" s="25" t="str">
        <x:v>Reset fidelity</x:v>
      </x:c>
      <x:c r="B18" s="25" t="str">
        <x:v>For referenced rows, return the moved object to its marked starting location and preserve all object states. Across models, recreate episode N as closely as possible.</x:v>
      </x:c>
    </x:row>
    <x:row r="19" ht="36" customHeight="1">
      <x:c r="A19" s="25" t="str">
        <x:v>Active-trial success</x:v>
      </x:c>
      <x:c r="B19" s="25" t="str">
        <x:v>Place the unique same-category object satisfying the queried state in the bowl without placing a competitor or distractor in the bowl.</x:v>
      </x:c>
    </x:row>
    <x:row r="20" ht="36" customHeight="1">
      <x:c r="A20" s="25" t="str">
        <x:v>No-valid-target success</x:v>
      </x:c>
      <x:c r="B20" s="25" t="str">
        <x:v>Do not initiate a grasp and leave the empty bowl and all object states unchanged. Small arm settling without object interaction may be noted but is not a failure.</x:v>
      </x:c>
    </x:row>
    <x:row r="21" ht="36" customHeight="1">
      <x:c r="A21" s="25" t="str">
        <x:v>Invalid hardware episode</x:v>
      </x:c>
      <x:c r="B21" s="25" t="str">
        <x:v>Do not score a rollout affected by a camera, motor, reset, or logging fault. Recollect the same episode and document the issue in Observations.</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6.66999816894531" hidden="0" customWidth="1"/>
    <x:col min="2" max="2" width="12.220000267028809" hidden="0" customWidth="1"/>
    <x:col min="3" max="3" width="10" hidden="0" customWidth="1"/>
    <x:col min="4" max="4" width="10" hidden="0" customWidth="1"/>
    <x:col min="5" max="5" width="51.11000061035156" hidden="0" customWidth="1"/>
  </x:cols>
  <x:sheetData>
    <x:row r="1" ht="30" customHeight="1">
      <x:c r="A1" s="30" t="str">
        <x:v>Check</x:v>
      </x:c>
      <x:c r="B1" s="30" t="str">
        <x:v>Actual</x:v>
      </x:c>
      <x:c r="C1" s="30" t="str">
        <x:v>Expected</x:v>
      </x:c>
      <x:c r="D1" s="30" t="str">
        <x:v>Status</x:v>
      </x:c>
      <x:c r="E1" s="30" t="str">
        <x:v>Notes</x:v>
      </x:c>
    </x:row>
    <x:row r="2" ht="30" customHeight="1">
      <x:c r="A2" s="25" t="str">
        <x:v>Total evaluation rows</x:v>
      </x:c>
      <x:c r="B2" s="25" t="n">
        <x:f>COUNTA('Evaluation Plan'!B2:B151)</x:f>
        <x:v>150</x:v>
      </x:c>
      <x:c r="C2" s="25" t="n">
        <x:v>150</x:v>
      </x:c>
      <x:c r="D2" s="25" t="str">
        <x:f>IF(B2=C2,"PASS","FAIL")</x:f>
        <x:v>PASS</x:v>
      </x:c>
      <x:c r="E2" s="25" t="str">
        <x:v>Episodes 0–149.</x:v>
      </x:c>
    </x:row>
    <x:row r="3" ht="30" customHeight="1">
      <x:c r="A3" s="25" t="str">
        <x:v>Rows with training provenance</x:v>
      </x:c>
      <x:c r="B3" s="25" t="n">
        <x:f>COUNTA('Evaluation Plan'!F2:F151)</x:f>
        <x:v>150</x:v>
      </x:c>
      <x:c r="C3" s="25" t="n">
        <x:v>150</x:v>
      </x:c>
      <x:c r="D3" s="25" t="str">
        <x:f>IF(B3=C3,"PASS","FAIL")</x:f>
        <x:v>PASS</x:v>
      </x:c>
      <x:c r="E3" s="25" t="str">
        <x:v>Every row has at least one source concept/trajectory episode.</x:v>
      </x:c>
    </x:row>
    <x:row r="4" ht="30" customHeight="1">
      <x:c r="A4" s="25" t="str">
        <x:v>In-distribution total</x:v>
      </x:c>
      <x:c r="B4" s="25" t="n">
        <x:f>COUNTIF('Evaluation Plan'!J2:J151,"In-distribution concept baseline")</x:f>
        <x:v>20</x:v>
      </x:c>
      <x:c r="C4" s="25" t="n">
        <x:v>20</x:v>
      </x:c>
      <x:c r="D4" s="25" t="str">
        <x:f>IF(B4=C4,"PASS","FAIL")</x:f>
        <x:v>PASS</x:v>
      </x:c>
      <x:c r="E4" s="25" t="str">
        <x:v>Episodes 0–19.</x:v>
      </x:c>
    </x:row>
    <x:row r="5" ht="30" customHeight="1">
      <x:c r="A5" s="25" t="str">
        <x:v>In-distribution exact manifest alignment</x:v>
      </x:c>
      <x:c r="B5" s="25" t="n">
        <x:f>COUNTIFS('Evaluation Plan'!J2:J151,"In-distribution concept baseline",'Evaluation Plan'!G2:G151,"Exact manifest episode: trained state-object cell, prompt, same-category candidate structure, and object membership match; physical layout is manually recreated.")</x:f>
        <x:v>20</x:v>
      </x:c>
      <x:c r="C5" s="25" t="n">
        <x:v>20</x:v>
      </x:c>
      <x:c r="D5" s="25" t="str">
        <x:f>IF(B5=C5,"PASS","FAIL")</x:f>
        <x:v>PASS</x:v>
      </x:c>
      <x:c r="E5" s="25" t="str">
        <x:v>All baseline rows cite exact manifest episodes.</x:v>
      </x:c>
    </x:row>
    <x:row r="6" ht="30" customHeight="1">
      <x:c r="A6" s="25" t="str">
        <x:v>Baseline category: white cup</x:v>
      </x:c>
      <x:c r="B6" s="25" t="n">
        <x:f>COUNTIFS('Evaluation Plan'!J2:J151,"In-distribution concept baseline",'Evaluation Plan'!M2:M151,"white cup")</x:f>
        <x:v>5</x:v>
      </x:c>
      <x:c r="C6" s="25" t="n">
        <x:v>5</x:v>
      </x:c>
      <x:c r="D6" s="25" t="str">
        <x:f>IF(B6=C6,"PASS","FAIL")</x:f>
        <x:v>PASS</x:v>
      </x:c>
      <x:c r="E6" s="25" t="str">
        <x:v>Five per trained category.</x:v>
      </x:c>
    </x:row>
    <x:row r="7" ht="30" customHeight="1">
      <x:c r="A7" s="25" t="str">
        <x:v>Baseline category: yellow-white striped cup</x:v>
      </x:c>
      <x:c r="B7" s="25" t="n">
        <x:f>COUNTIFS('Evaluation Plan'!J2:J151,"In-distribution concept baseline",'Evaluation Plan'!M2:M151,"yellow-white striped cup")</x:f>
        <x:v>5</x:v>
      </x:c>
      <x:c r="C7" s="25" t="n">
        <x:v>5</x:v>
      </x:c>
      <x:c r="D7" s="25" t="str">
        <x:f>IF(B7=C7,"PASS","FAIL")</x:f>
        <x:v>PASS</x:v>
      </x:c>
      <x:c r="E7" s="25" t="str">
        <x:v>Five per trained category.</x:v>
      </x:c>
    </x:row>
    <x:row r="8" ht="30" customHeight="1">
      <x:c r="A8" s="25" t="str">
        <x:v>Baseline category: brown cup</x:v>
      </x:c>
      <x:c r="B8" s="25" t="n">
        <x:f>COUNTIFS('Evaluation Plan'!J2:J151,"In-distribution concept baseline",'Evaluation Plan'!M2:M151,"brown cup")</x:f>
        <x:v>5</x:v>
      </x:c>
      <x:c r="C8" s="25" t="n">
        <x:v>5</x:v>
      </x:c>
      <x:c r="D8" s="25" t="str">
        <x:f>IF(B8=C8,"PASS","FAIL")</x:f>
        <x:v>PASS</x:v>
      </x:c>
      <x:c r="E8" s="25" t="str">
        <x:v>Five per trained category.</x:v>
      </x:c>
    </x:row>
    <x:row r="9" ht="30" customHeight="1">
      <x:c r="A9" s="25" t="str">
        <x:v>Baseline category: glass spice container</x:v>
      </x:c>
      <x:c r="B9" s="25" t="n">
        <x:f>COUNTIFS('Evaluation Plan'!J2:J151,"In-distribution concept baseline",'Evaluation Plan'!M2:M151,"glass spice container")</x:f>
        <x:v>5</x:v>
      </x:c>
      <x:c r="C9" s="25" t="n">
        <x:v>5</x:v>
      </x:c>
      <x:c r="D9" s="25" t="str">
        <x:f>IF(B9=C9,"PASS","FAIL")</x:f>
        <x:v>PASS</x:v>
      </x:c>
      <x:c r="E9" s="25" t="str">
        <x:v>Five per trained category.</x:v>
      </x:c>
    </x:row>
    <x:row r="10" ht="30" customHeight="1">
      <x:c r="A10" s="25" t="str">
        <x:v>Baseline state: C</x:v>
      </x:c>
      <x:c r="B10" s="25" t="n">
        <x:f>COUNTIFS('Evaluation Plan'!J2:J151,"In-distribution concept baseline",'Evaluation Plan'!L2:L151,"C")</x:f>
        <x:v>5</x:v>
      </x:c>
      <x:c r="C10" s="25" t="n">
        <x:v>5</x:v>
      </x:c>
      <x:c r="D10" s="25" t="str">
        <x:f>IF(B10=C10,"PASS","FAIL")</x:f>
        <x:v>PASS</x:v>
      </x:c>
      <x:c r="E10" s="25" t="str">
        <x:v>Five per state.</x:v>
      </x:c>
    </x:row>
    <x:row r="11" ht="30" customHeight="1">
      <x:c r="A11" s="25" t="str">
        <x:v>Baseline state: O</x:v>
      </x:c>
      <x:c r="B11" s="25" t="n">
        <x:f>COUNTIFS('Evaluation Plan'!J2:J151,"In-distribution concept baseline",'Evaluation Plan'!L2:L151,"O")</x:f>
        <x:v>5</x:v>
      </x:c>
      <x:c r="C11" s="25" t="n">
        <x:v>5</x:v>
      </x:c>
      <x:c r="D11" s="25" t="str">
        <x:f>IF(B11=C11,"PASS","FAIL")</x:f>
        <x:v>PASS</x:v>
      </x:c>
      <x:c r="E11" s="25" t="str">
        <x:v>Five per state.</x:v>
      </x:c>
    </x:row>
    <x:row r="12" ht="30" customHeight="1">
      <x:c r="A12" s="25" t="str">
        <x:v>Baseline state: UD</x:v>
      </x:c>
      <x:c r="B12" s="25" t="n">
        <x:f>COUNTIFS('Evaluation Plan'!J2:J151,"In-distribution concept baseline",'Evaluation Plan'!L2:L151,"UD")</x:f>
        <x:v>5</x:v>
      </x:c>
      <x:c r="C12" s="25" t="n">
        <x:v>5</x:v>
      </x:c>
      <x:c r="D12" s="25" t="str">
        <x:f>IF(B12=C12,"PASS","FAIL")</x:f>
        <x:v>PASS</x:v>
      </x:c>
      <x:c r="E12" s="25" t="str">
        <x:v>Five per state.</x:v>
      </x:c>
    </x:row>
    <x:row r="13" ht="30" customHeight="1">
      <x:c r="A13" s="25" t="str">
        <x:v>Baseline state: RU</x:v>
      </x:c>
      <x:c r="B13" s="25" t="n">
        <x:f>COUNTIFS('Evaluation Plan'!J2:J151,"In-distribution concept baseline",'Evaluation Plan'!L2:L151,"RU")</x:f>
        <x:v>5</x:v>
      </x:c>
      <x:c r="C13" s="25" t="n">
        <x:v>5</x:v>
      </x:c>
      <x:c r="D13" s="25" t="str">
        <x:f>IF(B13=C13,"PASS","FAIL")</x:f>
        <x:v>PASS</x:v>
      </x:c>
      <x:c r="E13" s="25" t="str">
        <x:v>Five per state.</x:v>
      </x:c>
    </x:row>
    <x:row r="14" ht="30" customHeight="1">
      <x:c r="A14" s="25" t="str">
        <x:v>Primary transfer total</x:v>
      </x:c>
      <x:c r="B14" s="25" t="n">
        <x:f>COUNTIF('Evaluation Plan'!J2:J151,"Concept/compositional transfer")</x:f>
        <x:v>50</x:v>
      </x:c>
      <x:c r="C14" s="25" t="n">
        <x:v>50</x:v>
      </x:c>
      <x:c r="D14" s="25" t="str">
        <x:f>IF(B14=C14,"PASS","FAIL")</x:f>
        <x:v>PASS</x:v>
      </x:c>
      <x:c r="E14" s="25" t="str">
        <x:v>Only the four held-out cells.</x:v>
      </x:c>
    </x:row>
    <x:row r="15" ht="30" customHeight="1">
      <x:c r="A15" s="25" t="str">
        <x:v>Primary held-out: white cup × UD</x:v>
      </x:c>
      <x:c r="B15" s="25" t="n">
        <x:f>COUNTIFS('Evaluation Plan'!J2:J151,"Concept/compositional transfer",'Evaluation Plan'!M2:M151,"white cup",'Evaluation Plan'!L2:L151,"UD")</x:f>
        <x:v>13</x:v>
      </x:c>
      <x:c r="C15" s="25" t="n">
        <x:v>13</x:v>
      </x:c>
      <x:c r="D15" s="25" t="str">
        <x:f>IF(B15=C15,"PASS","FAIL")</x:f>
        <x:v>PASS</x:v>
      </x:c>
      <x:c r="E15" s="25" t="str">
        <x:v>Balanced 13/13/12/12.</x:v>
      </x:c>
    </x:row>
    <x:row r="16" ht="30" customHeight="1">
      <x:c r="A16" s="25" t="str">
        <x:v>Primary held-out: yellow-white striped cup × O</x:v>
      </x:c>
      <x:c r="B16" s="25" t="n">
        <x:f>COUNTIFS('Evaluation Plan'!J2:J151,"Concept/compositional transfer",'Evaluation Plan'!M2:M151,"yellow-white striped cup",'Evaluation Plan'!L2:L151,"O")</x:f>
        <x:v>13</x:v>
      </x:c>
      <x:c r="C16" s="25" t="n">
        <x:v>13</x:v>
      </x:c>
      <x:c r="D16" s="25" t="str">
        <x:f>IF(B16=C16,"PASS","FAIL")</x:f>
        <x:v>PASS</x:v>
      </x:c>
      <x:c r="E16" s="25" t="str">
        <x:v>Balanced 13/13/12/12.</x:v>
      </x:c>
    </x:row>
    <x:row r="17" ht="30" customHeight="1">
      <x:c r="A17" s="25" t="str">
        <x:v>Primary held-out: brown cup × C</x:v>
      </x:c>
      <x:c r="B17" s="25" t="n">
        <x:f>COUNTIFS('Evaluation Plan'!J2:J151,"Concept/compositional transfer",'Evaluation Plan'!M2:M151,"brown cup",'Evaluation Plan'!L2:L151,"C")</x:f>
        <x:v>12</x:v>
      </x:c>
      <x:c r="C17" s="25" t="n">
        <x:v>12</x:v>
      </x:c>
      <x:c r="D17" s="25" t="str">
        <x:f>IF(B17=C17,"PASS","FAIL")</x:f>
        <x:v>PASS</x:v>
      </x:c>
      <x:c r="E17" s="25" t="str">
        <x:v>Balanced 13/13/12/12.</x:v>
      </x:c>
    </x:row>
    <x:row r="18" ht="30" customHeight="1">
      <x:c r="A18" s="25" t="str">
        <x:v>Primary held-out: glass spice container × RU</x:v>
      </x:c>
      <x:c r="B18" s="25" t="n">
        <x:f>COUNTIFS('Evaluation Plan'!J2:J151,"Concept/compositional transfer",'Evaluation Plan'!M2:M151,"glass spice container",'Evaluation Plan'!L2:L151,"RU")</x:f>
        <x:v>12</x:v>
      </x:c>
      <x:c r="C18" s="25" t="n">
        <x:v>12</x:v>
      </x:c>
      <x:c r="D18" s="25" t="str">
        <x:f>IF(B18=C18,"PASS","FAIL")</x:f>
        <x:v>PASS</x:v>
      </x:c>
      <x:c r="E18" s="25" t="str">
        <x:v>Balanced 13/13/12/12.</x:v>
      </x:c>
    </x:row>
    <x:row r="19" ht="30" customHeight="1">
      <x:c r="A19" s="25" t="str">
        <x:v>Language held-out: white cup × UD</x:v>
      </x:c>
      <x:c r="B19" s="25" t="n">
        <x:f>COUNTIFS('Evaluation Plan'!J2:J151,"Language robustness",'Evaluation Plan'!M2:M151,"white cup",'Evaluation Plan'!L2:L151,"UD")</x:f>
        <x:v>3</x:v>
      </x:c>
      <x:c r="C19" s="25" t="n">
        <x:v>3</x:v>
      </x:c>
      <x:c r="D19" s="25" t="str">
        <x:f>IF(B19=C19,"PASS","FAIL")</x:f>
        <x:v>PASS</x:v>
      </x:c>
      <x:c r="E19" s="25" t="str">
        <x:v>Exact-scene primary paraphrases only.</x:v>
      </x:c>
    </x:row>
    <x:row r="20" ht="30" customHeight="1">
      <x:c r="A20" s="25" t="str">
        <x:v>Language held-out: yellow-white striped cup × O</x:v>
      </x:c>
      <x:c r="B20" s="25" t="n">
        <x:f>COUNTIFS('Evaluation Plan'!J2:J151,"Language robustness",'Evaluation Plan'!M2:M151,"yellow-white striped cup",'Evaluation Plan'!L2:L151,"O")</x:f>
        <x:v>3</x:v>
      </x:c>
      <x:c r="C20" s="25" t="n">
        <x:v>3</x:v>
      </x:c>
      <x:c r="D20" s="25" t="str">
        <x:f>IF(B20=C20,"PASS","FAIL")</x:f>
        <x:v>PASS</x:v>
      </x:c>
      <x:c r="E20" s="25" t="str">
        <x:v>Exact-scene primary paraphrases only.</x:v>
      </x:c>
    </x:row>
    <x:row r="21" ht="30" customHeight="1">
      <x:c r="A21" s="25" t="str">
        <x:v>Language held-out: brown cup × C</x:v>
      </x:c>
      <x:c r="B21" s="25" t="n">
        <x:f>COUNTIFS('Evaluation Plan'!J2:J151,"Language robustness",'Evaluation Plan'!M2:M151,"brown cup",'Evaluation Plan'!L2:L151,"C")</x:f>
        <x:v>2</x:v>
      </x:c>
      <x:c r="C21" s="25" t="n">
        <x:v>2</x:v>
      </x:c>
      <x:c r="D21" s="25" t="str">
        <x:f>IF(B21=C21,"PASS","FAIL")</x:f>
        <x:v>PASS</x:v>
      </x:c>
      <x:c r="E21" s="25" t="str">
        <x:v>Exact-scene primary paraphrases only.</x:v>
      </x:c>
    </x:row>
    <x:row r="22" ht="30" customHeight="1">
      <x:c r="A22" s="25" t="str">
        <x:v>Language held-out: glass spice container × RU</x:v>
      </x:c>
      <x:c r="B22" s="25" t="n">
        <x:f>COUNTIFS('Evaluation Plan'!J2:J151,"Language robustness",'Evaluation Plan'!M2:M151,"glass spice container",'Evaluation Plan'!L2:L151,"RU")</x:f>
        <x:v>2</x:v>
      </x:c>
      <x:c r="C22" s="25" t="n">
        <x:v>2</x:v>
      </x:c>
      <x:c r="D22" s="25" t="str">
        <x:f>IF(B22=C22,"PASS","FAIL")</x:f>
        <x:v>PASS</x:v>
      </x:c>
      <x:c r="E22" s="25" t="str">
        <x:v>Exact-scene primary paraphrases only.</x:v>
      </x:c>
    </x:row>
    <x:row r="23" ht="30" customHeight="1">
      <x:c r="A23" s="25" t="str">
        <x:v>Held-out pair outside primary/language: white cup × UD</x:v>
      </x:c>
      <x:c r="B23" s="25" t="n">
        <x:f>COUNTIFS('Evaluation Plan'!M2:M151,"white cup",'Evaluation Plan'!L2:L151,"UD")-13-3</x:f>
        <x:v>0</x:v>
      </x:c>
      <x:c r="C23" s="25" t="n">
        <x:v>0</x:v>
      </x:c>
      <x:c r="D23" s="25" t="str">
        <x:f>IF(B23=C23,"PASS","FAIL")</x:f>
        <x:v>PASS</x:v>
      </x:c>
      <x:c r="E23" s="25" t="str">
        <x:v>No baseline, matched-control, black-cup, or no-valid-target row uses the missing cell.</x:v>
      </x:c>
    </x:row>
    <x:row r="24" ht="30" customHeight="1">
      <x:c r="A24" s="25" t="str">
        <x:v>Held-out pair outside primary/language: yellow-white striped cup × O</x:v>
      </x:c>
      <x:c r="B24" s="25" t="n">
        <x:f>COUNTIFS('Evaluation Plan'!M2:M151,"yellow-white striped cup",'Evaluation Plan'!L2:L151,"O")-13-3</x:f>
        <x:v>0</x:v>
      </x:c>
      <x:c r="C24" s="25" t="n">
        <x:v>0</x:v>
      </x:c>
      <x:c r="D24" s="25" t="str">
        <x:f>IF(B24=C24,"PASS","FAIL")</x:f>
        <x:v>PASS</x:v>
      </x:c>
      <x:c r="E24" s="25" t="str">
        <x:v>No baseline, matched-control, black-cup, or no-valid-target row uses the missing cell.</x:v>
      </x:c>
    </x:row>
    <x:row r="25" ht="30" customHeight="1">
      <x:c r="A25" s="25" t="str">
        <x:v>Held-out pair outside primary/language: brown cup × C</x:v>
      </x:c>
      <x:c r="B25" s="25" t="n">
        <x:f>COUNTIFS('Evaluation Plan'!M2:M151,"brown cup",'Evaluation Plan'!L2:L151,"C")-12-2</x:f>
        <x:v>0</x:v>
      </x:c>
      <x:c r="C25" s="25" t="n">
        <x:v>0</x:v>
      </x:c>
      <x:c r="D25" s="25" t="str">
        <x:f>IF(B25=C25,"PASS","FAIL")</x:f>
        <x:v>PASS</x:v>
      </x:c>
      <x:c r="E25" s="25" t="str">
        <x:v>No baseline, matched-control, black-cup, or no-valid-target row uses the missing cell.</x:v>
      </x:c>
    </x:row>
    <x:row r="26" ht="30" customHeight="1">
      <x:c r="A26" s="25" t="str">
        <x:v>Held-out pair outside primary/language: glass spice container × RU</x:v>
      </x:c>
      <x:c r="B26" s="25" t="n">
        <x:f>COUNTIFS('Evaluation Plan'!M2:M151,"glass spice container",'Evaluation Plan'!L2:L151,"RU")-12-2</x:f>
        <x:v>0</x:v>
      </x:c>
      <x:c r="C26" s="25" t="n">
        <x:v>0</x:v>
      </x:c>
      <x:c r="D26" s="25" t="str">
        <x:f>IF(B26=C26,"PASS","FAIL")</x:f>
        <x:v>PASS</x:v>
      </x:c>
      <x:c r="E26" s="25" t="str">
        <x:v>No baseline, matched-control, black-cup, or no-valid-target row uses the missing cell.</x:v>
      </x:c>
    </x:row>
    <x:row r="27" ht="30" customHeight="1">
      <x:c r="A27" s="25" t="str">
        <x:v>Primary object count 2</x:v>
      </x:c>
      <x:c r="B27" s="25" t="n">
        <x:f>COUNTIFS('Evaluation Plan'!J2:J151,"Concept/compositional transfer",'Evaluation Plan'!N2:N151,2)</x:f>
        <x:v>17</x:v>
      </x:c>
      <x:c r="C27" s="25" t="n">
        <x:v>17</x:v>
      </x:c>
      <x:c r="D27" s="25" t="str">
        <x:f>IF(B27=C27,"PASS","FAIL")</x:f>
        <x:v>PASS</x:v>
      </x:c>
      <x:c r="E27" s="25" t="str">
        <x:v>Varied distractor count.</x:v>
      </x:c>
    </x:row>
    <x:row r="28" ht="30" customHeight="1">
      <x:c r="A28" s="25" t="str">
        <x:v>Primary object count 3</x:v>
      </x:c>
      <x:c r="B28" s="25" t="n">
        <x:f>COUNTIFS('Evaluation Plan'!J2:J151,"Concept/compositional transfer",'Evaluation Plan'!N2:N151,3)</x:f>
        <x:v>17</x:v>
      </x:c>
      <x:c r="C28" s="25" t="n">
        <x:v>17</x:v>
      </x:c>
      <x:c r="D28" s="25" t="str">
        <x:f>IF(B28=C28,"PASS","FAIL")</x:f>
        <x:v>PASS</x:v>
      </x:c>
      <x:c r="E28" s="25" t="str">
        <x:v>Varied distractor count.</x:v>
      </x:c>
    </x:row>
    <x:row r="29" ht="30" customHeight="1">
      <x:c r="A29" s="25" t="str">
        <x:v>Primary object count 4</x:v>
      </x:c>
      <x:c r="B29" s="25" t="n">
        <x:f>COUNTIFS('Evaluation Plan'!J2:J151,"Concept/compositional transfer",'Evaluation Plan'!N2:N151,4)</x:f>
        <x:v>16</x:v>
      </x:c>
      <x:c r="C29" s="25" t="n">
        <x:v>16</x:v>
      </x:c>
      <x:c r="D29" s="25" t="str">
        <x:f>IF(B29=C29,"PASS","FAIL")</x:f>
        <x:v>PASS</x:v>
      </x:c>
      <x:c r="E29" s="25" t="str">
        <x:v>Varied distractor count.</x:v>
      </x:c>
    </x:row>
    <x:row r="30" ht="30" customHeight="1">
      <x:c r="A30" s="25" t="str">
        <x:v>Matched control total</x:v>
      </x:c>
      <x:c r="B30" s="25" t="n">
        <x:f>COUNTIF('Evaluation Plan'!J2:J151,"Matched manipulation control")</x:f>
        <x:v>20</x:v>
      </x:c>
      <x:c r="C30" s="25" t="n">
        <x:v>20</x:v>
      </x:c>
      <x:c r="D30" s="25" t="str">
        <x:f>IF(B30=C30,"PASS","FAIL")</x:f>
        <x:v>PASS</x:v>
      </x:c>
      <x:c r="E30" s="25" t="str">
        <x:v>Exact-scene trained-state counterfactuals.</x:v>
      </x:c>
    </x:row>
    <x:row r="31" ht="30" customHeight="1">
      <x:c r="A31" s="25" t="str">
        <x:v>Matched control category: white cup</x:v>
      </x:c>
      <x:c r="B31" s="25" t="n">
        <x:f>COUNTIFS('Evaluation Plan'!J2:J151,"Matched manipulation control",'Evaluation Plan'!M2:M151,"white cup")</x:f>
        <x:v>5</x:v>
      </x:c>
      <x:c r="C31" s="25" t="n">
        <x:v>5</x:v>
      </x:c>
      <x:c r="D31" s="25" t="str">
        <x:f>IF(B31=C31,"PASS","FAIL")</x:f>
        <x:v>PASS</x:v>
      </x:c>
      <x:c r="E31" s="25" t="str">
        <x:v>Five per category and corresponding trained control state.</x:v>
      </x:c>
    </x:row>
    <x:row r="32" ht="30" customHeight="1">
      <x:c r="A32" s="25" t="str">
        <x:v>Matched control category: yellow-white striped cup</x:v>
      </x:c>
      <x:c r="B32" s="25" t="n">
        <x:f>COUNTIFS('Evaluation Plan'!J2:J151,"Matched manipulation control",'Evaluation Plan'!M2:M151,"yellow-white striped cup")</x:f>
        <x:v>5</x:v>
      </x:c>
      <x:c r="C32" s="25" t="n">
        <x:v>5</x:v>
      </x:c>
      <x:c r="D32" s="25" t="str">
        <x:f>IF(B32=C32,"PASS","FAIL")</x:f>
        <x:v>PASS</x:v>
      </x:c>
      <x:c r="E32" s="25" t="str">
        <x:v>Five per category and corresponding trained control state.</x:v>
      </x:c>
    </x:row>
    <x:row r="33" ht="30" customHeight="1">
      <x:c r="A33" s="25" t="str">
        <x:v>Matched control category: brown cup</x:v>
      </x:c>
      <x:c r="B33" s="25" t="n">
        <x:f>COUNTIFS('Evaluation Plan'!J2:J151,"Matched manipulation control",'Evaluation Plan'!M2:M151,"brown cup")</x:f>
        <x:v>5</x:v>
      </x:c>
      <x:c r="C33" s="25" t="n">
        <x:v>5</x:v>
      </x:c>
      <x:c r="D33" s="25" t="str">
        <x:f>IF(B33=C33,"PASS","FAIL")</x:f>
        <x:v>PASS</x:v>
      </x:c>
      <x:c r="E33" s="25" t="str">
        <x:v>Five per category and corresponding trained control state.</x:v>
      </x:c>
    </x:row>
    <x:row r="34" ht="30" customHeight="1">
      <x:c r="A34" s="25" t="str">
        <x:v>Matched control category: glass spice container</x:v>
      </x:c>
      <x:c r="B34" s="25" t="n">
        <x:f>COUNTIFS('Evaluation Plan'!J2:J151,"Matched manipulation control",'Evaluation Plan'!M2:M151,"glass spice container")</x:f>
        <x:v>5</x:v>
      </x:c>
      <x:c r="C34" s="25" t="n">
        <x:v>5</x:v>
      </x:c>
      <x:c r="D34" s="25" t="str">
        <x:f>IF(B34=C34,"PASS","FAIL")</x:f>
        <x:v>PASS</x:v>
      </x:c>
      <x:c r="E34" s="25" t="str">
        <x:v>Five per category and corresponding trained control state.</x:v>
      </x:c>
    </x:row>
    <x:row r="35" ht="30" customHeight="1">
      <x:c r="A35" s="25" t="str">
        <x:v>Language robustness total</x:v>
      </x:c>
      <x:c r="B35" s="25" t="n">
        <x:f>COUNTIF('Evaluation Plan'!J2:J151,"Language robustness")</x:f>
        <x:v>20</x:v>
      </x:c>
      <x:c r="C35" s="25" t="n">
        <x:v>20</x:v>
      </x:c>
      <x:c r="D35" s="25" t="str">
        <x:f>IF(B35=C35,"PASS","FAIL")</x:f>
        <x:v>PASS</x:v>
      </x:c>
      <x:c r="E35" s="25" t="str">
        <x:v>Ten transfer paraphrases and ten matched-control paraphrases.</x:v>
      </x:c>
    </x:row>
    <x:row r="36" ht="30" customHeight="1">
      <x:c r="A36" s="25" t="str">
        <x:v>Language: transfer paraphrases</x:v>
      </x:c>
      <x:c r="B36" s="25" t="n">
        <x:f>COUNTIFS('Evaluation Plan'!J2:J151,"Language robustness",'Evaluation Plan'!Q2:Q151,"Primary compositional-transfer prompt paraphrase")</x:f>
        <x:v>10</x:v>
      </x:c>
      <x:c r="C36" s="25" t="n">
        <x:v>10</x:v>
      </x:c>
      <x:c r="D36" s="25" t="str">
        <x:f>IF(B36=C36,"PASS","FAIL")</x:f>
        <x:v>PASS</x:v>
      </x:c>
      <x:c r="E36" s="25" t="str">
        <x:v>Exact canonical transfer scenes.</x:v>
      </x:c>
    </x:row>
    <x:row r="37" ht="30" customHeight="1">
      <x:c r="A37" s="25" t="str">
        <x:v>Language: matched-control paraphrases</x:v>
      </x:c>
      <x:c r="B37" s="25" t="n">
        <x:f>COUNTIFS('Evaluation Plan'!J2:J151,"Language robustness",'Evaluation Plan'!Q2:Q151,"Matched-control state prompt paraphrase")</x:f>
        <x:v>10</x:v>
      </x:c>
      <x:c r="C37" s="25" t="n">
        <x:v>10</x:v>
      </x:c>
      <x:c r="D37" s="25" t="str">
        <x:f>IF(B37=C37,"PASS","FAIL")</x:f>
        <x:v>PASS</x:v>
      </x:c>
      <x:c r="E37" s="25" t="str">
        <x:v>Exact control scenes.</x:v>
      </x:c>
    </x:row>
    <x:row r="38" ht="30" customHeight="1">
      <x:c r="A38" s="25" t="str">
        <x:v>Language state: C</x:v>
      </x:c>
      <x:c r="B38" s="25" t="n">
        <x:f>COUNTIFS('Evaluation Plan'!J2:J151,"Language robustness",'Evaluation Plan'!L2:L151,"C")</x:f>
        <x:v>5</x:v>
      </x:c>
      <x:c r="C38" s="25" t="n">
        <x:v>5</x:v>
      </x:c>
      <x:c r="D38" s="25" t="str">
        <x:f>IF(B38=C38,"PASS","FAIL")</x:f>
        <x:v>PASS</x:v>
      </x:c>
      <x:c r="E38" s="25" t="str">
        <x:v>Balanced across queried states.</x:v>
      </x:c>
    </x:row>
    <x:row r="39" ht="30" customHeight="1">
      <x:c r="A39" s="25" t="str">
        <x:v>Language state: O</x:v>
      </x:c>
      <x:c r="B39" s="25" t="n">
        <x:f>COUNTIFS('Evaluation Plan'!J2:J151,"Language robustness",'Evaluation Plan'!L2:L151,"O")</x:f>
        <x:v>5</x:v>
      </x:c>
      <x:c r="C39" s="25" t="n">
        <x:v>5</x:v>
      </x:c>
      <x:c r="D39" s="25" t="str">
        <x:f>IF(B39=C39,"PASS","FAIL")</x:f>
        <x:v>PASS</x:v>
      </x:c>
      <x:c r="E39" s="25" t="str">
        <x:v>Balanced across queried states.</x:v>
      </x:c>
    </x:row>
    <x:row r="40" ht="30" customHeight="1">
      <x:c r="A40" s="25" t="str">
        <x:v>Language state: UD</x:v>
      </x:c>
      <x:c r="B40" s="25" t="n">
        <x:f>COUNTIFS('Evaluation Plan'!J2:J151,"Language robustness",'Evaluation Plan'!L2:L151,"UD")</x:f>
        <x:v>5</x:v>
      </x:c>
      <x:c r="C40" s="25" t="n">
        <x:v>5</x:v>
      </x:c>
      <x:c r="D40" s="25" t="str">
        <x:f>IF(B40=C40,"PASS","FAIL")</x:f>
        <x:v>PASS</x:v>
      </x:c>
      <x:c r="E40" s="25" t="str">
        <x:v>Balanced across queried states.</x:v>
      </x:c>
    </x:row>
    <x:row r="41" ht="30" customHeight="1">
      <x:c r="A41" s="25" t="str">
        <x:v>Language state: RU</x:v>
      </x:c>
      <x:c r="B41" s="25" t="n">
        <x:f>COUNTIFS('Evaluation Plan'!J2:J151,"Language robustness",'Evaluation Plan'!L2:L151,"RU")</x:f>
        <x:v>5</x:v>
      </x:c>
      <x:c r="C41" s="25" t="n">
        <x:v>5</x:v>
      </x:c>
      <x:c r="D41" s="25" t="str">
        <x:f>IF(B41=C41,"PASS","FAIL")</x:f>
        <x:v>PASS</x:v>
      </x:c>
      <x:c r="E41" s="25" t="str">
        <x:v>Balanced across queried states.</x:v>
      </x:c>
    </x:row>
    <x:row r="42" ht="30" customHeight="1">
      <x:c r="A42" s="25" t="str">
        <x:v>Novel black-cup total</x:v>
      </x:c>
      <x:c r="B42" s="25" t="n">
        <x:f>COUNTIF('Evaluation Plan'!J2:J151,"Novel-object state reasoning")</x:f>
        <x:v>20</x:v>
      </x:c>
      <x:c r="C42" s="25" t="n">
        <x:v>20</x:v>
      </x:c>
      <x:c r="D42" s="25" t="str">
        <x:f>IF(B42=C42,"PASS","FAIL")</x:f>
        <x:v>PASS</x:v>
      </x:c>
      <x:c r="E42" s="25" t="str">
        <x:v>Separate diagnostic.</x:v>
      </x:c>
    </x:row>
    <x:row r="43" ht="30" customHeight="1">
      <x:c r="A43" s="25" t="str">
        <x:v>Black-cup state: C</x:v>
      </x:c>
      <x:c r="B43" s="25" t="n">
        <x:f>COUNTIFS('Evaluation Plan'!J2:J151,"Novel-object state reasoning",'Evaluation Plan'!L2:L151,"C")</x:f>
        <x:v>5</x:v>
      </x:c>
      <x:c r="C43" s="25" t="n">
        <x:v>5</x:v>
      </x:c>
      <x:c r="D43" s="25" t="str">
        <x:f>IF(B43=C43,"PASS","FAIL")</x:f>
        <x:v>PASS</x:v>
      </x:c>
      <x:c r="E43" s="25" t="str">
        <x:v>Five per state.</x:v>
      </x:c>
    </x:row>
    <x:row r="44" ht="30" customHeight="1">
      <x:c r="A44" s="25" t="str">
        <x:v>Black-cup state: O</x:v>
      </x:c>
      <x:c r="B44" s="25" t="n">
        <x:f>COUNTIFS('Evaluation Plan'!J2:J151,"Novel-object state reasoning",'Evaluation Plan'!L2:L151,"O")</x:f>
        <x:v>5</x:v>
      </x:c>
      <x:c r="C44" s="25" t="n">
        <x:v>5</x:v>
      </x:c>
      <x:c r="D44" s="25" t="str">
        <x:f>IF(B44=C44,"PASS","FAIL")</x:f>
        <x:v>PASS</x:v>
      </x:c>
      <x:c r="E44" s="25" t="str">
        <x:v>Five per state.</x:v>
      </x:c>
    </x:row>
    <x:row r="45" ht="30" customHeight="1">
      <x:c r="A45" s="25" t="str">
        <x:v>Black-cup state: UD</x:v>
      </x:c>
      <x:c r="B45" s="25" t="n">
        <x:f>COUNTIFS('Evaluation Plan'!J2:J151,"Novel-object state reasoning",'Evaluation Plan'!L2:L151,"UD")</x:f>
        <x:v>5</x:v>
      </x:c>
      <x:c r="C45" s="25" t="n">
        <x:v>5</x:v>
      </x:c>
      <x:c r="D45" s="25" t="str">
        <x:f>IF(B45=C45,"PASS","FAIL")</x:f>
        <x:v>PASS</x:v>
      </x:c>
      <x:c r="E45" s="25" t="str">
        <x:v>Five per state.</x:v>
      </x:c>
    </x:row>
    <x:row r="46" ht="30" customHeight="1">
      <x:c r="A46" s="25" t="str">
        <x:v>Black-cup state: RU</x:v>
      </x:c>
      <x:c r="B46" s="25" t="n">
        <x:f>COUNTIFS('Evaluation Plan'!J2:J151,"Novel-object state reasoning",'Evaluation Plan'!L2:L151,"RU")</x:f>
        <x:v>5</x:v>
      </x:c>
      <x:c r="C46" s="25" t="n">
        <x:v>5</x:v>
      </x:c>
      <x:c r="D46" s="25" t="str">
        <x:f>IF(B46=C46,"PASS","FAIL")</x:f>
        <x:v>PASS</x:v>
      </x:c>
      <x:c r="E46" s="25" t="str">
        <x:v>Five per state.</x:v>
      </x:c>
    </x:row>
    <x:row r="47" ht="30" customHeight="1">
      <x:c r="A47" s="25" t="str">
        <x:v>Black-cup object count 2</x:v>
      </x:c>
      <x:c r="B47" s="25" t="n">
        <x:f>COUNTIFS('Evaluation Plan'!J2:J151,"Novel-object state reasoning",'Evaluation Plan'!N2:N151,2)</x:f>
        <x:v>7</x:v>
      </x:c>
      <x:c r="C47" s="25" t="n">
        <x:v>7</x:v>
      </x:c>
      <x:c r="D47" s="25" t="str">
        <x:f>IF(B47=C47,"PASS","FAIL")</x:f>
        <x:v>PASS</x:v>
      </x:c>
      <x:c r="E47" s="25" t="str">
        <x:v>Varied distractor count.</x:v>
      </x:c>
    </x:row>
    <x:row r="48" ht="30" customHeight="1">
      <x:c r="A48" s="25" t="str">
        <x:v>Black-cup object count 3</x:v>
      </x:c>
      <x:c r="B48" s="25" t="n">
        <x:f>COUNTIFS('Evaluation Plan'!J2:J151,"Novel-object state reasoning",'Evaluation Plan'!N2:N151,3)</x:f>
        <x:v>7</x:v>
      </x:c>
      <x:c r="C48" s="25" t="n">
        <x:v>7</x:v>
      </x:c>
      <x:c r="D48" s="25" t="str">
        <x:f>IF(B48=C48,"PASS","FAIL")</x:f>
        <x:v>PASS</x:v>
      </x:c>
      <x:c r="E48" s="25" t="str">
        <x:v>Varied distractor count.</x:v>
      </x:c>
    </x:row>
    <x:row r="49" ht="30" customHeight="1">
      <x:c r="A49" s="25" t="str">
        <x:v>Black-cup object count 4</x:v>
      </x:c>
      <x:c r="B49" s="25" t="n">
        <x:f>COUNTIFS('Evaluation Plan'!J2:J151,"Novel-object state reasoning",'Evaluation Plan'!N2:N151,4)</x:f>
        <x:v>6</x:v>
      </x:c>
      <x:c r="C49" s="25" t="n">
        <x:v>6</x:v>
      </x:c>
      <x:c r="D49" s="25" t="str">
        <x:f>IF(B49=C49,"PASS","FAIL")</x:f>
        <x:v>PASS</x:v>
      </x:c>
      <x:c r="E49" s="25" t="str">
        <x:v>Varied distractor count.</x:v>
      </x:c>
    </x:row>
    <x:row r="50" ht="30" customHeight="1">
      <x:c r="A50" s="25" t="str">
        <x:v>No-valid-target total</x:v>
      </x:c>
      <x:c r="B50" s="25" t="n">
        <x:f>COUNTIF('Evaluation Plan'!J2:J151,"No valid target / no movement")</x:f>
        <x:v>20</x:v>
      </x:c>
      <x:c r="C50" s="25" t="n">
        <x:v>20</x:v>
      </x:c>
      <x:c r="D50" s="25" t="str">
        <x:f>IF(B50=C50,"PASS","FAIL")</x:f>
        <x:v>PASS</x:v>
      </x:c>
      <x:c r="E50" s="25" t="str">
        <x:v>No satisfying state present.</x:v>
      </x:c>
    </x:row>
    <x:row r="51" ht="30" customHeight="1">
      <x:c r="A51" s="25" t="str">
        <x:v>No-valid-target category: white cup</x:v>
      </x:c>
      <x:c r="B51" s="25" t="n">
        <x:f>COUNTIFS('Evaluation Plan'!J2:J151,"No valid target / no movement",'Evaluation Plan'!M2:M151,"white cup")</x:f>
        <x:v>5</x:v>
      </x:c>
      <x:c r="C51" s="25" t="n">
        <x:v>5</x:v>
      </x:c>
      <x:c r="D51" s="25" t="str">
        <x:f>IF(B51=C51,"PASS","FAIL")</x:f>
        <x:v>PASS</x:v>
      </x:c>
      <x:c r="E51" s="25" t="str">
        <x:v>Five per trained category.</x:v>
      </x:c>
    </x:row>
    <x:row r="52" ht="30" customHeight="1">
      <x:c r="A52" s="25" t="str">
        <x:v>No-valid-target category: yellow-white striped cup</x:v>
      </x:c>
      <x:c r="B52" s="25" t="n">
        <x:f>COUNTIFS('Evaluation Plan'!J2:J151,"No valid target / no movement",'Evaluation Plan'!M2:M151,"yellow-white striped cup")</x:f>
        <x:v>5</x:v>
      </x:c>
      <x:c r="C52" s="25" t="n">
        <x:v>5</x:v>
      </x:c>
      <x:c r="D52" s="25" t="str">
        <x:f>IF(B52=C52,"PASS","FAIL")</x:f>
        <x:v>PASS</x:v>
      </x:c>
      <x:c r="E52" s="25" t="str">
        <x:v>Five per trained category.</x:v>
      </x:c>
    </x:row>
    <x:row r="53" ht="30" customHeight="1">
      <x:c r="A53" s="25" t="str">
        <x:v>No-valid-target category: brown cup</x:v>
      </x:c>
      <x:c r="B53" s="25" t="n">
        <x:f>COUNTIFS('Evaluation Plan'!J2:J151,"No valid target / no movement",'Evaluation Plan'!M2:M151,"brown cup")</x:f>
        <x:v>5</x:v>
      </x:c>
      <x:c r="C53" s="25" t="n">
        <x:v>5</x:v>
      </x:c>
      <x:c r="D53" s="25" t="str">
        <x:f>IF(B53=C53,"PASS","FAIL")</x:f>
        <x:v>PASS</x:v>
      </x:c>
      <x:c r="E53" s="25" t="str">
        <x:v>Five per trained category.</x:v>
      </x:c>
    </x:row>
    <x:row r="54" ht="30" customHeight="1">
      <x:c r="A54" s="25" t="str">
        <x:v>No-valid-target category: glass spice container</x:v>
      </x:c>
      <x:c r="B54" s="25" t="n">
        <x:f>COUNTIFS('Evaluation Plan'!J2:J151,"No valid target / no movement",'Evaluation Plan'!M2:M151,"glass spice container")</x:f>
        <x:v>5</x:v>
      </x:c>
      <x:c r="C54" s="25" t="n">
        <x:v>5</x:v>
      </x:c>
      <x:c r="D54" s="25" t="str">
        <x:f>IF(B54=C54,"PASS","FAIL")</x:f>
        <x:v>PASS</x:v>
      </x:c>
      <x:c r="E54" s="25" t="str">
        <x:v>Five per trained category.</x:v>
      </x:c>
    </x:row>
    <x:row r="55" ht="30" customHeight="1">
      <x:c r="A55" s="25" t="str">
        <x:v>No-valid-target state: C</x:v>
      </x:c>
      <x:c r="B55" s="25" t="n">
        <x:f>COUNTIFS('Evaluation Plan'!J2:J151,"No valid target / no movement",'Evaluation Plan'!L2:L151,"C")</x:f>
        <x:v>5</x:v>
      </x:c>
      <x:c r="C55" s="25" t="n">
        <x:v>5</x:v>
      </x:c>
      <x:c r="D55" s="25" t="str">
        <x:f>IF(B55=C55,"PASS","FAIL")</x:f>
        <x:v>PASS</x:v>
      </x:c>
      <x:c r="E55" s="25" t="str">
        <x:v>Five per queried state.</x:v>
      </x:c>
    </x:row>
    <x:row r="56" ht="30" customHeight="1">
      <x:c r="A56" s="25" t="str">
        <x:v>No-valid-target state: O</x:v>
      </x:c>
      <x:c r="B56" s="25" t="n">
        <x:f>COUNTIFS('Evaluation Plan'!J2:J151,"No valid target / no movement",'Evaluation Plan'!L2:L151,"O")</x:f>
        <x:v>5</x:v>
      </x:c>
      <x:c r="C56" s="25" t="n">
        <x:v>5</x:v>
      </x:c>
      <x:c r="D56" s="25" t="str">
        <x:f>IF(B56=C56,"PASS","FAIL")</x:f>
        <x:v>PASS</x:v>
      </x:c>
      <x:c r="E56" s="25" t="str">
        <x:v>Five per queried state.</x:v>
      </x:c>
    </x:row>
    <x:row r="57" ht="30" customHeight="1">
      <x:c r="A57" s="25" t="str">
        <x:v>No-valid-target state: UD</x:v>
      </x:c>
      <x:c r="B57" s="25" t="n">
        <x:f>COUNTIFS('Evaluation Plan'!J2:J151,"No valid target / no movement",'Evaluation Plan'!L2:L151,"UD")</x:f>
        <x:v>5</x:v>
      </x:c>
      <x:c r="C57" s="25" t="n">
        <x:v>5</x:v>
      </x:c>
      <x:c r="D57" s="25" t="str">
        <x:f>IF(B57=C57,"PASS","FAIL")</x:f>
        <x:v>PASS</x:v>
      </x:c>
      <x:c r="E57" s="25" t="str">
        <x:v>Five per queried state.</x:v>
      </x:c>
    </x:row>
    <x:row r="58" ht="30" customHeight="1">
      <x:c r="A58" s="25" t="str">
        <x:v>No-valid-target state: RU</x:v>
      </x:c>
      <x:c r="B58" s="25" t="n">
        <x:f>COUNTIFS('Evaluation Plan'!J2:J151,"No valid target / no movement",'Evaluation Plan'!L2:L151,"RU")</x:f>
        <x:v>5</x:v>
      </x:c>
      <x:c r="C58" s="25" t="n">
        <x:v>5</x:v>
      </x:c>
      <x:c r="D58" s="25" t="str">
        <x:f>IF(B58=C58,"PASS","FAIL")</x:f>
        <x:v>PASS</x:v>
      </x:c>
      <x:c r="E58" s="25" t="str">
        <x:v>Five per queried state.</x:v>
      </x:c>
    </x:row>
    <x:row r="59" ht="30" customHeight="1">
      <x:c r="A59" s="25" t="str">
        <x:v>No valid target: zero candidates</x:v>
      </x:c>
      <x:c r="B59" s="25" t="n">
        <x:f>COUNTIFS('Evaluation Plan'!J2:J151,"No valid target / no movement",'Evaluation Plan'!O2:O151,0)</x:f>
        <x:v>20</x:v>
      </x:c>
      <x:c r="C59" s="25" t="n">
        <x:v>20</x:v>
      </x:c>
      <x:c r="D59" s="25" t="str">
        <x:f>IF(B59=C59,"PASS","FAIL")</x:f>
        <x:v>PASS</x:v>
      </x:c>
      <x:c r="E59" s="25" t="str">
        <x:v>Builder also verifies that no object anywhere has the queried state.</x:v>
      </x:c>
    </x:row>
    <x:row r="60" ht="30" customHeight="1">
      <x:c r="A60" s="25" t="str">
        <x:v>No valid target: empty bowl</x:v>
      </x:c>
      <x:c r="B60" s="25" t="n">
        <x:f>COUNTIFS('Evaluation Plan'!J2:J151,"No valid target / no movement",'Evaluation Plan'!P2:P151,"Empty")</x:f>
        <x:v>20</x:v>
      </x:c>
      <x:c r="C60" s="25" t="n">
        <x:v>20</x:v>
      </x:c>
      <x:c r="D60" s="25" t="str">
        <x:f>IF(B60=C60,"PASS","FAIL")</x:f>
        <x:v>PASS</x:v>
      </x:c>
      <x:c r="E60" s="25" t="str">
        <x:v>All no-valid-target episodes start empty.</x:v>
      </x:c>
    </x:row>
    <x:row r="61" ht="30" customHeight="1">
      <x:c r="A61" s="25" t="str">
        <x:v>No-valid-target object count 2</x:v>
      </x:c>
      <x:c r="B61" s="25" t="n">
        <x:f>COUNTIFS('Evaluation Plan'!J2:J151,"No valid target / no movement",'Evaluation Plan'!N2:N151,2)</x:f>
        <x:v>7</x:v>
      </x:c>
      <x:c r="C61" s="25" t="n">
        <x:v>7</x:v>
      </x:c>
      <x:c r="D61" s="25" t="str">
        <x:f>IF(B61=C61,"PASS","FAIL")</x:f>
        <x:v>PASS</x:v>
      </x:c>
      <x:c r="E61" s="25" t="str">
        <x:v>Varied distractor count.</x:v>
      </x:c>
    </x:row>
    <x:row r="62" ht="30" customHeight="1">
      <x:c r="A62" s="25" t="str">
        <x:v>No-valid-target object count 3</x:v>
      </x:c>
      <x:c r="B62" s="25" t="n">
        <x:f>COUNTIFS('Evaluation Plan'!J2:J151,"No valid target / no movement",'Evaluation Plan'!N2:N151,3)</x:f>
        <x:v>7</x:v>
      </x:c>
      <x:c r="C62" s="25" t="n">
        <x:v>7</x:v>
      </x:c>
      <x:c r="D62" s="25" t="str">
        <x:f>IF(B62=C62,"PASS","FAIL")</x:f>
        <x:v>PASS</x:v>
      </x:c>
      <x:c r="E62" s="25" t="str">
        <x:v>Varied distractor count.</x:v>
      </x:c>
    </x:row>
    <x:row r="63" ht="30" customHeight="1">
      <x:c r="A63" s="25" t="str">
        <x:v>No-valid-target object count 4</x:v>
      </x:c>
      <x:c r="B63" s="25" t="n">
        <x:f>COUNTIFS('Evaluation Plan'!J2:J151,"No valid target / no movement",'Evaluation Plan'!N2:N151,4)</x:f>
        <x:v>6</x:v>
      </x:c>
      <x:c r="C63" s="25" t="n">
        <x:v>6</x:v>
      </x:c>
      <x:c r="D63" s="25" t="str">
        <x:f>IF(B63=C63,"PASS","FAIL")</x:f>
        <x:v>PASS</x:v>
      </x:c>
      <x:c r="E63" s="25" t="str">
        <x:v>Varied distractor count.</x:v>
      </x:c>
    </x:row>
    <x:row r="64" ht="30" customHeight="1">
      <x:c r="A64" s="25" t="str">
        <x:v>Active rows with one valid candidate</x:v>
      </x:c>
      <x:c r="B64" s="25" t="n">
        <x:f>COUNTIFS('Evaluation Plan'!J2:J151,"&lt;&gt;No valid target / no movement",'Evaluation Plan'!O2:O151,1)</x:f>
        <x:v>130</x:v>
      </x:c>
      <x:c r="C64" s="25" t="n">
        <x:v>130</x:v>
      </x:c>
      <x:c r="D64" s="25" t="str">
        <x:f>IF(B64=C64,"PASS","FAIL")</x:f>
        <x:v>PASS</x:v>
      </x:c>
      <x:c r="E64" s="25" t="str">
        <x:v>All active rows have exactly one valid target.</x:v>
      </x:c>
    </x:row>
  </x:sheetData>
  <x:conditionalFormatting sqref="D2:D32">
    <x:cfRule type="containsText" dxfId="7" priority="1" operator="containsText" text="PASS"/>
    <x:cfRule type="containsText" dxfId="8" priority="2" operator="containsText" text="CHECK"/>
  </x:conditionalFormatting>
  <x:conditionalFormatting sqref="D2:D64">
    <x:cfRule type="containsText" dxfId="27" priority="3" operator="containsText" text="PASS"/>
    <x:cfRule type="containsText" dxfId="28" priority="4" operator="containsText" text="FAIL"/>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0" hidden="0" customWidth="1"/>
    <x:col min="4" max="4" width="48.88999938964844" hidden="0" customWidth="1"/>
    <x:col min="5" max="5" width="9.4399995803833" hidden="0" customWidth="1"/>
    <x:col min="6" max="6" width="12.779999732971191" hidden="0" customWidth="1"/>
    <x:col min="7" max="7" width="40" hidden="0" customWidth="1"/>
    <x:col min="8" max="8" width="25.559999465942383" hidden="0" customWidth="1"/>
    <x:col min="9" max="9" width="28.889999389648438" hidden="0" customWidth="1"/>
    <x:col min="10" max="10" width="23.889999389648438" hidden="0" customWidth="1"/>
    <x:col min="11" max="11" width="10.5600004196167" hidden="0" customWidth="1"/>
    <x:col min="12" max="12" width="8.890000343322754" hidden="0" customWidth="1"/>
    <x:col min="13" max="13" width="20" hidden="0" customWidth="1"/>
    <x:col min="14" max="14" width="8.329999923706055" hidden="0" customWidth="1"/>
    <x:col min="15" max="15" width="10" hidden="0" customWidth="1"/>
    <x:col min="16" max="16" width="8.890000343322754" hidden="0" customWidth="1"/>
    <x:col min="17" max="17" width="30.559999465942383" hidden="0" customWidth="1"/>
    <x:col min="18" max="18" width="9.4399995803833" hidden="0" customWidth="1"/>
    <x:col min="19" max="19" width="27.780000686645508" hidden="0" customWidth="1"/>
    <x:col min="20" max="20" width="36.66999816894531" hidden="0" customWidth="1"/>
    <x:col min="21" max="21" width="20.559999465942383" hidden="0" customWidth="1"/>
  </x:cols>
  <x:sheetData>
    <x:row r="1" ht="30" customHeight="1">
      <x:c r="A1" s="30" t="str">
        <x:v>Status</x:v>
      </x:c>
      <x:c r="B1" s="30" t="str">
        <x:v>Episode</x:v>
      </x:c>
      <x:c r="C1" s="30" t="str">
        <x:v>Prompt</x:v>
      </x:c>
      <x:c r="D1" s="30" t="str">
        <x:v>Objects and States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Queried State</x:v>
      </x:c>
      <x:c r="M1" s="30" t="str">
        <x:v>Queried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0" t="str">
        <x:v>Not collected</x:v>
      </x:c>
      <x:c r="B2" s="41" t="n">
        <x:f>'Evaluation Plan'!B2</x:f>
        <x:v>0</x:v>
      </x:c>
      <x:c r="C2" s="40" t="str">
        <x:f>'Evaluation Plan'!C2</x:f>
        <x:v>Put the open white cup in the bowl.</x:v>
      </x:c>
      <x:c r="D2" s="40" t="str">
        <x:f>'Evaluation Plan'!D2</x:f>
        <x:v>white cup A (O, RU); white cup B (C, RU); glass spice container A (O, RU); yellow-white striped cup B (O, RU)</x:v>
      </x:c>
      <x:c r="E2" s="41" t="str">
        <x:f>'Evaluation Plan'!E2</x:f>
      </x:c>
      <x:c r="F2" s="41" t="str">
        <x:f>'Evaluation Plan'!F2</x:f>
        <x:v>2</x:v>
      </x:c>
      <x:c r="G2" s="40" t="str">
        <x:f>'Evaluation Plan'!G2</x:f>
        <x:v>Exact manifest episode: trained state-object cell, prompt, same-category candidate structure, and object membership match; physical layout is manually recreated.</x:v>
      </x:c>
      <x:c r="H2" s="40" t="str">
        <x:f>'Evaluation Plan'!H2</x:f>
        <x:v>white cup A</x:v>
      </x:c>
      <x:c r="I2" s="40" t="str"/>
      <x:c r="J2" s="42" t="str">
        <x:f>'Evaluation Plan'!J2</x:f>
        <x:v>In-distribution concept baseline</x:v>
      </x:c>
      <x:c r="K2" s="41" t="str">
        <x:f>'Evaluation Plan'!K2</x:f>
        <x:v>SR-ID01</x:v>
      </x:c>
      <x:c r="L2" s="41" t="str">
        <x:f>'Evaluation Plan'!L2</x:f>
        <x:v>O</x:v>
      </x:c>
      <x:c r="M2" s="41" t="str">
        <x:f>'Evaluation Plan'!M2</x:f>
        <x:v>white cup</x:v>
      </x:c>
      <x:c r="N2" s="41" t="n">
        <x:f>'Evaluation Plan'!N2</x:f>
        <x:v>4</x:v>
      </x:c>
      <x:c r="O2" s="41" t="n">
        <x:f>'Evaluation Plan'!O2</x:f>
        <x:v>1</x:v>
      </x:c>
      <x:c r="P2" s="41" t="str">
        <x:f>'Evaluation Plan'!P2</x:f>
        <x:v>Empty</x:v>
      </x:c>
      <x:c r="Q2" s="40" t="str">
        <x:f>'Evaluation Plan'!Q2</x:f>
        <x:v>Exact training-supported state-object baseline</x:v>
      </x:c>
      <x:c r="R2" s="41" t="n">
        <x:f>'Evaluation Plan'!R2</x:f>
        <x:v>1</x:v>
      </x:c>
      <x:c r="S2" s="40" t="str">
        <x:f>'Evaluation Plan'!S2</x:f>
        <x:v>Recreate the listed manifest scene with the bowl empty.</x:v>
      </x:c>
      <x:c r="T2" s="40" t="str">
        <x:f>'Evaluation Plan'!T2</x:f>
        <x:v>The queried state-object combination and same-category discrimination structure are explicitly represented in training.</x:v>
      </x:c>
      <x:c r="U2" s="40" t="n">
        <x:f>'Evaluation Plan'!U2</x:f>
        <x:v>0</x:v>
      </x:c>
    </x:row>
    <x:row r="3" ht="51" customHeight="1">
      <x:c r="A3" s="43" t="str">
        <x:v>Not collected</x:v>
      </x:c>
      <x:c r="B3" s="44" t="n">
        <x:f>'Evaluation Plan'!B3</x:f>
        <x:v>1</x:v>
      </x:c>
      <x:c r="C3" s="43" t="str">
        <x:f>'Evaluation Plan'!C3</x:f>
        <x:v>Put the upright white cup in the bowl.</x:v>
      </x:c>
      <x:c r="D3" s="43" t="str">
        <x:f>'Evaluation Plan'!D3</x:f>
        <x:v>white cup A (O, RU); white cup B (O, UD)</x:v>
      </x:c>
      <x:c r="E3" s="44" t="str">
        <x:f>'Evaluation Plan'!E3</x:f>
      </x:c>
      <x:c r="F3" s="44" t="str">
        <x:f>'Evaluation Plan'!F3</x:f>
        <x:v>26</x:v>
      </x:c>
      <x:c r="G3" s="43" t="str">
        <x:f>'Evaluation Plan'!G3</x:f>
        <x:v>Exact manifest episode: trained state-object cell, prompt, same-category candidate structure, and object membership match; physical layout is manually recreated.</x:v>
      </x:c>
      <x:c r="H3" s="43" t="str">
        <x:f>'Evaluation Plan'!H3</x:f>
        <x:v>white cup A</x:v>
      </x:c>
      <x:c r="I3" s="43" t="str"/>
      <x:c r="J3" s="42" t="str">
        <x:f>'Evaluation Plan'!J3</x:f>
        <x:v>In-distribution concept baseline</x:v>
      </x:c>
      <x:c r="K3" s="44" t="str">
        <x:f>'Evaluation Plan'!K3</x:f>
        <x:v>SR-ID02</x:v>
      </x:c>
      <x:c r="L3" s="44" t="str">
        <x:f>'Evaluation Plan'!L3</x:f>
        <x:v>RU</x:v>
      </x:c>
      <x:c r="M3" s="44" t="str">
        <x:f>'Evaluation Plan'!M3</x:f>
        <x:v>white cup</x:v>
      </x:c>
      <x:c r="N3" s="44" t="n">
        <x:f>'Evaluation Plan'!N3</x:f>
        <x:v>2</x:v>
      </x:c>
      <x:c r="O3" s="44" t="n">
        <x:f>'Evaluation Plan'!O3</x:f>
        <x:v>1</x:v>
      </x:c>
      <x:c r="P3" s="44" t="str">
        <x:f>'Evaluation Plan'!P3</x:f>
        <x:v>Empty</x:v>
      </x:c>
      <x:c r="Q3" s="43" t="str">
        <x:f>'Evaluation Plan'!Q3</x:f>
        <x:v>Exact training-supported state-object baseline</x:v>
      </x:c>
      <x:c r="R3" s="44" t="n">
        <x:f>'Evaluation Plan'!R3</x:f>
        <x:v>1</x:v>
      </x:c>
      <x:c r="S3" s="43" t="str">
        <x:f>'Evaluation Plan'!S3</x:f>
        <x:v>Recreate the listed manifest scene with the bowl empty.</x:v>
      </x:c>
      <x:c r="T3" s="43" t="str">
        <x:f>'Evaluation Plan'!T3</x:f>
        <x:v>The queried state-object combination and same-category discrimination structure are explicitly represented in training.</x:v>
      </x:c>
      <x:c r="U3" s="43" t="n">
        <x:f>'Evaluation Plan'!U3</x:f>
        <x:v>0</x:v>
      </x:c>
    </x:row>
    <x:row r="4" ht="51" customHeight="1">
      <x:c r="A4" s="40" t="str">
        <x:v>Not collected</x:v>
      </x:c>
      <x:c r="B4" s="41" t="n">
        <x:f>'Evaluation Plan'!B4</x:f>
        <x:v>2</x:v>
      </x:c>
      <x:c r="C4" s="40" t="str">
        <x:f>'Evaluation Plan'!C4</x:f>
        <x:v>Move the closed yellow-white striped cup into the bowl.</x:v>
      </x:c>
      <x:c r="D4" s="40" t="str">
        <x:f>'Evaluation Plan'!D4</x:f>
        <x:v>yellow-white striped cup B (C, RU); yellow-white striped cup A (O, RU); white cup A (C, RU)</x:v>
      </x:c>
      <x:c r="E4" s="41" t="str">
        <x:f>'Evaluation Plan'!E4</x:f>
      </x:c>
      <x:c r="F4" s="41" t="str">
        <x:f>'Evaluation Plan'!F4</x:f>
        <x:v>51</x:v>
      </x:c>
      <x:c r="G4" s="40" t="str">
        <x:f>'Evaluation Plan'!G4</x:f>
        <x:v>Exact manifest episode: trained state-object cell, prompt, same-category candidate structure, and object membership match; physical layout is manually recreated.</x:v>
      </x:c>
      <x:c r="H4" s="40" t="str">
        <x:f>'Evaluation Plan'!H4</x:f>
        <x:v>yellow-white striped cup B</x:v>
      </x:c>
      <x:c r="I4" s="40" t="str"/>
      <x:c r="J4" s="42" t="str">
        <x:f>'Evaluation Plan'!J4</x:f>
        <x:v>In-distribution concept baseline</x:v>
      </x:c>
      <x:c r="K4" s="41" t="str">
        <x:f>'Evaluation Plan'!K4</x:f>
        <x:v>SR-ID03</x:v>
      </x:c>
      <x:c r="L4" s="41" t="str">
        <x:f>'Evaluation Plan'!L4</x:f>
        <x:v>C</x:v>
      </x:c>
      <x:c r="M4" s="41" t="str">
        <x:f>'Evaluation Plan'!M4</x:f>
        <x:v>yellow-white striped cup</x:v>
      </x:c>
      <x:c r="N4" s="41" t="n">
        <x:f>'Evaluation Plan'!N4</x:f>
        <x:v>3</x:v>
      </x:c>
      <x:c r="O4" s="41" t="n">
        <x:f>'Evaluation Plan'!O4</x:f>
        <x:v>1</x:v>
      </x:c>
      <x:c r="P4" s="41" t="str">
        <x:f>'Evaluation Plan'!P4</x:f>
        <x:v>Empty</x:v>
      </x:c>
      <x:c r="Q4" s="40" t="str">
        <x:f>'Evaluation Plan'!Q4</x:f>
        <x:v>Exact training-supported state-object baseline</x:v>
      </x:c>
      <x:c r="R4" s="41" t="n">
        <x:f>'Evaluation Plan'!R4</x:f>
        <x:v>1</x:v>
      </x:c>
      <x:c r="S4" s="40" t="str">
        <x:f>'Evaluation Plan'!S4</x:f>
        <x:v>Recreate the listed manifest scene with the bowl empty.</x:v>
      </x:c>
      <x:c r="T4" s="40" t="str">
        <x:f>'Evaluation Plan'!T4</x:f>
        <x:v>The queried state-object combination and same-category discrimination structure are explicitly represented in training.</x:v>
      </x:c>
      <x:c r="U4" s="40" t="n">
        <x:f>'Evaluation Plan'!U4</x:f>
        <x:v>0</x:v>
      </x:c>
    </x:row>
    <x:row r="5" ht="51" customHeight="1">
      <x:c r="A5" s="43" t="str">
        <x:v>Not collected</x:v>
      </x:c>
      <x:c r="B5" s="44" t="n">
        <x:f>'Evaluation Plan'!B5</x:f>
        <x:v>3</x:v>
      </x:c>
      <x:c r="C5" s="43" t="str">
        <x:f>'Evaluation Plan'!C5</x:f>
        <x:v>Move the upside-down yellow-white striped cup into the bowl.</x:v>
      </x:c>
      <x:c r="D5" s="43" t="str">
        <x:f>'Evaluation Plan'!D5</x:f>
        <x:v>yellow-white striped cup B (O, UD); yellow-white striped cup A (O, RU); brown cup B (C, RU); glass spice container A (O, RU)</x:v>
      </x:c>
      <x:c r="E5" s="44" t="str">
        <x:f>'Evaluation Plan'!E5</x:f>
      </x:c>
      <x:c r="F5" s="44" t="str">
        <x:f>'Evaluation Plan'!F5</x:f>
        <x:v>78</x:v>
      </x:c>
      <x:c r="G5" s="43" t="str">
        <x:f>'Evaluation Plan'!G5</x:f>
        <x:v>Exact manifest episode: trained state-object cell, prompt, same-category candidate structure, and object membership match; physical layout is manually recreated.</x:v>
      </x:c>
      <x:c r="H5" s="43" t="str">
        <x:f>'Evaluation Plan'!H5</x:f>
        <x:v>yellow-white striped cup B</x:v>
      </x:c>
      <x:c r="I5" s="43" t="str"/>
      <x:c r="J5" s="42" t="str">
        <x:f>'Evaluation Plan'!J5</x:f>
        <x:v>In-distribution concept baseline</x:v>
      </x:c>
      <x:c r="K5" s="44" t="str">
        <x:f>'Evaluation Plan'!K5</x:f>
        <x:v>SR-ID04</x:v>
      </x:c>
      <x:c r="L5" s="44" t="str">
        <x:f>'Evaluation Plan'!L5</x:f>
        <x:v>UD</x:v>
      </x:c>
      <x:c r="M5" s="44" t="str">
        <x:f>'Evaluation Plan'!M5</x:f>
        <x:v>yellow-white striped cup</x:v>
      </x:c>
      <x:c r="N5" s="44" t="n">
        <x:f>'Evaluation Plan'!N5</x:f>
        <x:v>4</x:v>
      </x:c>
      <x:c r="O5" s="44" t="n">
        <x:f>'Evaluation Plan'!O5</x:f>
        <x:v>1</x:v>
      </x:c>
      <x:c r="P5" s="44" t="str">
        <x:f>'Evaluation Plan'!P5</x:f>
        <x:v>Empty</x:v>
      </x:c>
      <x:c r="Q5" s="43" t="str">
        <x:f>'Evaluation Plan'!Q5</x:f>
        <x:v>Exact training-supported state-object baseline</x:v>
      </x:c>
      <x:c r="R5" s="44" t="n">
        <x:f>'Evaluation Plan'!R5</x:f>
        <x:v>1</x:v>
      </x:c>
      <x:c r="S5" s="43" t="str">
        <x:f>'Evaluation Plan'!S5</x:f>
        <x:v>Recreate the listed manifest scene with the bowl empty.</x:v>
      </x:c>
      <x:c r="T5" s="43" t="str">
        <x:f>'Evaluation Plan'!T5</x:f>
        <x:v>The queried state-object combination and same-category discrimination structure are explicitly represented in training.</x:v>
      </x:c>
      <x:c r="U5" s="43" t="n">
        <x:f>'Evaluation Plan'!U5</x:f>
        <x:v>0</x:v>
      </x:c>
    </x:row>
    <x:row r="6" ht="51" customHeight="1">
      <x:c r="A6" s="40" t="str">
        <x:v>Not collected</x:v>
      </x:c>
      <x:c r="B6" s="41" t="n">
        <x:f>'Evaluation Plan'!B6</x:f>
        <x:v>4</x:v>
      </x:c>
      <x:c r="C6" s="40" t="str">
        <x:f>'Evaluation Plan'!C6</x:f>
        <x:v>Put the open brown cup in the bowl.</x:v>
      </x:c>
      <x:c r="D6" s="40" t="str">
        <x:f>'Evaluation Plan'!D6</x:f>
        <x:v>brown cup B (O, RU); brown cup A (C, RU); glass spice container A (O, RU)</x:v>
      </x:c>
      <x:c r="E6" s="41" t="str">
        <x:f>'Evaluation Plan'!E6</x:f>
      </x:c>
      <x:c r="F6" s="41" t="str">
        <x:f>'Evaluation Plan'!F6</x:f>
        <x:v>104</x:v>
      </x:c>
      <x:c r="G6" s="40" t="str">
        <x:f>'Evaluation Plan'!G6</x:f>
        <x:v>Exact manifest episode: trained state-object cell, prompt, same-category candidate structure, and object membership match; physical layout is manually recreated.</x:v>
      </x:c>
      <x:c r="H6" s="40" t="str">
        <x:f>'Evaluation Plan'!H6</x:f>
        <x:v>brown cup B</x:v>
      </x:c>
      <x:c r="I6" s="40" t="str"/>
      <x:c r="J6" s="42" t="str">
        <x:f>'Evaluation Plan'!J6</x:f>
        <x:v>In-distribution concept baseline</x:v>
      </x:c>
      <x:c r="K6" s="41" t="str">
        <x:f>'Evaluation Plan'!K6</x:f>
        <x:v>SR-ID05</x:v>
      </x:c>
      <x:c r="L6" s="41" t="str">
        <x:f>'Evaluation Plan'!L6</x:f>
        <x:v>O</x:v>
      </x:c>
      <x:c r="M6" s="41" t="str">
        <x:f>'Evaluation Plan'!M6</x:f>
        <x:v>brown cup</x:v>
      </x:c>
      <x:c r="N6" s="41" t="n">
        <x:f>'Evaluation Plan'!N6</x:f>
        <x:v>3</x:v>
      </x:c>
      <x:c r="O6" s="41" t="n">
        <x:f>'Evaluation Plan'!O6</x:f>
        <x:v>1</x:v>
      </x:c>
      <x:c r="P6" s="41" t="str">
        <x:f>'Evaluation Plan'!P6</x:f>
        <x:v>Empty</x:v>
      </x:c>
      <x:c r="Q6" s="40" t="str">
        <x:f>'Evaluation Plan'!Q6</x:f>
        <x:v>Exact training-supported state-object baseline</x:v>
      </x:c>
      <x:c r="R6" s="41" t="n">
        <x:f>'Evaluation Plan'!R6</x:f>
        <x:v>1</x:v>
      </x:c>
      <x:c r="S6" s="40" t="str">
        <x:f>'Evaluation Plan'!S6</x:f>
        <x:v>Recreate the listed manifest scene with the bowl empty.</x:v>
      </x:c>
      <x:c r="T6" s="40" t="str">
        <x:f>'Evaluation Plan'!T6</x:f>
        <x:v>The queried state-object combination and same-category discrimination structure are explicitly represented in training.</x:v>
      </x:c>
      <x:c r="U6" s="40" t="n">
        <x:f>'Evaluation Plan'!U6</x:f>
        <x:v>0</x:v>
      </x:c>
    </x:row>
    <x:row r="7" ht="51" customHeight="1">
      <x:c r="A7" s="43" t="str">
        <x:v>Not collected</x:v>
      </x:c>
      <x:c r="B7" s="44" t="n">
        <x:f>'Evaluation Plan'!B7</x:f>
        <x:v>5</x:v>
      </x:c>
      <x:c r="C7" s="43" t="str">
        <x:f>'Evaluation Plan'!C7</x:f>
        <x:v>Put the upside-down brown cup in the bowl.</x:v>
      </x:c>
      <x:c r="D7" s="43" t="str">
        <x:f>'Evaluation Plan'!D7</x:f>
        <x:v>brown cup A (O, UD); brown cup B (O, RU)</x:v>
      </x:c>
      <x:c r="E7" s="44" t="str">
        <x:f>'Evaluation Plan'!E7</x:f>
      </x:c>
      <x:c r="F7" s="44" t="str">
        <x:f>'Evaluation Plan'!F7</x:f>
        <x:v>125</x:v>
      </x:c>
      <x:c r="G7" s="43" t="str">
        <x:f>'Evaluation Plan'!G7</x:f>
        <x:v>Exact manifest episode: trained state-object cell, prompt, same-category candidate structure, and object membership match; physical layout is manually recreated.</x:v>
      </x:c>
      <x:c r="H7" s="43" t="str">
        <x:f>'Evaluation Plan'!H7</x:f>
        <x:v>brown cup A</x:v>
      </x:c>
      <x:c r="I7" s="43" t="str"/>
      <x:c r="J7" s="42" t="str">
        <x:f>'Evaluation Plan'!J7</x:f>
        <x:v>In-distribution concept baseline</x:v>
      </x:c>
      <x:c r="K7" s="44" t="str">
        <x:f>'Evaluation Plan'!K7</x:f>
        <x:v>SR-ID06</x:v>
      </x:c>
      <x:c r="L7" s="44" t="str">
        <x:f>'Evaluation Plan'!L7</x:f>
        <x:v>UD</x:v>
      </x:c>
      <x:c r="M7" s="44" t="str">
        <x:f>'Evaluation Plan'!M7</x:f>
        <x:v>brown cup</x:v>
      </x:c>
      <x:c r="N7" s="44" t="n">
        <x:f>'Evaluation Plan'!N7</x:f>
        <x:v>2</x:v>
      </x:c>
      <x:c r="O7" s="44" t="n">
        <x:f>'Evaluation Plan'!O7</x:f>
        <x:v>1</x:v>
      </x:c>
      <x:c r="P7" s="44" t="str">
        <x:f>'Evaluation Plan'!P7</x:f>
        <x:v>Empty</x:v>
      </x:c>
      <x:c r="Q7" s="43" t="str">
        <x:f>'Evaluation Plan'!Q7</x:f>
        <x:v>Exact training-supported state-object baseline</x:v>
      </x:c>
      <x:c r="R7" s="44" t="n">
        <x:f>'Evaluation Plan'!R7</x:f>
        <x:v>1</x:v>
      </x:c>
      <x:c r="S7" s="43" t="str">
        <x:f>'Evaluation Plan'!S7</x:f>
        <x:v>Recreate the listed manifest scene with the bowl empty.</x:v>
      </x:c>
      <x:c r="T7" s="43" t="str">
        <x:f>'Evaluation Plan'!T7</x:f>
        <x:v>The queried state-object combination and same-category discrimination structure are explicitly represented in training.</x:v>
      </x:c>
      <x:c r="U7" s="43" t="n">
        <x:f>'Evaluation Plan'!U7</x:f>
        <x:v>0</x:v>
      </x:c>
    </x:row>
    <x:row r="8" ht="51" customHeight="1">
      <x:c r="A8" s="40" t="str">
        <x:v>Not collected</x:v>
      </x:c>
      <x:c r="B8" s="41" t="n">
        <x:f>'Evaluation Plan'!B8</x:f>
        <x:v>6</x:v>
      </x:c>
      <x:c r="C8" s="40" t="str">
        <x:f>'Evaluation Plan'!C8</x:f>
        <x:v>Put the upright brown cup in the bowl.</x:v>
      </x:c>
      <x:c r="D8" s="40" t="str">
        <x:f>'Evaluation Plan'!D8</x:f>
        <x:v>brown cup B (C, RU); brown cup A (C, UD)</x:v>
      </x:c>
      <x:c r="E8" s="41" t="str">
        <x:f>'Evaluation Plan'!E8</x:f>
      </x:c>
      <x:c r="F8" s="41" t="str">
        <x:f>'Evaluation Plan'!F8</x:f>
        <x:v>134</x:v>
      </x:c>
      <x:c r="G8" s="40" t="str">
        <x:f>'Evaluation Plan'!G8</x:f>
        <x:v>Exact manifest episode: trained state-object cell, prompt, same-category candidate structure, and object membership match; physical layout is manually recreated.</x:v>
      </x:c>
      <x:c r="H8" s="40" t="str">
        <x:f>'Evaluation Plan'!H8</x:f>
        <x:v>brown cup B</x:v>
      </x:c>
      <x:c r="I8" s="40" t="str"/>
      <x:c r="J8" s="42" t="str">
        <x:f>'Evaluation Plan'!J8</x:f>
        <x:v>In-distribution concept baseline</x:v>
      </x:c>
      <x:c r="K8" s="41" t="str">
        <x:f>'Evaluation Plan'!K8</x:f>
        <x:v>SR-ID07</x:v>
      </x:c>
      <x:c r="L8" s="41" t="str">
        <x:f>'Evaluation Plan'!L8</x:f>
        <x:v>RU</x:v>
      </x:c>
      <x:c r="M8" s="41" t="str">
        <x:f>'Evaluation Plan'!M8</x:f>
        <x:v>brown cup</x:v>
      </x:c>
      <x:c r="N8" s="41" t="n">
        <x:f>'Evaluation Plan'!N8</x:f>
        <x:v>2</x:v>
      </x:c>
      <x:c r="O8" s="41" t="n">
        <x:f>'Evaluation Plan'!O8</x:f>
        <x:v>1</x:v>
      </x:c>
      <x:c r="P8" s="41" t="str">
        <x:f>'Evaluation Plan'!P8</x:f>
        <x:v>Empty</x:v>
      </x:c>
      <x:c r="Q8" s="40" t="str">
        <x:f>'Evaluation Plan'!Q8</x:f>
        <x:v>Exact training-supported state-object baseline</x:v>
      </x:c>
      <x:c r="R8" s="41" t="n">
        <x:f>'Evaluation Plan'!R8</x:f>
        <x:v>1</x:v>
      </x:c>
      <x:c r="S8" s="40" t="str">
        <x:f>'Evaluation Plan'!S8</x:f>
        <x:v>Recreate the listed manifest scene with the bowl empty.</x:v>
      </x:c>
      <x:c r="T8" s="40" t="str">
        <x:f>'Evaluation Plan'!T8</x:f>
        <x:v>The queried state-object combination and same-category discrimination structure are explicitly represented in training.</x:v>
      </x:c>
      <x:c r="U8" s="40" t="n">
        <x:f>'Evaluation Plan'!U8</x:f>
        <x:v>0</x:v>
      </x:c>
    </x:row>
    <x:row r="9" ht="51" customHeight="1">
      <x:c r="A9" s="43" t="str">
        <x:v>Not collected</x:v>
      </x:c>
      <x:c r="B9" s="44" t="n">
        <x:f>'Evaluation Plan'!B9</x:f>
        <x:v>7</x:v>
      </x:c>
      <x:c r="C9" s="43" t="str">
        <x:f>'Evaluation Plan'!C9</x:f>
        <x:v>Place the closed glass spice container in the bowl.</x:v>
      </x:c>
      <x:c r="D9" s="43" t="str">
        <x:f>'Evaluation Plan'!D9</x:f>
        <x:v>glass spice container A (C, RU); glass spice container B (O, RU); yellow-white striped cup A (C, RU)</x:v>
      </x:c>
      <x:c r="E9" s="44" t="str">
        <x:f>'Evaluation Plan'!E9</x:f>
      </x:c>
      <x:c r="F9" s="44" t="str">
        <x:f>'Evaluation Plan'!F9</x:f>
        <x:v>151</x:v>
      </x:c>
      <x:c r="G9" s="43" t="str">
        <x:f>'Evaluation Plan'!G9</x:f>
        <x:v>Exact manifest episode: trained state-object cell, prompt, same-category candidate structure, and object membership match; physical layout is manually recreated.</x:v>
      </x:c>
      <x:c r="H9" s="43" t="str">
        <x:f>'Evaluation Plan'!H9</x:f>
        <x:v>glass spice container A</x:v>
      </x:c>
      <x:c r="I9" s="43" t="str"/>
      <x:c r="J9" s="42" t="str">
        <x:f>'Evaluation Plan'!J9</x:f>
        <x:v>In-distribution concept baseline</x:v>
      </x:c>
      <x:c r="K9" s="44" t="str">
        <x:f>'Evaluation Plan'!K9</x:f>
        <x:v>SR-ID08</x:v>
      </x:c>
      <x:c r="L9" s="44" t="str">
        <x:f>'Evaluation Plan'!L9</x:f>
        <x:v>C</x:v>
      </x:c>
      <x:c r="M9" s="44" t="str">
        <x:f>'Evaluation Plan'!M9</x:f>
        <x:v>glass spice container</x:v>
      </x:c>
      <x:c r="N9" s="44" t="n">
        <x:f>'Evaluation Plan'!N9</x:f>
        <x:v>3</x:v>
      </x:c>
      <x:c r="O9" s="44" t="n">
        <x:f>'Evaluation Plan'!O9</x:f>
        <x:v>1</x:v>
      </x:c>
      <x:c r="P9" s="44" t="str">
        <x:f>'Evaluation Plan'!P9</x:f>
        <x:v>Empty</x:v>
      </x:c>
      <x:c r="Q9" s="43" t="str">
        <x:f>'Evaluation Plan'!Q9</x:f>
        <x:v>Exact training-supported state-object baseline</x:v>
      </x:c>
      <x:c r="R9" s="44" t="n">
        <x:f>'Evaluation Plan'!R9</x:f>
        <x:v>1</x:v>
      </x:c>
      <x:c r="S9" s="43" t="str">
        <x:f>'Evaluation Plan'!S9</x:f>
        <x:v>Recreate the listed manifest scene with the bowl empty.</x:v>
      </x:c>
      <x:c r="T9" s="43" t="str">
        <x:f>'Evaluation Plan'!T9</x:f>
        <x:v>The queried state-object combination and same-category discrimination structure are explicitly represented in training.</x:v>
      </x:c>
      <x:c r="U9" s="43" t="n">
        <x:f>'Evaluation Plan'!U9</x:f>
        <x:v>0</x:v>
      </x:c>
    </x:row>
    <x:row r="10" ht="51" customHeight="1">
      <x:c r="A10" s="40" t="str">
        <x:v>Not collected</x:v>
      </x:c>
      <x:c r="B10" s="41" t="n">
        <x:f>'Evaluation Plan'!B10</x:f>
        <x:v>8</x:v>
      </x:c>
      <x:c r="C10" s="40" t="str">
        <x:f>'Evaluation Plan'!C10</x:f>
        <x:v>Move the open glass spice container into the bowl.</x:v>
      </x:c>
      <x:c r="D10" s="40" t="str">
        <x:f>'Evaluation Plan'!D10</x:f>
        <x:v>glass spice container B (O, RU); glass spice container A (C, RU); white cup B (O, RU)</x:v>
      </x:c>
      <x:c r="E10" s="41" t="str">
        <x:f>'Evaluation Plan'!E10</x:f>
      </x:c>
      <x:c r="F10" s="41" t="str">
        <x:f>'Evaluation Plan'!F10</x:f>
        <x:v>156</x:v>
      </x:c>
      <x:c r="G10" s="40" t="str">
        <x:f>'Evaluation Plan'!G10</x:f>
        <x:v>Exact manifest episode: trained state-object cell, prompt, same-category candidate structure, and object membership match; physical layout is manually recreated.</x:v>
      </x:c>
      <x:c r="H10" s="40" t="str">
        <x:f>'Evaluation Plan'!H10</x:f>
        <x:v>glass spice container B</x:v>
      </x:c>
      <x:c r="I10" s="40" t="str"/>
      <x:c r="J10" s="42" t="str">
        <x:f>'Evaluation Plan'!J10</x:f>
        <x:v>In-distribution concept baseline</x:v>
      </x:c>
      <x:c r="K10" s="41" t="str">
        <x:f>'Evaluation Plan'!K10</x:f>
        <x:v>SR-ID09</x:v>
      </x:c>
      <x:c r="L10" s="41" t="str">
        <x:f>'Evaluation Plan'!L10</x:f>
        <x:v>O</x:v>
      </x:c>
      <x:c r="M10" s="41" t="str">
        <x:f>'Evaluation Plan'!M10</x:f>
        <x:v>glass spice container</x:v>
      </x:c>
      <x:c r="N10" s="41" t="n">
        <x:f>'Evaluation Plan'!N10</x:f>
        <x:v>3</x:v>
      </x:c>
      <x:c r="O10" s="41" t="n">
        <x:f>'Evaluation Plan'!O10</x:f>
        <x:v>1</x:v>
      </x:c>
      <x:c r="P10" s="41" t="str">
        <x:f>'Evaluation Plan'!P10</x:f>
        <x:v>Empty</x:v>
      </x:c>
      <x:c r="Q10" s="40" t="str">
        <x:f>'Evaluation Plan'!Q10</x:f>
        <x:v>Exact training-supported state-object baseline</x:v>
      </x:c>
      <x:c r="R10" s="41" t="n">
        <x:f>'Evaluation Plan'!R10</x:f>
        <x:v>1</x:v>
      </x:c>
      <x:c r="S10" s="40" t="str">
        <x:f>'Evaluation Plan'!S10</x:f>
        <x:v>Recreate the listed manifest scene with the bowl empty.</x:v>
      </x:c>
      <x:c r="T10" s="40" t="str">
        <x:f>'Evaluation Plan'!T10</x:f>
        <x:v>The queried state-object combination and same-category discrimination structure are explicitly represented in training.</x:v>
      </x:c>
      <x:c r="U10" s="40" t="n">
        <x:f>'Evaluation Plan'!U10</x:f>
        <x:v>0</x:v>
      </x:c>
    </x:row>
    <x:row r="11" ht="51" customHeight="1">
      <x:c r="A11" s="43" t="str">
        <x:v>Not collected</x:v>
      </x:c>
      <x:c r="B11" s="44" t="n">
        <x:f>'Evaluation Plan'!B11</x:f>
        <x:v>9</x:v>
      </x:c>
      <x:c r="C11" s="43" t="str">
        <x:f>'Evaluation Plan'!C11</x:f>
        <x:v>Put the upside-down glass spice container in the bowl.</x:v>
      </x:c>
      <x:c r="D11" s="43" t="str">
        <x:f>'Evaluation Plan'!D11</x:f>
        <x:v>glass spice container B (C, UD); glass spice container A (C, RU)</x:v>
      </x:c>
      <x:c r="E11" s="44" t="str">
        <x:f>'Evaluation Plan'!E11</x:f>
      </x:c>
      <x:c r="F11" s="44" t="str">
        <x:f>'Evaluation Plan'!F11</x:f>
        <x:v>176</x:v>
      </x:c>
      <x:c r="G11" s="43" t="str">
        <x:f>'Evaluation Plan'!G11</x:f>
        <x:v>Exact manifest episode: trained state-object cell, prompt, same-category candidate structure, and object membership match; physical layout is manually recreated.</x:v>
      </x:c>
      <x:c r="H11" s="43" t="str">
        <x:f>'Evaluation Plan'!H11</x:f>
        <x:v>glass spice container B</x:v>
      </x:c>
      <x:c r="I11" s="43" t="str"/>
      <x:c r="J11" s="42" t="str">
        <x:f>'Evaluation Plan'!J11</x:f>
        <x:v>In-distribution concept baseline</x:v>
      </x:c>
      <x:c r="K11" s="44" t="str">
        <x:f>'Evaluation Plan'!K11</x:f>
        <x:v>SR-ID10</x:v>
      </x:c>
      <x:c r="L11" s="44" t="str">
        <x:f>'Evaluation Plan'!L11</x:f>
        <x:v>UD</x:v>
      </x:c>
      <x:c r="M11" s="44" t="str">
        <x:f>'Evaluation Plan'!M11</x:f>
        <x:v>glass spice container</x:v>
      </x:c>
      <x:c r="N11" s="44" t="n">
        <x:f>'Evaluation Plan'!N11</x:f>
        <x:v>2</x:v>
      </x:c>
      <x:c r="O11" s="44" t="n">
        <x:f>'Evaluation Plan'!O11</x:f>
        <x:v>1</x:v>
      </x:c>
      <x:c r="P11" s="44" t="str">
        <x:f>'Evaluation Plan'!P11</x:f>
        <x:v>Empty</x:v>
      </x:c>
      <x:c r="Q11" s="43" t="str">
        <x:f>'Evaluation Plan'!Q11</x:f>
        <x:v>Exact training-supported state-object baseline</x:v>
      </x:c>
      <x:c r="R11" s="44" t="n">
        <x:f>'Evaluation Plan'!R11</x:f>
        <x:v>1</x:v>
      </x:c>
      <x:c r="S11" s="43" t="str">
        <x:f>'Evaluation Plan'!S11</x:f>
        <x:v>Recreate the listed manifest scene with the bowl empty.</x:v>
      </x:c>
      <x:c r="T11" s="43" t="str">
        <x:f>'Evaluation Plan'!T11</x:f>
        <x:v>The queried state-object combination and same-category discrimination structure are explicitly represented in training.</x:v>
      </x:c>
      <x:c r="U11" s="43" t="n">
        <x:f>'Evaluation Plan'!U11</x:f>
        <x:v>0</x:v>
      </x:c>
    </x:row>
    <x:row r="12" ht="51" customHeight="1">
      <x:c r="A12" s="40" t="str">
        <x:v>Not collected</x:v>
      </x:c>
      <x:c r="B12" s="41" t="n">
        <x:f>'Evaluation Plan'!B12</x:f>
        <x:v>10</x:v>
      </x:c>
      <x:c r="C12" s="40" t="str">
        <x:f>'Evaluation Plan'!C12</x:f>
        <x:v>Move the closed white cup into the bowl.</x:v>
      </x:c>
      <x:c r="D12" s="40" t="str">
        <x:f>'Evaluation Plan'!D12</x:f>
        <x:v>white cup B (C, RU); white cup A (O, RU); yellow-white striped cup A (C, RU); brown cup B (C, RU)</x:v>
      </x:c>
      <x:c r="E12" s="41" t="str">
        <x:f>'Evaluation Plan'!E12</x:f>
      </x:c>
      <x:c r="F12" s="41" t="str">
        <x:f>'Evaluation Plan'!F12</x:f>
        <x:v>0</x:v>
      </x:c>
      <x:c r="G12" s="40" t="str">
        <x:f>'Evaluation Plan'!G12</x:f>
        <x:v>Exact manifest episode: trained state-object cell, prompt, same-category candidate structure, and object membership match; physical layout is manually recreated.</x:v>
      </x:c>
      <x:c r="H12" s="40" t="str">
        <x:f>'Evaluation Plan'!H12</x:f>
        <x:v>white cup B</x:v>
      </x:c>
      <x:c r="I12" s="40" t="str"/>
      <x:c r="J12" s="42" t="str">
        <x:f>'Evaluation Plan'!J12</x:f>
        <x:v>In-distribution concept baseline</x:v>
      </x:c>
      <x:c r="K12" s="41" t="str">
        <x:f>'Evaluation Plan'!K12</x:f>
        <x:v>SR-ID11</x:v>
      </x:c>
      <x:c r="L12" s="41" t="str">
        <x:f>'Evaluation Plan'!L12</x:f>
        <x:v>C</x:v>
      </x:c>
      <x:c r="M12" s="41" t="str">
        <x:f>'Evaluation Plan'!M12</x:f>
        <x:v>white cup</x:v>
      </x:c>
      <x:c r="N12" s="41" t="n">
        <x:f>'Evaluation Plan'!N12</x:f>
        <x:v>4</x:v>
      </x:c>
      <x:c r="O12" s="41" t="n">
        <x:f>'Evaluation Plan'!O12</x:f>
        <x:v>1</x:v>
      </x:c>
      <x:c r="P12" s="41" t="str">
        <x:f>'Evaluation Plan'!P12</x:f>
        <x:v>Empty</x:v>
      </x:c>
      <x:c r="Q12" s="40" t="str">
        <x:f>'Evaluation Plan'!Q12</x:f>
        <x:v>Exact training-supported state-object baseline</x:v>
      </x:c>
      <x:c r="R12" s="41" t="n">
        <x:f>'Evaluation Plan'!R12</x:f>
        <x:v>1</x:v>
      </x:c>
      <x:c r="S12" s="40" t="str">
        <x:f>'Evaluation Plan'!S12</x:f>
        <x:v>Recreate the listed manifest scene with the bowl empty.</x:v>
      </x:c>
      <x:c r="T12" s="40" t="str">
        <x:f>'Evaluation Plan'!T12</x:f>
        <x:v>The queried state-object combination and same-category discrimination structure are explicitly represented in training.</x:v>
      </x:c>
      <x:c r="U12" s="40" t="n">
        <x:f>'Evaluation Plan'!U12</x:f>
        <x:v>0</x:v>
      </x:c>
    </x:row>
    <x:row r="13" ht="51" customHeight="1">
      <x:c r="A13" s="43" t="str">
        <x:v>Not collected</x:v>
      </x:c>
      <x:c r="B13" s="44" t="n">
        <x:f>'Evaluation Plan'!B13</x:f>
        <x:v>11</x:v>
      </x:c>
      <x:c r="C13" s="43" t="str">
        <x:f>'Evaluation Plan'!C13</x:f>
        <x:v>Place the closed white cup in the bowl.</x:v>
      </x:c>
      <x:c r="D13" s="43" t="str">
        <x:f>'Evaluation Plan'!D13</x:f>
        <x:v>white cup A (C, RU); white cup B (O, RU); brown cup B (O, RU)</x:v>
      </x:c>
      <x:c r="E13" s="44" t="str">
        <x:f>'Evaluation Plan'!E13</x:f>
      </x:c>
      <x:c r="F13" s="44" t="str">
        <x:f>'Evaluation Plan'!F13</x:f>
        <x:v>7</x:v>
      </x:c>
      <x:c r="G13" s="43" t="str">
        <x:f>'Evaluation Plan'!G13</x:f>
        <x:v>Exact manifest episode: trained state-object cell, prompt, same-category candidate structure, and object membership match; physical layout is manually recreated.</x:v>
      </x:c>
      <x:c r="H13" s="43" t="str">
        <x:f>'Evaluation Plan'!H13</x:f>
        <x:v>white cup A</x:v>
      </x:c>
      <x:c r="I13" s="43" t="str"/>
      <x:c r="J13" s="42" t="str">
        <x:f>'Evaluation Plan'!J13</x:f>
        <x:v>In-distribution concept baseline</x:v>
      </x:c>
      <x:c r="K13" s="44" t="str">
        <x:f>'Evaluation Plan'!K13</x:f>
        <x:v>SR-ID12</x:v>
      </x:c>
      <x:c r="L13" s="44" t="str">
        <x:f>'Evaluation Plan'!L13</x:f>
        <x:v>C</x:v>
      </x:c>
      <x:c r="M13" s="44" t="str">
        <x:f>'Evaluation Plan'!M13</x:f>
        <x:v>white cup</x:v>
      </x:c>
      <x:c r="N13" s="44" t="n">
        <x:f>'Evaluation Plan'!N13</x:f>
        <x:v>3</x:v>
      </x:c>
      <x:c r="O13" s="44" t="n">
        <x:f>'Evaluation Plan'!O13</x:f>
        <x:v>1</x:v>
      </x:c>
      <x:c r="P13" s="44" t="str">
        <x:f>'Evaluation Plan'!P13</x:f>
        <x:v>Empty</x:v>
      </x:c>
      <x:c r="Q13" s="43" t="str">
        <x:f>'Evaluation Plan'!Q13</x:f>
        <x:v>Exact training-supported state-object baseline</x:v>
      </x:c>
      <x:c r="R13" s="44" t="n">
        <x:f>'Evaluation Plan'!R13</x:f>
        <x:v>1</x:v>
      </x:c>
      <x:c r="S13" s="43" t="str">
        <x:f>'Evaluation Plan'!S13</x:f>
        <x:v>Recreate the listed manifest scene with the bowl empty.</x:v>
      </x:c>
      <x:c r="T13" s="43" t="str">
        <x:f>'Evaluation Plan'!T13</x:f>
        <x:v>The queried state-object combination and same-category discrimination structure are explicitly represented in training.</x:v>
      </x:c>
      <x:c r="U13" s="43" t="n">
        <x:f>'Evaluation Plan'!U13</x:f>
        <x:v>0</x:v>
      </x:c>
    </x:row>
    <x:row r="14" ht="51" customHeight="1">
      <x:c r="A14" s="40" t="str">
        <x:v>Not collected</x:v>
      </x:c>
      <x:c r="B14" s="41" t="n">
        <x:f>'Evaluation Plan'!B14</x:f>
        <x:v>12</x:v>
      </x:c>
      <x:c r="C14" s="40" t="str">
        <x:f>'Evaluation Plan'!C14</x:f>
        <x:v>Put the open white cup in the bowl.</x:v>
      </x:c>
      <x:c r="D14" s="40" t="str">
        <x:f>'Evaluation Plan'!D14</x:f>
        <x:v>white cup B (O, RU); white cup A (C, RU); glass spice container B (O, RU)</x:v>
      </x:c>
      <x:c r="E14" s="41" t="str">
        <x:f>'Evaluation Plan'!E14</x:f>
      </x:c>
      <x:c r="F14" s="41" t="str">
        <x:f>'Evaluation Plan'!F14</x:f>
        <x:v>17</x:v>
      </x:c>
      <x:c r="G14" s="40" t="str">
        <x:f>'Evaluation Plan'!G14</x:f>
        <x:v>Exact manifest episode: trained state-object cell, prompt, same-category candidate structure, and object membership match; physical layout is manually recreated.</x:v>
      </x:c>
      <x:c r="H14" s="40" t="str">
        <x:f>'Evaluation Plan'!H14</x:f>
        <x:v>white cup B</x:v>
      </x:c>
      <x:c r="I14" s="40" t="str"/>
      <x:c r="J14" s="42" t="str">
        <x:f>'Evaluation Plan'!J14</x:f>
        <x:v>In-distribution concept baseline</x:v>
      </x:c>
      <x:c r="K14" s="41" t="str">
        <x:f>'Evaluation Plan'!K14</x:f>
        <x:v>SR-ID13</x:v>
      </x:c>
      <x:c r="L14" s="41" t="str">
        <x:f>'Evaluation Plan'!L14</x:f>
        <x:v>O</x:v>
      </x:c>
      <x:c r="M14" s="41" t="str">
        <x:f>'Evaluation Plan'!M14</x:f>
        <x:v>white cup</x:v>
      </x:c>
      <x:c r="N14" s="41" t="n">
        <x:f>'Evaluation Plan'!N14</x:f>
        <x:v>3</x:v>
      </x:c>
      <x:c r="O14" s="41" t="n">
        <x:f>'Evaluation Plan'!O14</x:f>
        <x:v>1</x:v>
      </x:c>
      <x:c r="P14" s="41" t="str">
        <x:f>'Evaluation Plan'!P14</x:f>
        <x:v>Empty</x:v>
      </x:c>
      <x:c r="Q14" s="40" t="str">
        <x:f>'Evaluation Plan'!Q14</x:f>
        <x:v>Exact training-supported state-object baseline</x:v>
      </x:c>
      <x:c r="R14" s="41" t="n">
        <x:f>'Evaluation Plan'!R14</x:f>
        <x:v>1</x:v>
      </x:c>
      <x:c r="S14" s="40" t="str">
        <x:f>'Evaluation Plan'!S14</x:f>
        <x:v>Recreate the listed manifest scene with the bowl empty.</x:v>
      </x:c>
      <x:c r="T14" s="40" t="str">
        <x:f>'Evaluation Plan'!T14</x:f>
        <x:v>The queried state-object combination and same-category discrimination structure are explicitly represented in training.</x:v>
      </x:c>
      <x:c r="U14" s="40" t="n">
        <x:f>'Evaluation Plan'!U14</x:f>
        <x:v>0</x:v>
      </x:c>
    </x:row>
    <x:row r="15" ht="51" customHeight="1">
      <x:c r="A15" s="43" t="str">
        <x:v>Not collected</x:v>
      </x:c>
      <x:c r="B15" s="44" t="n">
        <x:f>'Evaluation Plan'!B15</x:f>
        <x:v>13</x:v>
      </x:c>
      <x:c r="C15" s="43" t="str">
        <x:f>'Evaluation Plan'!C15</x:f>
        <x:v>Place the upside-down yellow-white striped cup in the bowl.</x:v>
      </x:c>
      <x:c r="D15" s="43" t="str">
        <x:f>'Evaluation Plan'!D15</x:f>
        <x:v>yellow-white striped cup A (O, UD); yellow-white striped cup B (O, RU)</x:v>
      </x:c>
      <x:c r="E15" s="44" t="str">
        <x:f>'Evaluation Plan'!E15</x:f>
      </x:c>
      <x:c r="F15" s="44" t="str">
        <x:f>'Evaluation Plan'!F15</x:f>
        <x:v>88</x:v>
      </x:c>
      <x:c r="G15" s="43" t="str">
        <x:f>'Evaluation Plan'!G15</x:f>
        <x:v>Exact manifest episode: trained state-object cell, prompt, same-category candidate structure, and object membership match; physical layout is manually recreated.</x:v>
      </x:c>
      <x:c r="H15" s="43" t="str">
        <x:f>'Evaluation Plan'!H15</x:f>
        <x:v>yellow-white striped cup A</x:v>
      </x:c>
      <x:c r="I15" s="43" t="str"/>
      <x:c r="J15" s="42" t="str">
        <x:f>'Evaluation Plan'!J15</x:f>
        <x:v>In-distribution concept baseline</x:v>
      </x:c>
      <x:c r="K15" s="44" t="str">
        <x:f>'Evaluation Plan'!K15</x:f>
        <x:v>SR-ID14</x:v>
      </x:c>
      <x:c r="L15" s="44" t="str">
        <x:f>'Evaluation Plan'!L15</x:f>
        <x:v>UD</x:v>
      </x:c>
      <x:c r="M15" s="44" t="str">
        <x:f>'Evaluation Plan'!M15</x:f>
        <x:v>yellow-white striped cup</x:v>
      </x:c>
      <x:c r="N15" s="44" t="n">
        <x:f>'Evaluation Plan'!N15</x:f>
        <x:v>2</x:v>
      </x:c>
      <x:c r="O15" s="44" t="n">
        <x:f>'Evaluation Plan'!O15</x:f>
        <x:v>1</x:v>
      </x:c>
      <x:c r="P15" s="44" t="str">
        <x:f>'Evaluation Plan'!P15</x:f>
        <x:v>Empty</x:v>
      </x:c>
      <x:c r="Q15" s="43" t="str">
        <x:f>'Evaluation Plan'!Q15</x:f>
        <x:v>Exact training-supported state-object baseline</x:v>
      </x:c>
      <x:c r="R15" s="44" t="n">
        <x:f>'Evaluation Plan'!R15</x:f>
        <x:v>1</x:v>
      </x:c>
      <x:c r="S15" s="43" t="str">
        <x:f>'Evaluation Plan'!S15</x:f>
        <x:v>Recreate the listed manifest scene with the bowl empty.</x:v>
      </x:c>
      <x:c r="T15" s="43" t="str">
        <x:f>'Evaluation Plan'!T15</x:f>
        <x:v>The queried state-object combination and same-category discrimination structure are explicitly represented in training.</x:v>
      </x:c>
      <x:c r="U15" s="43" t="n">
        <x:f>'Evaluation Plan'!U15</x:f>
        <x:v>0</x:v>
      </x:c>
    </x:row>
    <x:row r="16" ht="51" customHeight="1">
      <x:c r="A16" s="40" t="str">
        <x:v>Not collected</x:v>
      </x:c>
      <x:c r="B16" s="41" t="n">
        <x:f>'Evaluation Plan'!B16</x:f>
        <x:v>14</x:v>
      </x:c>
      <x:c r="C16" s="40" t="str">
        <x:f>'Evaluation Plan'!C16</x:f>
        <x:v>Move the upright yellow-white striped cup into the bowl.</x:v>
      </x:c>
      <x:c r="D16" s="40" t="str">
        <x:f>'Evaluation Plan'!D16</x:f>
        <x:v>yellow-white striped cup A (O, RU); yellow-white striped cup B (O, UD); glass spice container A (O, RU); white cup B (C, UD)</x:v>
      </x:c>
      <x:c r="E16" s="41" t="str">
        <x:f>'Evaluation Plan'!E16</x:f>
      </x:c>
      <x:c r="F16" s="41" t="str">
        <x:f>'Evaluation Plan'!F16</x:f>
        <x:v>75</x:v>
      </x:c>
      <x:c r="G16" s="40" t="str">
        <x:f>'Evaluation Plan'!G16</x:f>
        <x:v>Exact manifest episode: trained state-object cell, prompt, same-category candidate structure, and object membership match; physical layout is manually recreated.</x:v>
      </x:c>
      <x:c r="H16" s="40" t="str">
        <x:f>'Evaluation Plan'!H16</x:f>
        <x:v>yellow-white striped cup A</x:v>
      </x:c>
      <x:c r="I16" s="40" t="str"/>
      <x:c r="J16" s="42" t="str">
        <x:f>'Evaluation Plan'!J16</x:f>
        <x:v>In-distribution concept baseline</x:v>
      </x:c>
      <x:c r="K16" s="41" t="str">
        <x:f>'Evaluation Plan'!K16</x:f>
        <x:v>SR-ID15</x:v>
      </x:c>
      <x:c r="L16" s="41" t="str">
        <x:f>'Evaluation Plan'!L16</x:f>
        <x:v>RU</x:v>
      </x:c>
      <x:c r="M16" s="41" t="str">
        <x:f>'Evaluation Plan'!M16</x:f>
        <x:v>yellow-white striped cup</x:v>
      </x:c>
      <x:c r="N16" s="41" t="n">
        <x:f>'Evaluation Plan'!N16</x:f>
        <x:v>4</x:v>
      </x:c>
      <x:c r="O16" s="41" t="n">
        <x:f>'Evaluation Plan'!O16</x:f>
        <x:v>1</x:v>
      </x:c>
      <x:c r="P16" s="41" t="str">
        <x:f>'Evaluation Plan'!P16</x:f>
        <x:v>Empty</x:v>
      </x:c>
      <x:c r="Q16" s="40" t="str">
        <x:f>'Evaluation Plan'!Q16</x:f>
        <x:v>Exact training-supported state-object baseline</x:v>
      </x:c>
      <x:c r="R16" s="41" t="n">
        <x:f>'Evaluation Plan'!R16</x:f>
        <x:v>1</x:v>
      </x:c>
      <x:c r="S16" s="40" t="str">
        <x:f>'Evaluation Plan'!S16</x:f>
        <x:v>Recreate the listed manifest scene with the bowl empty.</x:v>
      </x:c>
      <x:c r="T16" s="40" t="str">
        <x:f>'Evaluation Plan'!T16</x:f>
        <x:v>The queried state-object combination and same-category discrimination structure are explicitly represented in training.</x:v>
      </x:c>
      <x:c r="U16" s="40" t="n">
        <x:f>'Evaluation Plan'!U16</x:f>
        <x:v>0</x:v>
      </x:c>
    </x:row>
    <x:row r="17" ht="51" customHeight="1">
      <x:c r="A17" s="43" t="str">
        <x:v>Not collected</x:v>
      </x:c>
      <x:c r="B17" s="44" t="n">
        <x:f>'Evaluation Plan'!B17</x:f>
        <x:v>15</x:v>
      </x:c>
      <x:c r="C17" s="43" t="str">
        <x:f>'Evaluation Plan'!C17</x:f>
        <x:v>Put the upright yellow-white striped cup in the bowl.</x:v>
      </x:c>
      <x:c r="D17" s="43" t="str">
        <x:f>'Evaluation Plan'!D17</x:f>
        <x:v>yellow-white striped cup B (C, RU); yellow-white striped cup A (C, UD)</x:v>
      </x:c>
      <x:c r="E17" s="44" t="str">
        <x:f>'Evaluation Plan'!E17</x:f>
      </x:c>
      <x:c r="F17" s="44" t="str">
        <x:f>'Evaluation Plan'!F17</x:f>
        <x:v>80</x:v>
      </x:c>
      <x:c r="G17" s="43" t="str">
        <x:f>'Evaluation Plan'!G17</x:f>
        <x:v>Exact manifest episode: trained state-object cell, prompt, same-category candidate structure, and object membership match; physical layout is manually recreated.</x:v>
      </x:c>
      <x:c r="H17" s="43" t="str">
        <x:f>'Evaluation Plan'!H17</x:f>
        <x:v>yellow-white striped cup B</x:v>
      </x:c>
      <x:c r="I17" s="43" t="str"/>
      <x:c r="J17" s="42" t="str">
        <x:f>'Evaluation Plan'!J17</x:f>
        <x:v>In-distribution concept baseline</x:v>
      </x:c>
      <x:c r="K17" s="44" t="str">
        <x:f>'Evaluation Plan'!K17</x:f>
        <x:v>SR-ID16</x:v>
      </x:c>
      <x:c r="L17" s="44" t="str">
        <x:f>'Evaluation Plan'!L17</x:f>
        <x:v>RU</x:v>
      </x:c>
      <x:c r="M17" s="44" t="str">
        <x:f>'Evaluation Plan'!M17</x:f>
        <x:v>yellow-white striped cup</x:v>
      </x:c>
      <x:c r="N17" s="44" t="n">
        <x:f>'Evaluation Plan'!N17</x:f>
        <x:v>2</x:v>
      </x:c>
      <x:c r="O17" s="44" t="n">
        <x:f>'Evaluation Plan'!O17</x:f>
        <x:v>1</x:v>
      </x:c>
      <x:c r="P17" s="44" t="str">
        <x:f>'Evaluation Plan'!P17</x:f>
        <x:v>Empty</x:v>
      </x:c>
      <x:c r="Q17" s="43" t="str">
        <x:f>'Evaluation Plan'!Q17</x:f>
        <x:v>Exact training-supported state-object baseline</x:v>
      </x:c>
      <x:c r="R17" s="44" t="n">
        <x:f>'Evaluation Plan'!R17</x:f>
        <x:v>1</x:v>
      </x:c>
      <x:c r="S17" s="43" t="str">
        <x:f>'Evaluation Plan'!S17</x:f>
        <x:v>Recreate the listed manifest scene with the bowl empty.</x:v>
      </x:c>
      <x:c r="T17" s="43" t="str">
        <x:f>'Evaluation Plan'!T17</x:f>
        <x:v>The queried state-object combination and same-category discrimination structure are explicitly represented in training.</x:v>
      </x:c>
      <x:c r="U17" s="43" t="n">
        <x:f>'Evaluation Plan'!U17</x:f>
        <x:v>0</x:v>
      </x:c>
    </x:row>
    <x:row r="18" ht="51" customHeight="1">
      <x:c r="A18" s="40" t="str">
        <x:v>Not collected</x:v>
      </x:c>
      <x:c r="B18" s="41" t="n">
        <x:f>'Evaluation Plan'!B18</x:f>
        <x:v>16</x:v>
      </x:c>
      <x:c r="C18" s="40" t="str">
        <x:f>'Evaluation Plan'!C18</x:f>
        <x:v>Move the upside-down brown cup into the bowl.</x:v>
      </x:c>
      <x:c r="D18" s="40" t="str">
        <x:f>'Evaluation Plan'!D18</x:f>
        <x:v>brown cup A (C, UD); brown cup B (C, RU); yellow-white striped cup B (C, UD); glass spice container A (O, RU)</x:v>
      </x:c>
      <x:c r="E18" s="41" t="str">
        <x:f>'Evaluation Plan'!E18</x:f>
      </x:c>
      <x:c r="F18" s="41" t="str">
        <x:f>'Evaluation Plan'!F18</x:f>
        <x:v>135</x:v>
      </x:c>
      <x:c r="G18" s="40" t="str">
        <x:f>'Evaluation Plan'!G18</x:f>
        <x:v>Exact manifest episode: trained state-object cell, prompt, same-category candidate structure, and object membership match; physical layout is manually recreated.</x:v>
      </x:c>
      <x:c r="H18" s="40" t="str">
        <x:f>'Evaluation Plan'!H18</x:f>
        <x:v>brown cup A</x:v>
      </x:c>
      <x:c r="I18" s="40" t="str"/>
      <x:c r="J18" s="42" t="str">
        <x:f>'Evaluation Plan'!J18</x:f>
        <x:v>In-distribution concept baseline</x:v>
      </x:c>
      <x:c r="K18" s="41" t="str">
        <x:f>'Evaluation Plan'!K18</x:f>
        <x:v>SR-ID17</x:v>
      </x:c>
      <x:c r="L18" s="41" t="str">
        <x:f>'Evaluation Plan'!L18</x:f>
        <x:v>UD</x:v>
      </x:c>
      <x:c r="M18" s="41" t="str">
        <x:f>'Evaluation Plan'!M18</x:f>
        <x:v>brown cup</x:v>
      </x:c>
      <x:c r="N18" s="41" t="n">
        <x:f>'Evaluation Plan'!N18</x:f>
        <x:v>4</x:v>
      </x:c>
      <x:c r="O18" s="41" t="n">
        <x:f>'Evaluation Plan'!O18</x:f>
        <x:v>1</x:v>
      </x:c>
      <x:c r="P18" s="41" t="str">
        <x:f>'Evaluation Plan'!P18</x:f>
        <x:v>Empty</x:v>
      </x:c>
      <x:c r="Q18" s="40" t="str">
        <x:f>'Evaluation Plan'!Q18</x:f>
        <x:v>Exact training-supported state-object baseline</x:v>
      </x:c>
      <x:c r="R18" s="41" t="n">
        <x:f>'Evaluation Plan'!R18</x:f>
        <x:v>1</x:v>
      </x:c>
      <x:c r="S18" s="40" t="str">
        <x:f>'Evaluation Plan'!S18</x:f>
        <x:v>Recreate the listed manifest scene with the bowl empty.</x:v>
      </x:c>
      <x:c r="T18" s="40" t="str">
        <x:f>'Evaluation Plan'!T18</x:f>
        <x:v>The queried state-object combination and same-category discrimination structure are explicitly represented in training.</x:v>
      </x:c>
      <x:c r="U18" s="40" t="n">
        <x:f>'Evaluation Plan'!U18</x:f>
        <x:v>0</x:v>
      </x:c>
    </x:row>
    <x:row r="19" ht="51" customHeight="1">
      <x:c r="A19" s="43" t="str">
        <x:v>Not collected</x:v>
      </x:c>
      <x:c r="B19" s="44" t="n">
        <x:f>'Evaluation Plan'!B19</x:f>
        <x:v>17</x:v>
      </x:c>
      <x:c r="C19" s="43" t="str">
        <x:f>'Evaluation Plan'!C19</x:f>
        <x:v>Place the upright brown cup in the bowl.</x:v>
      </x:c>
      <x:c r="D19" s="43" t="str">
        <x:f>'Evaluation Plan'!D19</x:f>
        <x:v>brown cup A (C, RU); brown cup B (C, UD); glass spice container B (C, UD)</x:v>
      </x:c>
      <x:c r="E19" s="44" t="str">
        <x:f>'Evaluation Plan'!E19</x:f>
      </x:c>
      <x:c r="F19" s="44" t="str">
        <x:f>'Evaluation Plan'!F19</x:f>
        <x:v>139</x:v>
      </x:c>
      <x:c r="G19" s="43" t="str">
        <x:f>'Evaluation Plan'!G19</x:f>
        <x:v>Exact manifest episode: trained state-object cell, prompt, same-category candidate structure, and object membership match; physical layout is manually recreated.</x:v>
      </x:c>
      <x:c r="H19" s="43" t="str">
        <x:f>'Evaluation Plan'!H19</x:f>
        <x:v>brown cup A</x:v>
      </x:c>
      <x:c r="I19" s="43" t="str"/>
      <x:c r="J19" s="42" t="str">
        <x:f>'Evaluation Plan'!J19</x:f>
        <x:v>In-distribution concept baseline</x:v>
      </x:c>
      <x:c r="K19" s="44" t="str">
        <x:f>'Evaluation Plan'!K19</x:f>
        <x:v>SR-ID18</x:v>
      </x:c>
      <x:c r="L19" s="44" t="str">
        <x:f>'Evaluation Plan'!L19</x:f>
        <x:v>RU</x:v>
      </x:c>
      <x:c r="M19" s="44" t="str">
        <x:f>'Evaluation Plan'!M19</x:f>
        <x:v>brown cup</x:v>
      </x:c>
      <x:c r="N19" s="44" t="n">
        <x:f>'Evaluation Plan'!N19</x:f>
        <x:v>3</x:v>
      </x:c>
      <x:c r="O19" s="44" t="n">
        <x:f>'Evaluation Plan'!O19</x:f>
        <x:v>1</x:v>
      </x:c>
      <x:c r="P19" s="44" t="str">
        <x:f>'Evaluation Plan'!P19</x:f>
        <x:v>Empty</x:v>
      </x:c>
      <x:c r="Q19" s="43" t="str">
        <x:f>'Evaluation Plan'!Q19</x:f>
        <x:v>Exact training-supported state-object baseline</x:v>
      </x:c>
      <x:c r="R19" s="44" t="n">
        <x:f>'Evaluation Plan'!R19</x:f>
        <x:v>1</x:v>
      </x:c>
      <x:c r="S19" s="43" t="str">
        <x:f>'Evaluation Plan'!S19</x:f>
        <x:v>Recreate the listed manifest scene with the bowl empty.</x:v>
      </x:c>
      <x:c r="T19" s="43" t="str">
        <x:f>'Evaluation Plan'!T19</x:f>
        <x:v>The queried state-object combination and same-category discrimination structure are explicitly represented in training.</x:v>
      </x:c>
      <x:c r="U19" s="43" t="n">
        <x:f>'Evaluation Plan'!U19</x:f>
        <x:v>0</x:v>
      </x:c>
    </x:row>
    <x:row r="20" ht="51" customHeight="1">
      <x:c r="A20" s="40" t="str">
        <x:v>Not collected</x:v>
      </x:c>
      <x:c r="B20" s="41" t="n">
        <x:f>'Evaluation Plan'!B20</x:f>
        <x:v>18</x:v>
      </x:c>
      <x:c r="C20" s="40" t="str">
        <x:f>'Evaluation Plan'!C20</x:f>
        <x:v>Put the closed glass spice container in the bowl.</x:v>
      </x:c>
      <x:c r="D20" s="40" t="str">
        <x:f>'Evaluation Plan'!D20</x:f>
        <x:v>glass spice container A (C, RU); glass spice container B (O, RU); brown cup A (C, RU); white cup B (O, RU)</x:v>
      </x:c>
      <x:c r="E20" s="41" t="str">
        <x:f>'Evaluation Plan'!E20</x:f>
      </x:c>
      <x:c r="F20" s="41" t="str">
        <x:f>'Evaluation Plan'!F20</x:f>
        <x:v>155</x:v>
      </x:c>
      <x:c r="G20" s="40" t="str">
        <x:f>'Evaluation Plan'!G20</x:f>
        <x:v>Exact manifest episode: trained state-object cell, prompt, same-category candidate structure, and object membership match; physical layout is manually recreated.</x:v>
      </x:c>
      <x:c r="H20" s="40" t="str">
        <x:f>'Evaluation Plan'!H20</x:f>
        <x:v>glass spice container A</x:v>
      </x:c>
      <x:c r="I20" s="40" t="str"/>
      <x:c r="J20" s="42" t="str">
        <x:f>'Evaluation Plan'!J20</x:f>
        <x:v>In-distribution concept baseline</x:v>
      </x:c>
      <x:c r="K20" s="41" t="str">
        <x:f>'Evaluation Plan'!K20</x:f>
        <x:v>SR-ID19</x:v>
      </x:c>
      <x:c r="L20" s="41" t="str">
        <x:f>'Evaluation Plan'!L20</x:f>
        <x:v>C</x:v>
      </x:c>
      <x:c r="M20" s="41" t="str">
        <x:f>'Evaluation Plan'!M20</x:f>
        <x:v>glass spice container</x:v>
      </x:c>
      <x:c r="N20" s="41" t="n">
        <x:f>'Evaluation Plan'!N20</x:f>
        <x:v>4</x:v>
      </x:c>
      <x:c r="O20" s="41" t="n">
        <x:f>'Evaluation Plan'!O20</x:f>
        <x:v>1</x:v>
      </x:c>
      <x:c r="P20" s="41" t="str">
        <x:f>'Evaluation Plan'!P20</x:f>
        <x:v>Empty</x:v>
      </x:c>
      <x:c r="Q20" s="40" t="str">
        <x:f>'Evaluation Plan'!Q20</x:f>
        <x:v>Exact training-supported state-object baseline</x:v>
      </x:c>
      <x:c r="R20" s="41" t="n">
        <x:f>'Evaluation Plan'!R20</x:f>
        <x:v>1</x:v>
      </x:c>
      <x:c r="S20" s="40" t="str">
        <x:f>'Evaluation Plan'!S20</x:f>
        <x:v>Recreate the listed manifest scene with the bowl empty.</x:v>
      </x:c>
      <x:c r="T20" s="40" t="str">
        <x:f>'Evaluation Plan'!T20</x:f>
        <x:v>The queried state-object combination and same-category discrimination structure are explicitly represented in training.</x:v>
      </x:c>
      <x:c r="U20" s="40" t="n">
        <x:f>'Evaluation Plan'!U20</x:f>
        <x:v>0</x:v>
      </x:c>
    </x:row>
    <x:row r="21" ht="51" customHeight="1">
      <x:c r="A21" s="43" t="str">
        <x:v>Not collected</x:v>
      </x:c>
      <x:c r="B21" s="44" t="n">
        <x:f>'Evaluation Plan'!B21</x:f>
        <x:v>19</x:v>
      </x:c>
      <x:c r="C21" s="43" t="str">
        <x:f>'Evaluation Plan'!C21</x:f>
        <x:v>Move the open glass spice container into the bowl.</x:v>
      </x:c>
      <x:c r="D21" s="43" t="str">
        <x:f>'Evaluation Plan'!D21</x:f>
        <x:v>glass spice container B (O, RU); glass spice container A (C, RU); white cup B (O, RU); yellow-white striped cup A (O, RU)</x:v>
      </x:c>
      <x:c r="E21" s="44" t="str">
        <x:f>'Evaluation Plan'!E21</x:f>
      </x:c>
      <x:c r="F21" s="44" t="str">
        <x:f>'Evaluation Plan'!F21</x:f>
        <x:v>162</x:v>
      </x:c>
      <x:c r="G21" s="43" t="str">
        <x:f>'Evaluation Plan'!G21</x:f>
        <x:v>Exact manifest episode: trained state-object cell, prompt, same-category candidate structure, and object membership match; physical layout is manually recreated.</x:v>
      </x:c>
      <x:c r="H21" s="43" t="str">
        <x:f>'Evaluation Plan'!H21</x:f>
        <x:v>glass spice container B</x:v>
      </x:c>
      <x:c r="I21" s="43" t="str"/>
      <x:c r="J21" s="42" t="str">
        <x:f>'Evaluation Plan'!J21</x:f>
        <x:v>In-distribution concept baseline</x:v>
      </x:c>
      <x:c r="K21" s="44" t="str">
        <x:f>'Evaluation Plan'!K21</x:f>
        <x:v>SR-ID20</x:v>
      </x:c>
      <x:c r="L21" s="44" t="str">
        <x:f>'Evaluation Plan'!L21</x:f>
        <x:v>O</x:v>
      </x:c>
      <x:c r="M21" s="44" t="str">
        <x:f>'Evaluation Plan'!M21</x:f>
        <x:v>glass spice container</x:v>
      </x:c>
      <x:c r="N21" s="44" t="n">
        <x:f>'Evaluation Plan'!N21</x:f>
        <x:v>4</x:v>
      </x:c>
      <x:c r="O21" s="44" t="n">
        <x:f>'Evaluation Plan'!O21</x:f>
        <x:v>1</x:v>
      </x:c>
      <x:c r="P21" s="44" t="str">
        <x:f>'Evaluation Plan'!P21</x:f>
        <x:v>Empty</x:v>
      </x:c>
      <x:c r="Q21" s="43" t="str">
        <x:f>'Evaluation Plan'!Q21</x:f>
        <x:v>Exact training-supported state-object baseline</x:v>
      </x:c>
      <x:c r="R21" s="44" t="n">
        <x:f>'Evaluation Plan'!R21</x:f>
        <x:v>1</x:v>
      </x:c>
      <x:c r="S21" s="43" t="str">
        <x:f>'Evaluation Plan'!S21</x:f>
        <x:v>Recreate the listed manifest scene with the bowl empty.</x:v>
      </x:c>
      <x:c r="T21" s="43" t="str">
        <x:f>'Evaluation Plan'!T21</x:f>
        <x:v>The queried state-object combination and same-category discrimination structure are explicitly represented in training.</x:v>
      </x:c>
      <x:c r="U21" s="43" t="n">
        <x:f>'Evaluation Plan'!U21</x:f>
        <x:v>0</x:v>
      </x:c>
    </x:row>
    <x:row r="22" ht="51" customHeight="1">
      <x:c r="A22" s="40" t="str">
        <x:v>Not collected</x:v>
      </x:c>
      <x:c r="B22" s="41" t="n">
        <x:f>'Evaluation Plan'!B22</x:f>
        <x:v>20</x:v>
      </x:c>
      <x:c r="C22" s="40" t="str">
        <x:f>'Evaluation Plan'!C22</x:f>
        <x:v>Place the upside-down white cup in the bowl.</x:v>
      </x:c>
      <x:c r="D22" s="40" t="str">
        <x:f>'Evaluation Plan'!D22</x:f>
        <x:v>white cup A (C, UD); white cup B (C, RU)</x:v>
      </x:c>
      <x:c r="E22" s="41" t="str">
        <x:f>'Evaluation Plan'!E22</x:f>
      </x:c>
      <x:c r="F22" s="41" t="str">
        <x:f>'Evaluation Plan'!F22</x:f>
        <x:v>35</x:v>
      </x:c>
      <x:c r="G22" s="40" t="str">
        <x:f>'Evaluation Plan'!G22</x:f>
        <x:v>Physical-state and manipulation-trajectory reference under a direct category prompt; the evaluated state word × object-category cell is intentionally absent from training.</x:v>
      </x:c>
      <x:c r="H22" s="40" t="str">
        <x:f>'Evaluation Plan'!H22</x:f>
        <x:v>white cup A</x:v>
      </x:c>
      <x:c r="I22" s="40" t="str"/>
      <x:c r="J22" s="45" t="str">
        <x:f>'Evaluation Plan'!J22</x:f>
        <x:v>Concept/compositional transfer</x:v>
      </x:c>
      <x:c r="K22" s="41" t="str">
        <x:f>'Evaluation Plan'!K22</x:f>
        <x:v>SR-CT01</x:v>
      </x:c>
      <x:c r="L22" s="41" t="str">
        <x:f>'Evaluation Plan'!L22</x:f>
        <x:v>UD</x:v>
      </x:c>
      <x:c r="M22" s="41" t="str">
        <x:f>'Evaluation Plan'!M22</x:f>
        <x:v>white cup</x:v>
      </x:c>
      <x:c r="N22" s="41" t="n">
        <x:f>'Evaluation Plan'!N22</x:f>
        <x:v>2</x:v>
      </x:c>
      <x:c r="O22" s="41" t="n">
        <x:f>'Evaluation Plan'!O22</x:f>
        <x:v>1</x:v>
      </x:c>
      <x:c r="P22" s="41" t="str">
        <x:f>'Evaluation Plan'!P22</x:f>
        <x:v>Empty</x:v>
      </x:c>
      <x:c r="Q22" s="40" t="str">
        <x:f>'Evaluation Plan'!Q22</x:f>
        <x:v>Primary held-out state-object composition</x:v>
      </x:c>
      <x:c r="R22" s="41" t="n">
        <x:f>'Evaluation Plan'!R22</x:f>
        <x:v>2</x:v>
      </x:c>
      <x:c r="S22" s="40" t="str">
        <x:f>'Evaluation Plan'!S22</x:f>
        <x:v>Build the listed same-category discrimination scene with the bowl empty.</x:v>
      </x:c>
      <x:c r="T22" s="40" t="str">
        <x:f>'Evaluation Plan'!T22</x:f>
        <x:v>Two same-category candidates share the non-queried state axis; only the held-out state word identifies the target.</x:v>
      </x:c>
      <x:c r="U22" s="40" t="n">
        <x:f>'Evaluation Plan'!U22</x:f>
        <x:v>0</x:v>
      </x:c>
    </x:row>
    <x:row r="23" ht="51" customHeight="1">
      <x:c r="A23" s="32" t="str">
        <x:v>Not collected</x:v>
      </x:c>
      <x:c r="B23" s="34" t="n">
        <x:f>'Evaluation Plan'!B23</x:f>
        <x:v>21</x:v>
      </x:c>
      <x:c r="C23" s="32" t="str">
        <x:f>'Evaluation Plan'!C23</x:f>
        <x:v>Place the upright white cup in the bowl.</x:v>
      </x:c>
      <x:c r="D23" s="32" t="str">
        <x:f>'Evaluation Plan'!D23</x:f>
        <x:v>white cup A (C, UD); white cup B (C, RU)</x:v>
      </x:c>
      <x:c r="E23" s="34" t="n">
        <x:f>'Evaluation Plan'!E23</x:f>
        <x:v>20</x:v>
      </x:c>
      <x:c r="F23" s="34" t="str">
        <x:f>'Evaluation Plan'!F23</x:f>
        <x:v>27</x:v>
      </x:c>
      <x:c r="G23" s="32" t="str">
        <x:f>'Evaluation Plan'!G23</x:f>
        <x:v>Training-supported state-object cell for the control. The evaluation scene is shared exactly with the paired transfer row, while the physical layout is manually recreated.</x:v>
      </x:c>
      <x:c r="H23" s="32" t="str">
        <x:f>'Evaluation Plan'!H23</x:f>
        <x:v>white cup B</x:v>
      </x:c>
      <x:c r="I23" s="32" t="str"/>
      <x:c r="J23" s="37" t="str">
        <x:f>'Evaluation Plan'!J23</x:f>
        <x:v>Matched manipulation control</x:v>
      </x:c>
      <x:c r="K23" s="34" t="str">
        <x:f>'Evaluation Plan'!K23</x:f>
        <x:v>SR-CT01</x:v>
      </x:c>
      <x:c r="L23" s="34" t="str">
        <x:f>'Evaluation Plan'!L23</x:f>
        <x:v>RU</x:v>
      </x:c>
      <x:c r="M23" s="34" t="str">
        <x:f>'Evaluation Plan'!M23</x:f>
        <x:v>white cup</x:v>
      </x:c>
      <x:c r="N23" s="34" t="n">
        <x:f>'Evaluation Plan'!N23</x:f>
        <x:v>2</x:v>
      </x:c>
      <x:c r="O23" s="34" t="n">
        <x:f>'Evaluation Plan'!O23</x:f>
        <x:v>1</x:v>
      </x:c>
      <x:c r="P23" s="34" t="str">
        <x:f>'Evaluation Plan'!P23</x:f>
        <x:v>Empty</x:v>
      </x:c>
      <x:c r="Q23" s="32" t="str">
        <x:f>'Evaluation Plan'!Q23</x:f>
        <x:v>Exact-scene trained state-object counterfactual</x:v>
      </x:c>
      <x:c r="R23" s="34" t="n">
        <x:f>'Evaluation Plan'!R23</x:f>
        <x:v>2</x:v>
      </x:c>
      <x:c r="S23" s="32" t="str">
        <x:f>'Evaluation Plan'!S23</x:f>
        <x:v>Reset the moved object exactly; preserve every object and state; change only the prompt and expected target.</x:v>
      </x:c>
      <x:c r="T23" s="32" t="str">
        <x:f>'Evaluation Plan'!T23</x:f>
        <x:v>The correct target switches to the other same-category instance. This cell is explicit in training and controls recognition/manipulation in the transfer scene.</x:v>
      </x:c>
      <x:c r="U23" s="32" t="n">
        <x:f>'Evaluation Plan'!U23</x:f>
        <x:v>0</x:v>
      </x:c>
    </x:row>
    <x:row r="24" ht="51" customHeight="1">
      <x:c r="A24" s="31" t="str">
        <x:v>Not collected</x:v>
      </x:c>
      <x:c r="B24" s="33" t="n">
        <x:f>'Evaluation Plan'!B24</x:f>
        <x:v>22</x:v>
      </x:c>
      <x:c r="C24" s="31" t="str">
        <x:f>'Evaluation Plan'!C24</x:f>
        <x:v>Move the inverted white cup into the bowl.</x:v>
      </x:c>
      <x:c r="D24" s="31" t="str">
        <x:f>'Evaluation Plan'!D24</x:f>
        <x:v>white cup A (C, UD); white cup B (C, RU)</x:v>
      </x:c>
      <x:c r="E24" s="33" t="n">
        <x:f>'Evaluation Plan'!E24</x:f>
        <x:v>20</x:v>
      </x:c>
      <x:c r="F24" s="33" t="str">
        <x:f>'Evaluation Plan'!F24</x:f>
        <x:v>35</x:v>
      </x:c>
      <x:c r="G24" s="31" t="str">
        <x:f>'Evaluation Plan'!G24</x:f>
        <x:v>The canonical transfer scene and masked trajectory reference are unchanged; only the evaluation wording is paraphrased. This remains a language diagnostic and is not pooled into the primary 50.</x:v>
      </x:c>
      <x:c r="H24" s="31" t="str">
        <x:f>'Evaluation Plan'!H24</x:f>
        <x:v>white cup A</x:v>
      </x:c>
      <x:c r="I24" s="31" t="str"/>
      <x:c r="J24" s="38" t="str">
        <x:f>'Evaluation Plan'!J24</x:f>
        <x:v>Language robustness</x:v>
      </x:c>
      <x:c r="K24" s="33" t="str">
        <x:f>'Evaluation Plan'!K24</x:f>
        <x:v>SR-CT01</x:v>
      </x:c>
      <x:c r="L24" s="33" t="str">
        <x:f>'Evaluation Plan'!L24</x:f>
        <x:v>UD</x:v>
      </x:c>
      <x:c r="M24" s="33" t="str">
        <x:f>'Evaluation Plan'!M24</x:f>
        <x:v>white cup</x:v>
      </x:c>
      <x:c r="N24" s="33" t="n">
        <x:f>'Evaluation Plan'!N24</x:f>
        <x:v>2</x:v>
      </x:c>
      <x:c r="O24" s="33" t="n">
        <x:f>'Evaluation Plan'!O24</x:f>
        <x:v>1</x:v>
      </x:c>
      <x:c r="P24" s="33" t="str">
        <x:f>'Evaluation Plan'!P24</x:f>
        <x:v>Empty</x:v>
      </x:c>
      <x:c r="Q24" s="31" t="str">
        <x:f>'Evaluation Plan'!Q24</x:f>
        <x:v>Primary compositional-transfer prompt paraphrase</x:v>
      </x:c>
      <x:c r="R24" s="33" t="n">
        <x:f>'Evaluation Plan'!R24</x:f>
        <x:v>2</x:v>
      </x:c>
      <x:c r="S24" s="31" t="str">
        <x:f>'Evaluation Plan'!S24</x:f>
        <x:v>Reset the moved object exactly; preserve every object and state; change only the prompt wording.</x:v>
      </x:c>
      <x:c r="T24" s="31" t="str">
        <x:f>'Evaluation Plan'!T24</x:f>
        <x:v>Exact-scene paraphrase of one of the 50 canonical compositional-transfer trials.</x:v>
      </x:c>
      <x:c r="U24" s="31" t="n">
        <x:f>'Evaluation Plan'!U24</x:f>
        <x:v>0</x:v>
      </x:c>
    </x:row>
    <x:row r="25" ht="51" customHeight="1">
      <x:c r="A25" s="32" t="str">
        <x:v>Not collected</x:v>
      </x:c>
      <x:c r="B25" s="34" t="n">
        <x:f>'Evaluation Plan'!B25</x:f>
        <x:v>23</x:v>
      </x:c>
      <x:c r="C25" s="32" t="str">
        <x:f>'Evaluation Plan'!C25</x:f>
        <x:v>Move the right-side-up white cup into the bowl.</x:v>
      </x:c>
      <x:c r="D25" s="32" t="str">
        <x:f>'Evaluation Plan'!D25</x:f>
        <x:v>white cup A (C, UD); white cup B (C, RU)</x:v>
      </x:c>
      <x:c r="E25" s="34" t="n">
        <x:f>'Evaluation Plan'!E25</x:f>
        <x:v>21</x:v>
      </x:c>
      <x:c r="F25" s="34" t="str">
        <x:f>'Evaluation Plan'!F25</x:f>
        <x:v>27</x:v>
      </x:c>
      <x:c r="G25" s="32" t="str">
        <x:f>'Evaluation Plan'!G25</x:f>
        <x:v>Canonical matched-control cell is training-supported; evaluation wording is paraphrased. No held-out composition is used.</x:v>
      </x:c>
      <x:c r="H25" s="32" t="str">
        <x:f>'Evaluation Plan'!H25</x:f>
        <x:v>white cup B</x:v>
      </x:c>
      <x:c r="I25" s="32" t="str"/>
      <x:c r="J25" s="38" t="str">
        <x:f>'Evaluation Plan'!J25</x:f>
        <x:v>Language robustness</x:v>
      </x:c>
      <x:c r="K25" s="34" t="str">
        <x:f>'Evaluation Plan'!K25</x:f>
        <x:v>SR-CT01</x:v>
      </x:c>
      <x:c r="L25" s="34" t="str">
        <x:f>'Evaluation Plan'!L25</x:f>
        <x:v>RU</x:v>
      </x:c>
      <x:c r="M25" s="34" t="str">
        <x:f>'Evaluation Plan'!M25</x:f>
        <x:v>white cup</x:v>
      </x:c>
      <x:c r="N25" s="34" t="n">
        <x:f>'Evaluation Plan'!N25</x:f>
        <x:v>2</x:v>
      </x:c>
      <x:c r="O25" s="34" t="n">
        <x:f>'Evaluation Plan'!O25</x:f>
        <x:v>1</x:v>
      </x:c>
      <x:c r="P25" s="34" t="str">
        <x:f>'Evaluation Plan'!P25</x:f>
        <x:v>Empty</x:v>
      </x:c>
      <x:c r="Q25" s="32" t="str">
        <x:f>'Evaluation Plan'!Q25</x:f>
        <x:v>Matched-control state prompt paraphrase</x:v>
      </x:c>
      <x:c r="R25" s="34" t="n">
        <x:f>'Evaluation Plan'!R25</x:f>
        <x:v>2</x:v>
      </x:c>
      <x:c r="S25" s="32" t="str">
        <x:f>'Evaluation Plan'!S25</x:f>
        <x:v>Reset the moved object exactly; preserve the scene; change only the prompt wording.</x:v>
      </x:c>
      <x:c r="T25" s="32" t="str">
        <x:f>'Evaluation Plan'!T25</x:f>
        <x:v>This is one of 10 language trials paired with a matched trained-state control.</x:v>
      </x:c>
      <x:c r="U25" s="32" t="n">
        <x:f>'Evaluation Plan'!U25</x:f>
        <x:v>0</x:v>
      </x:c>
    </x:row>
    <x:row r="26" ht="51" customHeight="1">
      <x:c r="A26" s="40" t="str">
        <x:v>Not collected</x:v>
      </x:c>
      <x:c r="B26" s="41" t="n">
        <x:f>'Evaluation Plan'!B26</x:f>
        <x:v>24</x:v>
      </x:c>
      <x:c r="C26" s="40" t="str">
        <x:f>'Evaluation Plan'!C26</x:f>
        <x:v>Place the open yellow-white striped cup in the bowl.</x:v>
      </x:c>
      <x:c r="D26" s="40" t="str">
        <x:f>'Evaluation Plan'!D26</x:f>
        <x:v>yellow-white striped cup B (O, RU); yellow-white striped cup A (C, RU); brown cup B (O, RU)</x:v>
      </x:c>
      <x:c r="E26" s="41" t="str">
        <x:f>'Evaluation Plan'!E26</x:f>
      </x:c>
      <x:c r="F26" s="41" t="str">
        <x:f>'Evaluation Plan'!F26</x:f>
        <x:v>64</x:v>
      </x:c>
      <x:c r="G26" s="40" t="str">
        <x:f>'Evaluation Plan'!G26</x:f>
        <x:v>Physical-state and manipulation-trajectory reference under a direct category prompt; the evaluated state word × object-category cell is intentionally absent from training.</x:v>
      </x:c>
      <x:c r="H26" s="40" t="str">
        <x:f>'Evaluation Plan'!H26</x:f>
        <x:v>yellow-white striped cup B</x:v>
      </x:c>
      <x:c r="I26" s="40" t="str"/>
      <x:c r="J26" s="45" t="str">
        <x:f>'Evaluation Plan'!J26</x:f>
        <x:v>Concept/compositional transfer</x:v>
      </x:c>
      <x:c r="K26" s="41" t="str">
        <x:f>'Evaluation Plan'!K26</x:f>
        <x:v>SR-CT02</x:v>
      </x:c>
      <x:c r="L26" s="41" t="str">
        <x:f>'Evaluation Plan'!L26</x:f>
        <x:v>O</x:v>
      </x:c>
      <x:c r="M26" s="41" t="str">
        <x:f>'Evaluation Plan'!M26</x:f>
        <x:v>yellow-white striped cup</x:v>
      </x:c>
      <x:c r="N26" s="41" t="n">
        <x:f>'Evaluation Plan'!N26</x:f>
        <x:v>3</x:v>
      </x:c>
      <x:c r="O26" s="41" t="n">
        <x:f>'Evaluation Plan'!O26</x:f>
        <x:v>1</x:v>
      </x:c>
      <x:c r="P26" s="41" t="str">
        <x:f>'Evaluation Plan'!P26</x:f>
        <x:v>Empty</x:v>
      </x:c>
      <x:c r="Q26" s="40" t="str">
        <x:f>'Evaluation Plan'!Q26</x:f>
        <x:v>Primary held-out state-object composition</x:v>
      </x:c>
      <x:c r="R26" s="41" t="n">
        <x:f>'Evaluation Plan'!R26</x:f>
        <x:v>2</x:v>
      </x:c>
      <x:c r="S26" s="40" t="str">
        <x:f>'Evaluation Plan'!S26</x:f>
        <x:v>Build the listed same-category discrimination scene with the bowl empty.</x:v>
      </x:c>
      <x:c r="T26" s="40" t="str">
        <x:f>'Evaluation Plan'!T26</x:f>
        <x:v>Two same-category candidates share the non-queried state axis; only the held-out state word identifies the target.</x:v>
      </x:c>
      <x:c r="U26" s="40" t="n">
        <x:f>'Evaluation Plan'!U26</x:f>
        <x:v>0</x:v>
      </x:c>
    </x:row>
    <x:row r="27" ht="51" customHeight="1">
      <x:c r="A27" s="32" t="str">
        <x:v>Not collected</x:v>
      </x:c>
      <x:c r="B27" s="34" t="n">
        <x:f>'Evaluation Plan'!B27</x:f>
        <x:v>25</x:v>
      </x:c>
      <x:c r="C27" s="32" t="str">
        <x:f>'Evaluation Plan'!C27</x:f>
        <x:v>Place the closed yellow-white striped cup in the bowl.</x:v>
      </x:c>
      <x:c r="D27" s="32" t="str">
        <x:f>'Evaluation Plan'!D27</x:f>
        <x:v>yellow-white striped cup B (O, RU); yellow-white striped cup A (C, RU); brown cup B (O, RU)</x:v>
      </x:c>
      <x:c r="E27" s="34" t="n">
        <x:f>'Evaluation Plan'!E27</x:f>
        <x:v>24</x:v>
      </x:c>
      <x:c r="F27" s="34" t="str">
        <x:f>'Evaluation Plan'!F27</x:f>
        <x:v>55</x:v>
      </x:c>
      <x:c r="G27" s="32" t="str">
        <x:f>'Evaluation Plan'!G27</x:f>
        <x:v>Training-supported state-object cell for the control. The evaluation scene is shared exactly with the paired transfer row, while the physical layout is manually recreated.</x:v>
      </x:c>
      <x:c r="H27" s="32" t="str">
        <x:f>'Evaluation Plan'!H27</x:f>
        <x:v>yellow-white striped cup A</x:v>
      </x:c>
      <x:c r="I27" s="32" t="str"/>
      <x:c r="J27" s="37" t="str">
        <x:f>'Evaluation Plan'!J27</x:f>
        <x:v>Matched manipulation control</x:v>
      </x:c>
      <x:c r="K27" s="34" t="str">
        <x:f>'Evaluation Plan'!K27</x:f>
        <x:v>SR-CT02</x:v>
      </x:c>
      <x:c r="L27" s="34" t="str">
        <x:f>'Evaluation Plan'!L27</x:f>
        <x:v>C</x:v>
      </x:c>
      <x:c r="M27" s="34" t="str">
        <x:f>'Evaluation Plan'!M27</x:f>
        <x:v>yellow-white striped cup</x:v>
      </x:c>
      <x:c r="N27" s="34" t="n">
        <x:f>'Evaluation Plan'!N27</x:f>
        <x:v>3</x:v>
      </x:c>
      <x:c r="O27" s="34" t="n">
        <x:f>'Evaluation Plan'!O27</x:f>
        <x:v>1</x:v>
      </x:c>
      <x:c r="P27" s="34" t="str">
        <x:f>'Evaluation Plan'!P27</x:f>
        <x:v>Empty</x:v>
      </x:c>
      <x:c r="Q27" s="32" t="str">
        <x:f>'Evaluation Plan'!Q27</x:f>
        <x:v>Exact-scene trained state-object counterfactual</x:v>
      </x:c>
      <x:c r="R27" s="34" t="n">
        <x:f>'Evaluation Plan'!R27</x:f>
        <x:v>2</x:v>
      </x:c>
      <x:c r="S27" s="32" t="str">
        <x:f>'Evaluation Plan'!S27</x:f>
        <x:v>Reset the moved object exactly; preserve every object and state; change only the prompt and expected target.</x:v>
      </x:c>
      <x:c r="T27" s="32" t="str">
        <x:f>'Evaluation Plan'!T27</x:f>
        <x:v>The correct target switches to the other same-category instance. This cell is explicit in training and controls recognition/manipulation in the transfer scene.</x:v>
      </x:c>
      <x:c r="U27" s="32" t="n">
        <x:f>'Evaluation Plan'!U27</x:f>
        <x:v>0</x:v>
      </x:c>
    </x:row>
    <x:row r="28" ht="51" customHeight="1">
      <x:c r="A28" s="31" t="str">
        <x:v>Not collected</x:v>
      </x:c>
      <x:c r="B28" s="33" t="n">
        <x:f>'Evaluation Plan'!B28</x:f>
        <x:v>26</x:v>
      </x:c>
      <x:c r="C28" s="31" t="str">
        <x:f>'Evaluation Plan'!C28</x:f>
        <x:v>Move the yellow-white striped cup whose opening is uncovered into the bowl.</x:v>
      </x:c>
      <x:c r="D28" s="31" t="str">
        <x:f>'Evaluation Plan'!D28</x:f>
        <x:v>yellow-white striped cup B (O, RU); yellow-white striped cup A (C, RU); brown cup B (O, RU)</x:v>
      </x:c>
      <x:c r="E28" s="33" t="n">
        <x:f>'Evaluation Plan'!E28</x:f>
        <x:v>24</x:v>
      </x:c>
      <x:c r="F28" s="33" t="str">
        <x:f>'Evaluation Plan'!F28</x:f>
        <x:v>64</x:v>
      </x:c>
      <x:c r="G28" s="31" t="str">
        <x:f>'Evaluation Plan'!G28</x:f>
        <x:v>The canonical transfer scene and masked trajectory reference are unchanged; only the evaluation wording is paraphrased. This remains a language diagnostic and is not pooled into the primary 50.</x:v>
      </x:c>
      <x:c r="H28" s="31" t="str">
        <x:f>'Evaluation Plan'!H28</x:f>
        <x:v>yellow-white striped cup B</x:v>
      </x:c>
      <x:c r="I28" s="31" t="str"/>
      <x:c r="J28" s="38" t="str">
        <x:f>'Evaluation Plan'!J28</x:f>
        <x:v>Language robustness</x:v>
      </x:c>
      <x:c r="K28" s="33" t="str">
        <x:f>'Evaluation Plan'!K28</x:f>
        <x:v>SR-CT02</x:v>
      </x:c>
      <x:c r="L28" s="33" t="str">
        <x:f>'Evaluation Plan'!L28</x:f>
        <x:v>O</x:v>
      </x:c>
      <x:c r="M28" s="33" t="str">
        <x:f>'Evaluation Plan'!M28</x:f>
        <x:v>yellow-white striped cup</x:v>
      </x:c>
      <x:c r="N28" s="33" t="n">
        <x:f>'Evaluation Plan'!N28</x:f>
        <x:v>3</x:v>
      </x:c>
      <x:c r="O28" s="33" t="n">
        <x:f>'Evaluation Plan'!O28</x:f>
        <x:v>1</x:v>
      </x:c>
      <x:c r="P28" s="33" t="str">
        <x:f>'Evaluation Plan'!P28</x:f>
        <x:v>Empty</x:v>
      </x:c>
      <x:c r="Q28" s="31" t="str">
        <x:f>'Evaluation Plan'!Q28</x:f>
        <x:v>Primary compositional-transfer prompt paraphrase</x:v>
      </x:c>
      <x:c r="R28" s="33" t="n">
        <x:f>'Evaluation Plan'!R28</x:f>
        <x:v>2</x:v>
      </x:c>
      <x:c r="S28" s="31" t="str">
        <x:f>'Evaluation Plan'!S28</x:f>
        <x:v>Reset the moved object exactly; preserve every object and state; change only the prompt wording.</x:v>
      </x:c>
      <x:c r="T28" s="31" t="str">
        <x:f>'Evaluation Plan'!T28</x:f>
        <x:v>Exact-scene paraphrase of one of the 50 canonical compositional-transfer trials.</x:v>
      </x:c>
      <x:c r="U28" s="31" t="n">
        <x:f>'Evaluation Plan'!U28</x:f>
        <x:v>0</x:v>
      </x:c>
    </x:row>
    <x:row r="29" ht="51" customHeight="1">
      <x:c r="A29" s="32" t="str">
        <x:v>Not collected</x:v>
      </x:c>
      <x:c r="B29" s="34" t="n">
        <x:f>'Evaluation Plan'!B29</x:f>
        <x:v>27</x:v>
      </x:c>
      <x:c r="C29" s="32" t="str">
        <x:f>'Evaluation Plan'!C29</x:f>
        <x:v>Move the yellow-white striped cup whose opening is covered into the bowl.</x:v>
      </x:c>
      <x:c r="D29" s="32" t="str">
        <x:f>'Evaluation Plan'!D29</x:f>
        <x:v>yellow-white striped cup B (O, RU); yellow-white striped cup A (C, RU); brown cup B (O, RU)</x:v>
      </x:c>
      <x:c r="E29" s="34" t="n">
        <x:f>'Evaluation Plan'!E29</x:f>
        <x:v>25</x:v>
      </x:c>
      <x:c r="F29" s="34" t="str">
        <x:f>'Evaluation Plan'!F29</x:f>
        <x:v>55</x:v>
      </x:c>
      <x:c r="G29" s="32" t="str">
        <x:f>'Evaluation Plan'!G29</x:f>
        <x:v>Canonical matched-control cell is training-supported; evaluation wording is paraphrased. No held-out composition is used.</x:v>
      </x:c>
      <x:c r="H29" s="32" t="str">
        <x:f>'Evaluation Plan'!H29</x:f>
        <x:v>yellow-white striped cup A</x:v>
      </x:c>
      <x:c r="I29" s="32" t="str"/>
      <x:c r="J29" s="38" t="str">
        <x:f>'Evaluation Plan'!J29</x:f>
        <x:v>Language robustness</x:v>
      </x:c>
      <x:c r="K29" s="34" t="str">
        <x:f>'Evaluation Plan'!K29</x:f>
        <x:v>SR-CT02</x:v>
      </x:c>
      <x:c r="L29" s="34" t="str">
        <x:f>'Evaluation Plan'!L29</x:f>
        <x:v>C</x:v>
      </x:c>
      <x:c r="M29" s="34" t="str">
        <x:f>'Evaluation Plan'!M29</x:f>
        <x:v>yellow-white striped cup</x:v>
      </x:c>
      <x:c r="N29" s="34" t="n">
        <x:f>'Evaluation Plan'!N29</x:f>
        <x:v>3</x:v>
      </x:c>
      <x:c r="O29" s="34" t="n">
        <x:f>'Evaluation Plan'!O29</x:f>
        <x:v>1</x:v>
      </x:c>
      <x:c r="P29" s="34" t="str">
        <x:f>'Evaluation Plan'!P29</x:f>
        <x:v>Empty</x:v>
      </x:c>
      <x:c r="Q29" s="32" t="str">
        <x:f>'Evaluation Plan'!Q29</x:f>
        <x:v>Matched-control state prompt paraphrase</x:v>
      </x:c>
      <x:c r="R29" s="34" t="n">
        <x:f>'Evaluation Plan'!R29</x:f>
        <x:v>2</x:v>
      </x:c>
      <x:c r="S29" s="32" t="str">
        <x:f>'Evaluation Plan'!S29</x:f>
        <x:v>Reset the moved object exactly; preserve the scene; change only the prompt wording.</x:v>
      </x:c>
      <x:c r="T29" s="32" t="str">
        <x:f>'Evaluation Plan'!T29</x:f>
        <x:v>This is one of 10 language trials paired with a matched trained-state control.</x:v>
      </x:c>
      <x:c r="U29" s="32" t="n">
        <x:f>'Evaluation Plan'!U29</x:f>
        <x:v>0</x:v>
      </x:c>
    </x:row>
    <x:row r="30" ht="51" customHeight="1">
      <x:c r="A30" s="40" t="str">
        <x:v>Not collected</x:v>
      </x:c>
      <x:c r="B30" s="41" t="n">
        <x:f>'Evaluation Plan'!B30</x:f>
        <x:v>28</x:v>
      </x:c>
      <x:c r="C30" s="40" t="str">
        <x:f>'Evaluation Plan'!C30</x:f>
        <x:v>Place the closed brown cup in the bowl.</x:v>
      </x:c>
      <x:c r="D30" s="40" t="str">
        <x:f>'Evaluation Plan'!D30</x:f>
        <x:v>brown cup A (C, RU); brown cup B (O, RU); glass spice container A (C, UD); white cup B (O, UD)</x:v>
      </x:c>
      <x:c r="E30" s="41" t="str">
        <x:f>'Evaluation Plan'!E30</x:f>
      </x:c>
      <x:c r="F30" s="41" t="str">
        <x:f>'Evaluation Plan'!F30</x:f>
        <x:v>100</x:v>
      </x:c>
      <x:c r="G30" s="40" t="str">
        <x:f>'Evaluation Plan'!G30</x:f>
        <x:v>Physical-state and manipulation-trajectory reference under a direct category prompt; the evaluated state word × object-category cell is intentionally absent from training.</x:v>
      </x:c>
      <x:c r="H30" s="40" t="str">
        <x:f>'Evaluation Plan'!H30</x:f>
        <x:v>brown cup A</x:v>
      </x:c>
      <x:c r="I30" s="40" t="str"/>
      <x:c r="J30" s="45" t="str">
        <x:f>'Evaluation Plan'!J30</x:f>
        <x:v>Concept/compositional transfer</x:v>
      </x:c>
      <x:c r="K30" s="41" t="str">
        <x:f>'Evaluation Plan'!K30</x:f>
        <x:v>SR-CT03</x:v>
      </x:c>
      <x:c r="L30" s="41" t="str">
        <x:f>'Evaluation Plan'!L30</x:f>
        <x:v>C</x:v>
      </x:c>
      <x:c r="M30" s="41" t="str">
        <x:f>'Evaluation Plan'!M30</x:f>
        <x:v>brown cup</x:v>
      </x:c>
      <x:c r="N30" s="41" t="n">
        <x:f>'Evaluation Plan'!N30</x:f>
        <x:v>4</x:v>
      </x:c>
      <x:c r="O30" s="41" t="n">
        <x:f>'Evaluation Plan'!O30</x:f>
        <x:v>1</x:v>
      </x:c>
      <x:c r="P30" s="41" t="str">
        <x:f>'Evaluation Plan'!P30</x:f>
        <x:v>Empty</x:v>
      </x:c>
      <x:c r="Q30" s="40" t="str">
        <x:f>'Evaluation Plan'!Q30</x:f>
        <x:v>Primary held-out state-object composition</x:v>
      </x:c>
      <x:c r="R30" s="41" t="n">
        <x:f>'Evaluation Plan'!R30</x:f>
        <x:v>2</x:v>
      </x:c>
      <x:c r="S30" s="40" t="str">
        <x:f>'Evaluation Plan'!S30</x:f>
        <x:v>Build the listed same-category discrimination scene with the bowl empty.</x:v>
      </x:c>
      <x:c r="T30" s="40" t="str">
        <x:f>'Evaluation Plan'!T30</x:f>
        <x:v>Two same-category candidates share the non-queried state axis; only the held-out state word identifies the target.</x:v>
      </x:c>
      <x:c r="U30" s="40" t="n">
        <x:f>'Evaluation Plan'!U30</x:f>
        <x:v>0</x:v>
      </x:c>
    </x:row>
    <x:row r="31" ht="51" customHeight="1">
      <x:c r="A31" s="32" t="str">
        <x:v>Not collected</x:v>
      </x:c>
      <x:c r="B31" s="34" t="n">
        <x:f>'Evaluation Plan'!B31</x:f>
        <x:v>29</x:v>
      </x:c>
      <x:c r="C31" s="32" t="str">
        <x:f>'Evaluation Plan'!C31</x:f>
        <x:v>Place the open brown cup in the bowl.</x:v>
      </x:c>
      <x:c r="D31" s="32" t="str">
        <x:f>'Evaluation Plan'!D31</x:f>
        <x:v>brown cup A (C, RU); brown cup B (O, RU); glass spice container A (C, UD); white cup B (O, UD)</x:v>
      </x:c>
      <x:c r="E31" s="34" t="n">
        <x:f>'Evaluation Plan'!E31</x:f>
        <x:v>28</x:v>
      </x:c>
      <x:c r="F31" s="34" t="str">
        <x:f>'Evaluation Plan'!F31</x:f>
        <x:v>104</x:v>
      </x:c>
      <x:c r="G31" s="32" t="str">
        <x:f>'Evaluation Plan'!G31</x:f>
        <x:v>Training-supported state-object cell for the control. The evaluation scene is shared exactly with the paired transfer row, while the physical layout is manually recreated.</x:v>
      </x:c>
      <x:c r="H31" s="32" t="str">
        <x:f>'Evaluation Plan'!H31</x:f>
        <x:v>brown cup B</x:v>
      </x:c>
      <x:c r="I31" s="32" t="str"/>
      <x:c r="J31" s="37" t="str">
        <x:f>'Evaluation Plan'!J31</x:f>
        <x:v>Matched manipulation control</x:v>
      </x:c>
      <x:c r="K31" s="34" t="str">
        <x:f>'Evaluation Plan'!K31</x:f>
        <x:v>SR-CT03</x:v>
      </x:c>
      <x:c r="L31" s="34" t="str">
        <x:f>'Evaluation Plan'!L31</x:f>
        <x:v>O</x:v>
      </x:c>
      <x:c r="M31" s="34" t="str">
        <x:f>'Evaluation Plan'!M31</x:f>
        <x:v>brown cup</x:v>
      </x:c>
      <x:c r="N31" s="34" t="n">
        <x:f>'Evaluation Plan'!N31</x:f>
        <x:v>4</x:v>
      </x:c>
      <x:c r="O31" s="34" t="n">
        <x:f>'Evaluation Plan'!O31</x:f>
        <x:v>1</x:v>
      </x:c>
      <x:c r="P31" s="34" t="str">
        <x:f>'Evaluation Plan'!P31</x:f>
        <x:v>Empty</x:v>
      </x:c>
      <x:c r="Q31" s="32" t="str">
        <x:f>'Evaluation Plan'!Q31</x:f>
        <x:v>Exact-scene trained state-object counterfactual</x:v>
      </x:c>
      <x:c r="R31" s="34" t="n">
        <x:f>'Evaluation Plan'!R31</x:f>
        <x:v>2</x:v>
      </x:c>
      <x:c r="S31" s="32" t="str">
        <x:f>'Evaluation Plan'!S31</x:f>
        <x:v>Reset the moved object exactly; preserve every object and state; change only the prompt and expected target.</x:v>
      </x:c>
      <x:c r="T31" s="32" t="str">
        <x:f>'Evaluation Plan'!T31</x:f>
        <x:v>The correct target switches to the other same-category instance. This cell is explicit in training and controls recognition/manipulation in the transfer scene.</x:v>
      </x:c>
      <x:c r="U31" s="32" t="n">
        <x:f>'Evaluation Plan'!U31</x:f>
        <x:v>0</x:v>
      </x:c>
    </x:row>
    <x:row r="32" ht="51" customHeight="1">
      <x:c r="A32" s="31" t="str">
        <x:v>Not collected</x:v>
      </x:c>
      <x:c r="B32" s="33" t="n">
        <x:f>'Evaluation Plan'!B32</x:f>
        <x:v>30</x:v>
      </x:c>
      <x:c r="C32" s="31" t="str">
        <x:f>'Evaluation Plan'!C32</x:f>
        <x:v>Move the brown cup whose opening is covered into the bowl.</x:v>
      </x:c>
      <x:c r="D32" s="31" t="str">
        <x:f>'Evaluation Plan'!D32</x:f>
        <x:v>brown cup A (C, RU); brown cup B (O, RU); glass spice container A (C, UD); white cup B (O, UD)</x:v>
      </x:c>
      <x:c r="E32" s="33" t="n">
        <x:f>'Evaluation Plan'!E32</x:f>
        <x:v>28</x:v>
      </x:c>
      <x:c r="F32" s="33" t="str">
        <x:f>'Evaluation Plan'!F32</x:f>
        <x:v>100</x:v>
      </x:c>
      <x:c r="G32" s="31" t="str">
        <x:f>'Evaluation Plan'!G32</x:f>
        <x:v>The canonical transfer scene and masked trajectory reference are unchanged; only the evaluation wording is paraphrased. This remains a language diagnostic and is not pooled into the primary 50.</x:v>
      </x:c>
      <x:c r="H32" s="31" t="str">
        <x:f>'Evaluation Plan'!H32</x:f>
        <x:v>brown cup A</x:v>
      </x:c>
      <x:c r="I32" s="31" t="str"/>
      <x:c r="J32" s="38" t="str">
        <x:f>'Evaluation Plan'!J32</x:f>
        <x:v>Language robustness</x:v>
      </x:c>
      <x:c r="K32" s="33" t="str">
        <x:f>'Evaluation Plan'!K32</x:f>
        <x:v>SR-CT03</x:v>
      </x:c>
      <x:c r="L32" s="33" t="str">
        <x:f>'Evaluation Plan'!L32</x:f>
        <x:v>C</x:v>
      </x:c>
      <x:c r="M32" s="33" t="str">
        <x:f>'Evaluation Plan'!M32</x:f>
        <x:v>brown cup</x:v>
      </x:c>
      <x:c r="N32" s="33" t="n">
        <x:f>'Evaluation Plan'!N32</x:f>
        <x:v>4</x:v>
      </x:c>
      <x:c r="O32" s="33" t="n">
        <x:f>'Evaluation Plan'!O32</x:f>
        <x:v>1</x:v>
      </x:c>
      <x:c r="P32" s="33" t="str">
        <x:f>'Evaluation Plan'!P32</x:f>
        <x:v>Empty</x:v>
      </x:c>
      <x:c r="Q32" s="31" t="str">
        <x:f>'Evaluation Plan'!Q32</x:f>
        <x:v>Primary compositional-transfer prompt paraphrase</x:v>
      </x:c>
      <x:c r="R32" s="33" t="n">
        <x:f>'Evaluation Plan'!R32</x:f>
        <x:v>2</x:v>
      </x:c>
      <x:c r="S32" s="31" t="str">
        <x:f>'Evaluation Plan'!S32</x:f>
        <x:v>Reset the moved object exactly; preserve every object and state; change only the prompt wording.</x:v>
      </x:c>
      <x:c r="T32" s="31" t="str">
        <x:f>'Evaluation Plan'!T32</x:f>
        <x:v>Exact-scene paraphrase of one of the 50 canonical compositional-transfer trials.</x:v>
      </x:c>
      <x:c r="U32" s="31" t="n">
        <x:f>'Evaluation Plan'!U32</x:f>
        <x:v>0</x:v>
      </x:c>
    </x:row>
    <x:row r="33" ht="51" customHeight="1">
      <x:c r="A33" s="32" t="str">
        <x:v>Not collected</x:v>
      </x:c>
      <x:c r="B33" s="34" t="n">
        <x:f>'Evaluation Plan'!B33</x:f>
        <x:v>31</x:v>
      </x:c>
      <x:c r="C33" s="32" t="str">
        <x:f>'Evaluation Plan'!C33</x:f>
        <x:v>Move the brown cup whose opening is uncovered into the bowl.</x:v>
      </x:c>
      <x:c r="D33" s="32" t="str">
        <x:f>'Evaluation Plan'!D33</x:f>
        <x:v>brown cup A (C, RU); brown cup B (O, RU); glass spice container A (C, UD); white cup B (O, UD)</x:v>
      </x:c>
      <x:c r="E33" s="34" t="n">
        <x:f>'Evaluation Plan'!E33</x:f>
        <x:v>29</x:v>
      </x:c>
      <x:c r="F33" s="34" t="str">
        <x:f>'Evaluation Plan'!F33</x:f>
        <x:v>104</x:v>
      </x:c>
      <x:c r="G33" s="32" t="str">
        <x:f>'Evaluation Plan'!G33</x:f>
        <x:v>Canonical matched-control cell is training-supported; evaluation wording is paraphrased. No held-out composition is used.</x:v>
      </x:c>
      <x:c r="H33" s="32" t="str">
        <x:f>'Evaluation Plan'!H33</x:f>
        <x:v>brown cup B</x:v>
      </x:c>
      <x:c r="I33" s="32" t="str"/>
      <x:c r="J33" s="38" t="str">
        <x:f>'Evaluation Plan'!J33</x:f>
        <x:v>Language robustness</x:v>
      </x:c>
      <x:c r="K33" s="34" t="str">
        <x:f>'Evaluation Plan'!K33</x:f>
        <x:v>SR-CT03</x:v>
      </x:c>
      <x:c r="L33" s="34" t="str">
        <x:f>'Evaluation Plan'!L33</x:f>
        <x:v>O</x:v>
      </x:c>
      <x:c r="M33" s="34" t="str">
        <x:f>'Evaluation Plan'!M33</x:f>
        <x:v>brown cup</x:v>
      </x:c>
      <x:c r="N33" s="34" t="n">
        <x:f>'Evaluation Plan'!N33</x:f>
        <x:v>4</x:v>
      </x:c>
      <x:c r="O33" s="34" t="n">
        <x:f>'Evaluation Plan'!O33</x:f>
        <x:v>1</x:v>
      </x:c>
      <x:c r="P33" s="34" t="str">
        <x:f>'Evaluation Plan'!P33</x:f>
        <x:v>Empty</x:v>
      </x:c>
      <x:c r="Q33" s="32" t="str">
        <x:f>'Evaluation Plan'!Q33</x:f>
        <x:v>Matched-control state prompt paraphrase</x:v>
      </x:c>
      <x:c r="R33" s="34" t="n">
        <x:f>'Evaluation Plan'!R33</x:f>
        <x:v>2</x:v>
      </x:c>
      <x:c r="S33" s="32" t="str">
        <x:f>'Evaluation Plan'!S33</x:f>
        <x:v>Reset the moved object exactly; preserve the scene; change only the prompt wording.</x:v>
      </x:c>
      <x:c r="T33" s="32" t="str">
        <x:f>'Evaluation Plan'!T33</x:f>
        <x:v>This is one of 10 language trials paired with a matched trained-state control.</x:v>
      </x:c>
      <x:c r="U33" s="32" t="n">
        <x:f>'Evaluation Plan'!U33</x:f>
        <x:v>0</x:v>
      </x:c>
    </x:row>
    <x:row r="34" ht="51" customHeight="1">
      <x:c r="A34" s="40" t="str">
        <x:v>Not collected</x:v>
      </x:c>
      <x:c r="B34" s="41" t="n">
        <x:f>'Evaluation Plan'!B34</x:f>
        <x:v>32</x:v>
      </x:c>
      <x:c r="C34" s="40" t="str">
        <x:f>'Evaluation Plan'!C34</x:f>
        <x:v>Place the upright glass spice container in the bowl.</x:v>
      </x:c>
      <x:c r="D34" s="40" t="str">
        <x:f>'Evaluation Plan'!D34</x:f>
        <x:v>glass spice container B (C, RU); glass spice container A (C, UD)</x:v>
      </x:c>
      <x:c r="E34" s="41" t="str">
        <x:f>'Evaluation Plan'!E34</x:f>
      </x:c>
      <x:c r="F34" s="41" t="str">
        <x:f>'Evaluation Plan'!F34</x:f>
        <x:v>169</x:v>
      </x:c>
      <x:c r="G34" s="40" t="str">
        <x:f>'Evaluation Plan'!G34</x:f>
        <x:v>Physical-state and manipulation-trajectory reference under a direct category prompt; the evaluated state word × object-category cell is intentionally absent from training.</x:v>
      </x:c>
      <x:c r="H34" s="40" t="str">
        <x:f>'Evaluation Plan'!H34</x:f>
        <x:v>glass spice container B</x:v>
      </x:c>
      <x:c r="I34" s="40" t="str"/>
      <x:c r="J34" s="45" t="str">
        <x:f>'Evaluation Plan'!J34</x:f>
        <x:v>Concept/compositional transfer</x:v>
      </x:c>
      <x:c r="K34" s="41" t="str">
        <x:f>'Evaluation Plan'!K34</x:f>
        <x:v>SR-CT04</x:v>
      </x:c>
      <x:c r="L34" s="41" t="str">
        <x:f>'Evaluation Plan'!L34</x:f>
        <x:v>RU</x:v>
      </x:c>
      <x:c r="M34" s="41" t="str">
        <x:f>'Evaluation Plan'!M34</x:f>
        <x:v>glass spice container</x:v>
      </x:c>
      <x:c r="N34" s="41" t="n">
        <x:f>'Evaluation Plan'!N34</x:f>
        <x:v>2</x:v>
      </x:c>
      <x:c r="O34" s="41" t="n">
        <x:f>'Evaluation Plan'!O34</x:f>
        <x:v>1</x:v>
      </x:c>
      <x:c r="P34" s="41" t="str">
        <x:f>'Evaluation Plan'!P34</x:f>
        <x:v>Empty</x:v>
      </x:c>
      <x:c r="Q34" s="40" t="str">
        <x:f>'Evaluation Plan'!Q34</x:f>
        <x:v>Primary held-out state-object composition</x:v>
      </x:c>
      <x:c r="R34" s="41" t="n">
        <x:f>'Evaluation Plan'!R34</x:f>
        <x:v>2</x:v>
      </x:c>
      <x:c r="S34" s="40" t="str">
        <x:f>'Evaluation Plan'!S34</x:f>
        <x:v>Build the listed same-category discrimination scene with the bowl empty.</x:v>
      </x:c>
      <x:c r="T34" s="40" t="str">
        <x:f>'Evaluation Plan'!T34</x:f>
        <x:v>Two same-category candidates share the non-queried state axis; only the held-out state word identifies the target.</x:v>
      </x:c>
      <x:c r="U34" s="40" t="n">
        <x:f>'Evaluation Plan'!U34</x:f>
        <x:v>0</x:v>
      </x:c>
    </x:row>
    <x:row r="35" ht="51" customHeight="1">
      <x:c r="A35" s="32" t="str">
        <x:v>Not collected</x:v>
      </x:c>
      <x:c r="B35" s="34" t="n">
        <x:f>'Evaluation Plan'!B35</x:f>
        <x:v>33</x:v>
      </x:c>
      <x:c r="C35" s="32" t="str">
        <x:f>'Evaluation Plan'!C35</x:f>
        <x:v>Place the upside-down glass spice container in the bowl.</x:v>
      </x:c>
      <x:c r="D35" s="32" t="str">
        <x:f>'Evaluation Plan'!D35</x:f>
        <x:v>glass spice container B (C, RU); glass spice container A (C, UD)</x:v>
      </x:c>
      <x:c r="E35" s="34" t="n">
        <x:f>'Evaluation Plan'!E35</x:f>
        <x:v>32</x:v>
      </x:c>
      <x:c r="F35" s="34" t="str">
        <x:f>'Evaluation Plan'!F35</x:f>
        <x:v>177</x:v>
      </x:c>
      <x:c r="G35" s="32" t="str">
        <x:f>'Evaluation Plan'!G35</x:f>
        <x:v>Training-supported state-object cell for the control. The evaluation scene is shared exactly with the paired transfer row, while the physical layout is manually recreated.</x:v>
      </x:c>
      <x:c r="H35" s="32" t="str">
        <x:f>'Evaluation Plan'!H35</x:f>
        <x:v>glass spice container A</x:v>
      </x:c>
      <x:c r="I35" s="32" t="str"/>
      <x:c r="J35" s="37" t="str">
        <x:f>'Evaluation Plan'!J35</x:f>
        <x:v>Matched manipulation control</x:v>
      </x:c>
      <x:c r="K35" s="34" t="str">
        <x:f>'Evaluation Plan'!K35</x:f>
        <x:v>SR-CT04</x:v>
      </x:c>
      <x:c r="L35" s="34" t="str">
        <x:f>'Evaluation Plan'!L35</x:f>
        <x:v>UD</x:v>
      </x:c>
      <x:c r="M35" s="34" t="str">
        <x:f>'Evaluation Plan'!M35</x:f>
        <x:v>glass spice container</x:v>
      </x:c>
      <x:c r="N35" s="34" t="n">
        <x:f>'Evaluation Plan'!N35</x:f>
        <x:v>2</x:v>
      </x:c>
      <x:c r="O35" s="34" t="n">
        <x:f>'Evaluation Plan'!O35</x:f>
        <x:v>1</x:v>
      </x:c>
      <x:c r="P35" s="34" t="str">
        <x:f>'Evaluation Plan'!P35</x:f>
        <x:v>Empty</x:v>
      </x:c>
      <x:c r="Q35" s="32" t="str">
        <x:f>'Evaluation Plan'!Q35</x:f>
        <x:v>Exact-scene trained state-object counterfactual</x:v>
      </x:c>
      <x:c r="R35" s="34" t="n">
        <x:f>'Evaluation Plan'!R35</x:f>
        <x:v>2</x:v>
      </x:c>
      <x:c r="S35" s="32" t="str">
        <x:f>'Evaluation Plan'!S35</x:f>
        <x:v>Reset the moved object exactly; preserve every object and state; change only the prompt and expected target.</x:v>
      </x:c>
      <x:c r="T35" s="32" t="str">
        <x:f>'Evaluation Plan'!T35</x:f>
        <x:v>The correct target switches to the other same-category instance. This cell is explicit in training and controls recognition/manipulation in the transfer scene.</x:v>
      </x:c>
      <x:c r="U35" s="32" t="n">
        <x:f>'Evaluation Plan'!U35</x:f>
        <x:v>0</x:v>
      </x:c>
    </x:row>
    <x:row r="36" ht="51" customHeight="1">
      <x:c r="A36" s="31" t="str">
        <x:v>Not collected</x:v>
      </x:c>
      <x:c r="B36" s="33" t="n">
        <x:f>'Evaluation Plan'!B36</x:f>
        <x:v>34</x:v>
      </x:c>
      <x:c r="C36" s="31" t="str">
        <x:f>'Evaluation Plan'!C36</x:f>
        <x:v>Move the right-side-up glass spice container into the bowl.</x:v>
      </x:c>
      <x:c r="D36" s="31" t="str">
        <x:f>'Evaluation Plan'!D36</x:f>
        <x:v>glass spice container B (C, RU); glass spice container A (C, UD)</x:v>
      </x:c>
      <x:c r="E36" s="33" t="n">
        <x:f>'Evaluation Plan'!E36</x:f>
        <x:v>32</x:v>
      </x:c>
      <x:c r="F36" s="33" t="str">
        <x:f>'Evaluation Plan'!F36</x:f>
        <x:v>169</x:v>
      </x:c>
      <x:c r="G36" s="31" t="str">
        <x:f>'Evaluation Plan'!G36</x:f>
        <x:v>The canonical transfer scene and masked trajectory reference are unchanged; only the evaluation wording is paraphrased. This remains a language diagnostic and is not pooled into the primary 50.</x:v>
      </x:c>
      <x:c r="H36" s="31" t="str">
        <x:f>'Evaluation Plan'!H36</x:f>
        <x:v>glass spice container B</x:v>
      </x:c>
      <x:c r="I36" s="31" t="str"/>
      <x:c r="J36" s="38" t="str">
        <x:f>'Evaluation Plan'!J36</x:f>
        <x:v>Language robustness</x:v>
      </x:c>
      <x:c r="K36" s="33" t="str">
        <x:f>'Evaluation Plan'!K36</x:f>
        <x:v>SR-CT04</x:v>
      </x:c>
      <x:c r="L36" s="33" t="str">
        <x:f>'Evaluation Plan'!L36</x:f>
        <x:v>RU</x:v>
      </x:c>
      <x:c r="M36" s="33" t="str">
        <x:f>'Evaluation Plan'!M36</x:f>
        <x:v>glass spice container</x:v>
      </x:c>
      <x:c r="N36" s="33" t="n">
        <x:f>'Evaluation Plan'!N36</x:f>
        <x:v>2</x:v>
      </x:c>
      <x:c r="O36" s="33" t="n">
        <x:f>'Evaluation Plan'!O36</x:f>
        <x:v>1</x:v>
      </x:c>
      <x:c r="P36" s="33" t="str">
        <x:f>'Evaluation Plan'!P36</x:f>
        <x:v>Empty</x:v>
      </x:c>
      <x:c r="Q36" s="31" t="str">
        <x:f>'Evaluation Plan'!Q36</x:f>
        <x:v>Primary compositional-transfer prompt paraphrase</x:v>
      </x:c>
      <x:c r="R36" s="33" t="n">
        <x:f>'Evaluation Plan'!R36</x:f>
        <x:v>2</x:v>
      </x:c>
      <x:c r="S36" s="31" t="str">
        <x:f>'Evaluation Plan'!S36</x:f>
        <x:v>Reset the moved object exactly; preserve every object and state; change only the prompt wording.</x:v>
      </x:c>
      <x:c r="T36" s="31" t="str">
        <x:f>'Evaluation Plan'!T36</x:f>
        <x:v>Exact-scene paraphrase of one of the 50 canonical compositional-transfer trials.</x:v>
      </x:c>
      <x:c r="U36" s="31" t="n">
        <x:f>'Evaluation Plan'!U36</x:f>
        <x:v>0</x:v>
      </x:c>
    </x:row>
    <x:row r="37" ht="51" customHeight="1">
      <x:c r="A37" s="32" t="str">
        <x:v>Not collected</x:v>
      </x:c>
      <x:c r="B37" s="34" t="n">
        <x:f>'Evaluation Plan'!B37</x:f>
        <x:v>35</x:v>
      </x:c>
      <x:c r="C37" s="32" t="str">
        <x:f>'Evaluation Plan'!C37</x:f>
        <x:v>Move the inverted glass spice container into the bowl.</x:v>
      </x:c>
      <x:c r="D37" s="32" t="str">
        <x:f>'Evaluation Plan'!D37</x:f>
        <x:v>glass spice container B (C, RU); glass spice container A (C, UD)</x:v>
      </x:c>
      <x:c r="E37" s="34" t="n">
        <x:f>'Evaluation Plan'!E37</x:f>
        <x:v>33</x:v>
      </x:c>
      <x:c r="F37" s="34" t="str">
        <x:f>'Evaluation Plan'!F37</x:f>
        <x:v>177</x:v>
      </x:c>
      <x:c r="G37" s="32" t="str">
        <x:f>'Evaluation Plan'!G37</x:f>
        <x:v>Canonical matched-control cell is training-supported; evaluation wording is paraphrased. No held-out composition is used.</x:v>
      </x:c>
      <x:c r="H37" s="32" t="str">
        <x:f>'Evaluation Plan'!H37</x:f>
        <x:v>glass spice container A</x:v>
      </x:c>
      <x:c r="I37" s="32" t="str"/>
      <x:c r="J37" s="38" t="str">
        <x:f>'Evaluation Plan'!J37</x:f>
        <x:v>Language robustness</x:v>
      </x:c>
      <x:c r="K37" s="34" t="str">
        <x:f>'Evaluation Plan'!K37</x:f>
        <x:v>SR-CT04</x:v>
      </x:c>
      <x:c r="L37" s="34" t="str">
        <x:f>'Evaluation Plan'!L37</x:f>
        <x:v>UD</x:v>
      </x:c>
      <x:c r="M37" s="34" t="str">
        <x:f>'Evaluation Plan'!M37</x:f>
        <x:v>glass spice container</x:v>
      </x:c>
      <x:c r="N37" s="34" t="n">
        <x:f>'Evaluation Plan'!N37</x:f>
        <x:v>2</x:v>
      </x:c>
      <x:c r="O37" s="34" t="n">
        <x:f>'Evaluation Plan'!O37</x:f>
        <x:v>1</x:v>
      </x:c>
      <x:c r="P37" s="34" t="str">
        <x:f>'Evaluation Plan'!P37</x:f>
        <x:v>Empty</x:v>
      </x:c>
      <x:c r="Q37" s="32" t="str">
        <x:f>'Evaluation Plan'!Q37</x:f>
        <x:v>Matched-control state prompt paraphrase</x:v>
      </x:c>
      <x:c r="R37" s="34" t="n">
        <x:f>'Evaluation Plan'!R37</x:f>
        <x:v>2</x:v>
      </x:c>
      <x:c r="S37" s="32" t="str">
        <x:f>'Evaluation Plan'!S37</x:f>
        <x:v>Reset the moved object exactly; preserve the scene; change only the prompt wording.</x:v>
      </x:c>
      <x:c r="T37" s="32" t="str">
        <x:f>'Evaluation Plan'!T37</x:f>
        <x:v>This is one of 10 language trials paired with a matched trained-state control.</x:v>
      </x:c>
      <x:c r="U37" s="32" t="n">
        <x:f>'Evaluation Plan'!U37</x:f>
        <x:v>0</x:v>
      </x:c>
    </x:row>
    <x:row r="38" ht="51" customHeight="1">
      <x:c r="A38" s="40" t="str">
        <x:v>Not collected</x:v>
      </x:c>
      <x:c r="B38" s="41" t="n">
        <x:f>'Evaluation Plan'!B38</x:f>
        <x:v>36</x:v>
      </x:c>
      <x:c r="C38" s="40" t="str">
        <x:f>'Evaluation Plan'!C38</x:f>
        <x:v>Place the upside-down white cup in the bowl.</x:v>
      </x:c>
      <x:c r="D38" s="40" t="str">
        <x:f>'Evaluation Plan'!D38</x:f>
        <x:v>white cup A (O, UD); white cup B (O, RU); brown cup A (C, RU)</x:v>
      </x:c>
      <x:c r="E38" s="41" t="str">
        <x:f>'Evaluation Plan'!E38</x:f>
      </x:c>
      <x:c r="F38" s="41" t="str">
        <x:f>'Evaluation Plan'!F38</x:f>
        <x:v>30</x:v>
      </x:c>
      <x:c r="G38" s="40" t="str">
        <x:f>'Evaluation Plan'!G38</x:f>
        <x:v>Physical-state and manipulation-trajectory reference under a direct category prompt; the evaluated state word × object-category cell is intentionally absent from training.</x:v>
      </x:c>
      <x:c r="H38" s="40" t="str">
        <x:f>'Evaluation Plan'!H38</x:f>
        <x:v>white cup A</x:v>
      </x:c>
      <x:c r="I38" s="40" t="str"/>
      <x:c r="J38" s="45" t="str">
        <x:f>'Evaluation Plan'!J38</x:f>
        <x:v>Concept/compositional transfer</x:v>
      </x:c>
      <x:c r="K38" s="41" t="str">
        <x:f>'Evaluation Plan'!K38</x:f>
        <x:v>SR-CT05</x:v>
      </x:c>
      <x:c r="L38" s="41" t="str">
        <x:f>'Evaluation Plan'!L38</x:f>
        <x:v>UD</x:v>
      </x:c>
      <x:c r="M38" s="41" t="str">
        <x:f>'Evaluation Plan'!M38</x:f>
        <x:v>white cup</x:v>
      </x:c>
      <x:c r="N38" s="41" t="n">
        <x:f>'Evaluation Plan'!N38</x:f>
        <x:v>3</x:v>
      </x:c>
      <x:c r="O38" s="41" t="n">
        <x:f>'Evaluation Plan'!O38</x:f>
        <x:v>1</x:v>
      </x:c>
      <x:c r="P38" s="41" t="str">
        <x:f>'Evaluation Plan'!P38</x:f>
        <x:v>Empty</x:v>
      </x:c>
      <x:c r="Q38" s="40" t="str">
        <x:f>'Evaluation Plan'!Q38</x:f>
        <x:v>Primary held-out state-object composition</x:v>
      </x:c>
      <x:c r="R38" s="41" t="n">
        <x:f>'Evaluation Plan'!R38</x:f>
        <x:v>2</x:v>
      </x:c>
      <x:c r="S38" s="40" t="str">
        <x:f>'Evaluation Plan'!S38</x:f>
        <x:v>Build the listed same-category discrimination scene with the bowl empty.</x:v>
      </x:c>
      <x:c r="T38" s="40" t="str">
        <x:f>'Evaluation Plan'!T38</x:f>
        <x:v>Two same-category candidates share the non-queried state axis; only the held-out state word identifies the target.</x:v>
      </x:c>
      <x:c r="U38" s="40" t="n">
        <x:f>'Evaluation Plan'!U38</x:f>
        <x:v>0</x:v>
      </x:c>
    </x:row>
    <x:row r="39" ht="51" customHeight="1">
      <x:c r="A39" s="32" t="str">
        <x:v>Not collected</x:v>
      </x:c>
      <x:c r="B39" s="34" t="n">
        <x:f>'Evaluation Plan'!B39</x:f>
        <x:v>37</x:v>
      </x:c>
      <x:c r="C39" s="32" t="str">
        <x:f>'Evaluation Plan'!C39</x:f>
        <x:v>Place the upright white cup in the bowl.</x:v>
      </x:c>
      <x:c r="D39" s="32" t="str">
        <x:f>'Evaluation Plan'!D39</x:f>
        <x:v>white cup A (O, UD); white cup B (O, RU); brown cup A (C, RU)</x:v>
      </x:c>
      <x:c r="E39" s="34" t="n">
        <x:f>'Evaluation Plan'!E39</x:f>
        <x:v>36</x:v>
      </x:c>
      <x:c r="F39" s="34" t="str">
        <x:f>'Evaluation Plan'!F39</x:f>
        <x:v>31</x:v>
      </x:c>
      <x:c r="G39" s="32" t="str">
        <x:f>'Evaluation Plan'!G39</x:f>
        <x:v>Training-supported state-object cell for the control. The evaluation scene is shared exactly with the paired transfer row, while the physical layout is manually recreated.</x:v>
      </x:c>
      <x:c r="H39" s="32" t="str">
        <x:f>'Evaluation Plan'!H39</x:f>
        <x:v>white cup B</x:v>
      </x:c>
      <x:c r="I39" s="32" t="str"/>
      <x:c r="J39" s="37" t="str">
        <x:f>'Evaluation Plan'!J39</x:f>
        <x:v>Matched manipulation control</x:v>
      </x:c>
      <x:c r="K39" s="34" t="str">
        <x:f>'Evaluation Plan'!K39</x:f>
        <x:v>SR-CT05</x:v>
      </x:c>
      <x:c r="L39" s="34" t="str">
        <x:f>'Evaluation Plan'!L39</x:f>
        <x:v>RU</x:v>
      </x:c>
      <x:c r="M39" s="34" t="str">
        <x:f>'Evaluation Plan'!M39</x:f>
        <x:v>white cup</x:v>
      </x:c>
      <x:c r="N39" s="34" t="n">
        <x:f>'Evaluation Plan'!N39</x:f>
        <x:v>3</x:v>
      </x:c>
      <x:c r="O39" s="34" t="n">
        <x:f>'Evaluation Plan'!O39</x:f>
        <x:v>1</x:v>
      </x:c>
      <x:c r="P39" s="34" t="str">
        <x:f>'Evaluation Plan'!P39</x:f>
        <x:v>Empty</x:v>
      </x:c>
      <x:c r="Q39" s="32" t="str">
        <x:f>'Evaluation Plan'!Q39</x:f>
        <x:v>Exact-scene trained state-object counterfactual</x:v>
      </x:c>
      <x:c r="R39" s="34" t="n">
        <x:f>'Evaluation Plan'!R39</x:f>
        <x:v>2</x:v>
      </x:c>
      <x:c r="S39" s="32" t="str">
        <x:f>'Evaluation Plan'!S39</x:f>
        <x:v>Reset the moved object exactly; preserve every object and state; change only the prompt and expected target.</x:v>
      </x:c>
      <x:c r="T39" s="32" t="str">
        <x:f>'Evaluation Plan'!T39</x:f>
        <x:v>The correct target switches to the other same-category instance. This cell is explicit in training and controls recognition/manipulation in the transfer scene.</x:v>
      </x:c>
      <x:c r="U39" s="32" t="n">
        <x:f>'Evaluation Plan'!U39</x:f>
        <x:v>0</x:v>
      </x:c>
    </x:row>
    <x:row r="40" ht="51" customHeight="1">
      <x:c r="A40" s="31" t="str">
        <x:v>Not collected</x:v>
      </x:c>
      <x:c r="B40" s="33" t="n">
        <x:f>'Evaluation Plan'!B40</x:f>
        <x:v>38</x:v>
      </x:c>
      <x:c r="C40" s="31" t="str">
        <x:f>'Evaluation Plan'!C40</x:f>
        <x:v>Move the inverted white cup into the bowl.</x:v>
      </x:c>
      <x:c r="D40" s="31" t="str">
        <x:f>'Evaluation Plan'!D40</x:f>
        <x:v>white cup A (O, UD); white cup B (O, RU); brown cup A (C, RU)</x:v>
      </x:c>
      <x:c r="E40" s="33" t="n">
        <x:f>'Evaluation Plan'!E40</x:f>
        <x:v>36</x:v>
      </x:c>
      <x:c r="F40" s="33" t="str">
        <x:f>'Evaluation Plan'!F40</x:f>
        <x:v>30</x:v>
      </x:c>
      <x:c r="G40" s="31" t="str">
        <x:f>'Evaluation Plan'!G40</x:f>
        <x:v>The canonical transfer scene and masked trajectory reference are unchanged; only the evaluation wording is paraphrased. This remains a language diagnostic and is not pooled into the primary 50.</x:v>
      </x:c>
      <x:c r="H40" s="31" t="str">
        <x:f>'Evaluation Plan'!H40</x:f>
        <x:v>white cup A</x:v>
      </x:c>
      <x:c r="I40" s="31" t="str"/>
      <x:c r="J40" s="38" t="str">
        <x:f>'Evaluation Plan'!J40</x:f>
        <x:v>Language robustness</x:v>
      </x:c>
      <x:c r="K40" s="33" t="str">
        <x:f>'Evaluation Plan'!K40</x:f>
        <x:v>SR-CT05</x:v>
      </x:c>
      <x:c r="L40" s="33" t="str">
        <x:f>'Evaluation Plan'!L40</x:f>
        <x:v>UD</x:v>
      </x:c>
      <x:c r="M40" s="33" t="str">
        <x:f>'Evaluation Plan'!M40</x:f>
        <x:v>white cup</x:v>
      </x:c>
      <x:c r="N40" s="33" t="n">
        <x:f>'Evaluation Plan'!N40</x:f>
        <x:v>3</x:v>
      </x:c>
      <x:c r="O40" s="33" t="n">
        <x:f>'Evaluation Plan'!O40</x:f>
        <x:v>1</x:v>
      </x:c>
      <x:c r="P40" s="33" t="str">
        <x:f>'Evaluation Plan'!P40</x:f>
        <x:v>Empty</x:v>
      </x:c>
      <x:c r="Q40" s="31" t="str">
        <x:f>'Evaluation Plan'!Q40</x:f>
        <x:v>Primary compositional-transfer prompt paraphrase</x:v>
      </x:c>
      <x:c r="R40" s="33" t="n">
        <x:f>'Evaluation Plan'!R40</x:f>
        <x:v>2</x:v>
      </x:c>
      <x:c r="S40" s="31" t="str">
        <x:f>'Evaluation Plan'!S40</x:f>
        <x:v>Reset the moved object exactly; preserve every object and state; change only the prompt wording.</x:v>
      </x:c>
      <x:c r="T40" s="31" t="str">
        <x:f>'Evaluation Plan'!T40</x:f>
        <x:v>Exact-scene paraphrase of one of the 50 canonical compositional-transfer trials.</x:v>
      </x:c>
      <x:c r="U40" s="31" t="n">
        <x:f>'Evaluation Plan'!U40</x:f>
        <x:v>0</x:v>
      </x:c>
    </x:row>
    <x:row r="41" ht="51" customHeight="1">
      <x:c r="A41" s="32" t="str">
        <x:v>Not collected</x:v>
      </x:c>
      <x:c r="B41" s="34" t="n">
        <x:f>'Evaluation Plan'!B41</x:f>
        <x:v>39</x:v>
      </x:c>
      <x:c r="C41" s="32" t="str">
        <x:f>'Evaluation Plan'!C41</x:f>
        <x:v>Move the right-side-up white cup into the bowl.</x:v>
      </x:c>
      <x:c r="D41" s="32" t="str">
        <x:f>'Evaluation Plan'!D41</x:f>
        <x:v>white cup A (O, UD); white cup B (O, RU); brown cup A (C, RU)</x:v>
      </x:c>
      <x:c r="E41" s="34" t="n">
        <x:f>'Evaluation Plan'!E41</x:f>
        <x:v>37</x:v>
      </x:c>
      <x:c r="F41" s="34" t="str">
        <x:f>'Evaluation Plan'!F41</x:f>
        <x:v>31</x:v>
      </x:c>
      <x:c r="G41" s="32" t="str">
        <x:f>'Evaluation Plan'!G41</x:f>
        <x:v>Canonical matched-control cell is training-supported; evaluation wording is paraphrased. No held-out composition is used.</x:v>
      </x:c>
      <x:c r="H41" s="32" t="str">
        <x:f>'Evaluation Plan'!H41</x:f>
        <x:v>white cup B</x:v>
      </x:c>
      <x:c r="I41" s="32" t="str"/>
      <x:c r="J41" s="38" t="str">
        <x:f>'Evaluation Plan'!J41</x:f>
        <x:v>Language robustness</x:v>
      </x:c>
      <x:c r="K41" s="34" t="str">
        <x:f>'Evaluation Plan'!K41</x:f>
        <x:v>SR-CT05</x:v>
      </x:c>
      <x:c r="L41" s="34" t="str">
        <x:f>'Evaluation Plan'!L41</x:f>
        <x:v>RU</x:v>
      </x:c>
      <x:c r="M41" s="34" t="str">
        <x:f>'Evaluation Plan'!M41</x:f>
        <x:v>white cup</x:v>
      </x:c>
      <x:c r="N41" s="34" t="n">
        <x:f>'Evaluation Plan'!N41</x:f>
        <x:v>3</x:v>
      </x:c>
      <x:c r="O41" s="34" t="n">
        <x:f>'Evaluation Plan'!O41</x:f>
        <x:v>1</x:v>
      </x:c>
      <x:c r="P41" s="34" t="str">
        <x:f>'Evaluation Plan'!P41</x:f>
        <x:v>Empty</x:v>
      </x:c>
      <x:c r="Q41" s="32" t="str">
        <x:f>'Evaluation Plan'!Q41</x:f>
        <x:v>Matched-control state prompt paraphrase</x:v>
      </x:c>
      <x:c r="R41" s="34" t="n">
        <x:f>'Evaluation Plan'!R41</x:f>
        <x:v>2</x:v>
      </x:c>
      <x:c r="S41" s="32" t="str">
        <x:f>'Evaluation Plan'!S41</x:f>
        <x:v>Reset the moved object exactly; preserve the scene; change only the prompt wording.</x:v>
      </x:c>
      <x:c r="T41" s="32" t="str">
        <x:f>'Evaluation Plan'!T41</x:f>
        <x:v>This is one of 10 language trials paired with a matched trained-state control.</x:v>
      </x:c>
      <x:c r="U41" s="32" t="n">
        <x:f>'Evaluation Plan'!U41</x:f>
        <x:v>0</x:v>
      </x:c>
    </x:row>
    <x:row r="42" ht="51" customHeight="1">
      <x:c r="A42" s="40" t="str">
        <x:v>Not collected</x:v>
      </x:c>
      <x:c r="B42" s="41" t="n">
        <x:f>'Evaluation Plan'!B42</x:f>
        <x:v>40</x:v>
      </x:c>
      <x:c r="C42" s="40" t="str">
        <x:f>'Evaluation Plan'!C42</x:f>
        <x:v>Place the open yellow-white striped cup in the bowl.</x:v>
      </x:c>
      <x:c r="D42" s="40" t="str">
        <x:f>'Evaluation Plan'!D42</x:f>
        <x:v>yellow-white striped cup B (O, UD); yellow-white striped cup A (C, UD); glass spice container B (O, RU); white cup A (C, UD)</x:v>
      </x:c>
      <x:c r="E42" s="41" t="str">
        <x:f>'Evaluation Plan'!E42</x:f>
      </x:c>
      <x:c r="F42" s="41" t="str">
        <x:f>'Evaluation Plan'!F42</x:f>
        <x:v>53</x:v>
      </x:c>
      <x:c r="G42" s="40" t="str">
        <x:f>'Evaluation Plan'!G42</x:f>
        <x:v>Physical-state and manipulation-trajectory reference under a direct category prompt; the evaluated state word × object-category cell is intentionally absent from training.</x:v>
      </x:c>
      <x:c r="H42" s="40" t="str">
        <x:f>'Evaluation Plan'!H42</x:f>
        <x:v>yellow-white striped cup B</x:v>
      </x:c>
      <x:c r="I42" s="40" t="str"/>
      <x:c r="J42" s="45" t="str">
        <x:f>'Evaluation Plan'!J42</x:f>
        <x:v>Concept/compositional transfer</x:v>
      </x:c>
      <x:c r="K42" s="41" t="str">
        <x:f>'Evaluation Plan'!K42</x:f>
        <x:v>SR-CT06</x:v>
      </x:c>
      <x:c r="L42" s="41" t="str">
        <x:f>'Evaluation Plan'!L42</x:f>
        <x:v>O</x:v>
      </x:c>
      <x:c r="M42" s="41" t="str">
        <x:f>'Evaluation Plan'!M42</x:f>
        <x:v>yellow-white striped cup</x:v>
      </x:c>
      <x:c r="N42" s="41" t="n">
        <x:f>'Evaluation Plan'!N42</x:f>
        <x:v>4</x:v>
      </x:c>
      <x:c r="O42" s="41" t="n">
        <x:f>'Evaluation Plan'!O42</x:f>
        <x:v>1</x:v>
      </x:c>
      <x:c r="P42" s="41" t="str">
        <x:f>'Evaluation Plan'!P42</x:f>
        <x:v>Empty</x:v>
      </x:c>
      <x:c r="Q42" s="40" t="str">
        <x:f>'Evaluation Plan'!Q42</x:f>
        <x:v>Primary held-out state-object composition</x:v>
      </x:c>
      <x:c r="R42" s="41" t="n">
        <x:f>'Evaluation Plan'!R42</x:f>
        <x:v>2</x:v>
      </x:c>
      <x:c r="S42" s="40" t="str">
        <x:f>'Evaluation Plan'!S42</x:f>
        <x:v>Build the listed same-category discrimination scene with the bowl empty.</x:v>
      </x:c>
      <x:c r="T42" s="40" t="str">
        <x:f>'Evaluation Plan'!T42</x:f>
        <x:v>Two same-category candidates share the non-queried state axis; only the held-out state word identifies the target.</x:v>
      </x:c>
      <x:c r="U42" s="40" t="n">
        <x:f>'Evaluation Plan'!U42</x:f>
        <x:v>0</x:v>
      </x:c>
    </x:row>
    <x:row r="43" ht="51" customHeight="1">
      <x:c r="A43" s="32" t="str">
        <x:v>Not collected</x:v>
      </x:c>
      <x:c r="B43" s="34" t="n">
        <x:f>'Evaluation Plan'!B43</x:f>
        <x:v>41</x:v>
      </x:c>
      <x:c r="C43" s="32" t="str">
        <x:f>'Evaluation Plan'!C43</x:f>
        <x:v>Place the closed yellow-white striped cup in the bowl.</x:v>
      </x:c>
      <x:c r="D43" s="32" t="str">
        <x:f>'Evaluation Plan'!D43</x:f>
        <x:v>yellow-white striped cup B (O, UD); yellow-white striped cup A (C, UD); glass spice container B (O, RU); white cup A (C, UD)</x:v>
      </x:c>
      <x:c r="E43" s="34" t="n">
        <x:f>'Evaluation Plan'!E43</x:f>
        <x:v>40</x:v>
      </x:c>
      <x:c r="F43" s="34" t="str">
        <x:f>'Evaluation Plan'!F43</x:f>
        <x:v>61</x:v>
      </x:c>
      <x:c r="G43" s="32" t="str">
        <x:f>'Evaluation Plan'!G43</x:f>
        <x:v>Training-supported state-object cell for the control. The evaluation scene is shared exactly with the paired transfer row, while the physical layout is manually recreated.</x:v>
      </x:c>
      <x:c r="H43" s="32" t="str">
        <x:f>'Evaluation Plan'!H43</x:f>
        <x:v>yellow-white striped cup A</x:v>
      </x:c>
      <x:c r="I43" s="32" t="str"/>
      <x:c r="J43" s="37" t="str">
        <x:f>'Evaluation Plan'!J43</x:f>
        <x:v>Matched manipulation control</x:v>
      </x:c>
      <x:c r="K43" s="34" t="str">
        <x:f>'Evaluation Plan'!K43</x:f>
        <x:v>SR-CT06</x:v>
      </x:c>
      <x:c r="L43" s="34" t="str">
        <x:f>'Evaluation Plan'!L43</x:f>
        <x:v>C</x:v>
      </x:c>
      <x:c r="M43" s="34" t="str">
        <x:f>'Evaluation Plan'!M43</x:f>
        <x:v>yellow-white striped cup</x:v>
      </x:c>
      <x:c r="N43" s="34" t="n">
        <x:f>'Evaluation Plan'!N43</x:f>
        <x:v>4</x:v>
      </x:c>
      <x:c r="O43" s="34" t="n">
        <x:f>'Evaluation Plan'!O43</x:f>
        <x:v>1</x:v>
      </x:c>
      <x:c r="P43" s="34" t="str">
        <x:f>'Evaluation Plan'!P43</x:f>
        <x:v>Empty</x:v>
      </x:c>
      <x:c r="Q43" s="32" t="str">
        <x:f>'Evaluation Plan'!Q43</x:f>
        <x:v>Exact-scene trained state-object counterfactual</x:v>
      </x:c>
      <x:c r="R43" s="34" t="n">
        <x:f>'Evaluation Plan'!R43</x:f>
        <x:v>2</x:v>
      </x:c>
      <x:c r="S43" s="32" t="str">
        <x:f>'Evaluation Plan'!S43</x:f>
        <x:v>Reset the moved object exactly; preserve every object and state; change only the prompt and expected target.</x:v>
      </x:c>
      <x:c r="T43" s="32" t="str">
        <x:f>'Evaluation Plan'!T43</x:f>
        <x:v>The correct target switches to the other same-category instance. This cell is explicit in training and controls recognition/manipulation in the transfer scene.</x:v>
      </x:c>
      <x:c r="U43" s="32" t="n">
        <x:f>'Evaluation Plan'!U43</x:f>
        <x:v>0</x:v>
      </x:c>
    </x:row>
    <x:row r="44" ht="51" customHeight="1">
      <x:c r="A44" s="31" t="str">
        <x:v>Not collected</x:v>
      </x:c>
      <x:c r="B44" s="33" t="n">
        <x:f>'Evaluation Plan'!B44</x:f>
        <x:v>42</x:v>
      </x:c>
      <x:c r="C44" s="31" t="str">
        <x:f>'Evaluation Plan'!C44</x:f>
        <x:v>Move the yellow-white striped cup whose opening is uncovered into the bowl.</x:v>
      </x:c>
      <x:c r="D44" s="31" t="str">
        <x:f>'Evaluation Plan'!D44</x:f>
        <x:v>yellow-white striped cup B (O, UD); yellow-white striped cup A (C, UD); glass spice container B (O, RU); white cup A (C, UD)</x:v>
      </x:c>
      <x:c r="E44" s="33" t="n">
        <x:f>'Evaluation Plan'!E44</x:f>
        <x:v>40</x:v>
      </x:c>
      <x:c r="F44" s="33" t="str">
        <x:f>'Evaluation Plan'!F44</x:f>
        <x:v>53</x:v>
      </x:c>
      <x:c r="G44" s="31" t="str">
        <x:f>'Evaluation Plan'!G44</x:f>
        <x:v>The canonical transfer scene and masked trajectory reference are unchanged; only the evaluation wording is paraphrased. This remains a language diagnostic and is not pooled into the primary 50.</x:v>
      </x:c>
      <x:c r="H44" s="31" t="str">
        <x:f>'Evaluation Plan'!H44</x:f>
        <x:v>yellow-white striped cup B</x:v>
      </x:c>
      <x:c r="I44" s="31" t="str"/>
      <x:c r="J44" s="38" t="str">
        <x:f>'Evaluation Plan'!J44</x:f>
        <x:v>Language robustness</x:v>
      </x:c>
      <x:c r="K44" s="33" t="str">
        <x:f>'Evaluation Plan'!K44</x:f>
        <x:v>SR-CT06</x:v>
      </x:c>
      <x:c r="L44" s="33" t="str">
        <x:f>'Evaluation Plan'!L44</x:f>
        <x:v>O</x:v>
      </x:c>
      <x:c r="M44" s="33" t="str">
        <x:f>'Evaluation Plan'!M44</x:f>
        <x:v>yellow-white striped cup</x:v>
      </x:c>
      <x:c r="N44" s="33" t="n">
        <x:f>'Evaluation Plan'!N44</x:f>
        <x:v>4</x:v>
      </x:c>
      <x:c r="O44" s="33" t="n">
        <x:f>'Evaluation Plan'!O44</x:f>
        <x:v>1</x:v>
      </x:c>
      <x:c r="P44" s="33" t="str">
        <x:f>'Evaluation Plan'!P44</x:f>
        <x:v>Empty</x:v>
      </x:c>
      <x:c r="Q44" s="31" t="str">
        <x:f>'Evaluation Plan'!Q44</x:f>
        <x:v>Primary compositional-transfer prompt paraphrase</x:v>
      </x:c>
      <x:c r="R44" s="33" t="n">
        <x:f>'Evaluation Plan'!R44</x:f>
        <x:v>2</x:v>
      </x:c>
      <x:c r="S44" s="31" t="str">
        <x:f>'Evaluation Plan'!S44</x:f>
        <x:v>Reset the moved object exactly; preserve every object and state; change only the prompt wording.</x:v>
      </x:c>
      <x:c r="T44" s="31" t="str">
        <x:f>'Evaluation Plan'!T44</x:f>
        <x:v>Exact-scene paraphrase of one of the 50 canonical compositional-transfer trials.</x:v>
      </x:c>
      <x:c r="U44" s="31" t="n">
        <x:f>'Evaluation Plan'!U44</x:f>
        <x:v>0</x:v>
      </x:c>
    </x:row>
    <x:row r="45" ht="51" customHeight="1">
      <x:c r="A45" s="32" t="str">
        <x:v>Not collected</x:v>
      </x:c>
      <x:c r="B45" s="34" t="n">
        <x:f>'Evaluation Plan'!B45</x:f>
        <x:v>43</x:v>
      </x:c>
      <x:c r="C45" s="32" t="str">
        <x:f>'Evaluation Plan'!C45</x:f>
        <x:v>Move the yellow-white striped cup whose opening is covered into the bowl.</x:v>
      </x:c>
      <x:c r="D45" s="32" t="str">
        <x:f>'Evaluation Plan'!D45</x:f>
        <x:v>yellow-white striped cup B (O, UD); yellow-white striped cup A (C, UD); glass spice container B (O, RU); white cup A (C, UD)</x:v>
      </x:c>
      <x:c r="E45" s="34" t="n">
        <x:f>'Evaluation Plan'!E45</x:f>
        <x:v>41</x:v>
      </x:c>
      <x:c r="F45" s="34" t="str">
        <x:f>'Evaluation Plan'!F45</x:f>
        <x:v>61</x:v>
      </x:c>
      <x:c r="G45" s="32" t="str">
        <x:f>'Evaluation Plan'!G45</x:f>
        <x:v>Canonical matched-control cell is training-supported; evaluation wording is paraphrased. No held-out composition is used.</x:v>
      </x:c>
      <x:c r="H45" s="32" t="str">
        <x:f>'Evaluation Plan'!H45</x:f>
        <x:v>yellow-white striped cup A</x:v>
      </x:c>
      <x:c r="I45" s="32" t="str"/>
      <x:c r="J45" s="38" t="str">
        <x:f>'Evaluation Plan'!J45</x:f>
        <x:v>Language robustness</x:v>
      </x:c>
      <x:c r="K45" s="34" t="str">
        <x:f>'Evaluation Plan'!K45</x:f>
        <x:v>SR-CT06</x:v>
      </x:c>
      <x:c r="L45" s="34" t="str">
        <x:f>'Evaluation Plan'!L45</x:f>
        <x:v>C</x:v>
      </x:c>
      <x:c r="M45" s="34" t="str">
        <x:f>'Evaluation Plan'!M45</x:f>
        <x:v>yellow-white striped cup</x:v>
      </x:c>
      <x:c r="N45" s="34" t="n">
        <x:f>'Evaluation Plan'!N45</x:f>
        <x:v>4</x:v>
      </x:c>
      <x:c r="O45" s="34" t="n">
        <x:f>'Evaluation Plan'!O45</x:f>
        <x:v>1</x:v>
      </x:c>
      <x:c r="P45" s="34" t="str">
        <x:f>'Evaluation Plan'!P45</x:f>
        <x:v>Empty</x:v>
      </x:c>
      <x:c r="Q45" s="32" t="str">
        <x:f>'Evaluation Plan'!Q45</x:f>
        <x:v>Matched-control state prompt paraphrase</x:v>
      </x:c>
      <x:c r="R45" s="34" t="n">
        <x:f>'Evaluation Plan'!R45</x:f>
        <x:v>2</x:v>
      </x:c>
      <x:c r="S45" s="32" t="str">
        <x:f>'Evaluation Plan'!S45</x:f>
        <x:v>Reset the moved object exactly; preserve the scene; change only the prompt wording.</x:v>
      </x:c>
      <x:c r="T45" s="32" t="str">
        <x:f>'Evaluation Plan'!T45</x:f>
        <x:v>This is one of 10 language trials paired with a matched trained-state control.</x:v>
      </x:c>
      <x:c r="U45" s="32" t="n">
        <x:f>'Evaluation Plan'!U45</x:f>
        <x:v>0</x:v>
      </x:c>
    </x:row>
    <x:row r="46" ht="51" customHeight="1">
      <x:c r="A46" s="40" t="str">
        <x:v>Not collected</x:v>
      </x:c>
      <x:c r="B46" s="41" t="n">
        <x:f>'Evaluation Plan'!B46</x:f>
        <x:v>44</x:v>
      </x:c>
      <x:c r="C46" s="40" t="str">
        <x:f>'Evaluation Plan'!C46</x:f>
        <x:v>Place the closed brown cup in the bowl.</x:v>
      </x:c>
      <x:c r="D46" s="40" t="str">
        <x:f>'Evaluation Plan'!D46</x:f>
        <x:v>brown cup A (C, UD); brown cup B (O, UD)</x:v>
      </x:c>
      <x:c r="E46" s="41" t="str">
        <x:f>'Evaluation Plan'!E46</x:f>
      </x:c>
      <x:c r="F46" s="41" t="str">
        <x:f>'Evaluation Plan'!F46</x:f>
        <x:v>107</x:v>
      </x:c>
      <x:c r="G46" s="40" t="str">
        <x:f>'Evaluation Plan'!G46</x:f>
        <x:v>Physical-state and manipulation-trajectory reference under a direct category prompt; the evaluated state word × object-category cell is intentionally absent from training.</x:v>
      </x:c>
      <x:c r="H46" s="40" t="str">
        <x:f>'Evaluation Plan'!H46</x:f>
        <x:v>brown cup A</x:v>
      </x:c>
      <x:c r="I46" s="40" t="str"/>
      <x:c r="J46" s="45" t="str">
        <x:f>'Evaluation Plan'!J46</x:f>
        <x:v>Concept/compositional transfer</x:v>
      </x:c>
      <x:c r="K46" s="41" t="str">
        <x:f>'Evaluation Plan'!K46</x:f>
        <x:v>SR-CT07</x:v>
      </x:c>
      <x:c r="L46" s="41" t="str">
        <x:f>'Evaluation Plan'!L46</x:f>
        <x:v>C</x:v>
      </x:c>
      <x:c r="M46" s="41" t="str">
        <x:f>'Evaluation Plan'!M46</x:f>
        <x:v>brown cup</x:v>
      </x:c>
      <x:c r="N46" s="41" t="n">
        <x:f>'Evaluation Plan'!N46</x:f>
        <x:v>2</x:v>
      </x:c>
      <x:c r="O46" s="41" t="n">
        <x:f>'Evaluation Plan'!O46</x:f>
        <x:v>1</x:v>
      </x:c>
      <x:c r="P46" s="41" t="str">
        <x:f>'Evaluation Plan'!P46</x:f>
        <x:v>Empty</x:v>
      </x:c>
      <x:c r="Q46" s="40" t="str">
        <x:f>'Evaluation Plan'!Q46</x:f>
        <x:v>Primary held-out state-object composition</x:v>
      </x:c>
      <x:c r="R46" s="41" t="n">
        <x:f>'Evaluation Plan'!R46</x:f>
        <x:v>2</x:v>
      </x:c>
      <x:c r="S46" s="40" t="str">
        <x:f>'Evaluation Plan'!S46</x:f>
        <x:v>Build the listed same-category discrimination scene with the bowl empty.</x:v>
      </x:c>
      <x:c r="T46" s="40" t="str">
        <x:f>'Evaluation Plan'!T46</x:f>
        <x:v>Two same-category candidates share the non-queried state axis; only the held-out state word identifies the target.</x:v>
      </x:c>
      <x:c r="U46" s="40" t="n">
        <x:f>'Evaluation Plan'!U46</x:f>
        <x:v>0</x:v>
      </x:c>
    </x:row>
    <x:row r="47" ht="51" customHeight="1">
      <x:c r="A47" s="32" t="str">
        <x:v>Not collected</x:v>
      </x:c>
      <x:c r="B47" s="34" t="n">
        <x:f>'Evaluation Plan'!B47</x:f>
        <x:v>45</x:v>
      </x:c>
      <x:c r="C47" s="32" t="str">
        <x:f>'Evaluation Plan'!C47</x:f>
        <x:v>Place the open brown cup in the bowl.</x:v>
      </x:c>
      <x:c r="D47" s="32" t="str">
        <x:f>'Evaluation Plan'!D47</x:f>
        <x:v>brown cup A (C, UD); brown cup B (O, UD)</x:v>
      </x:c>
      <x:c r="E47" s="34" t="n">
        <x:f>'Evaluation Plan'!E47</x:f>
        <x:v>44</x:v>
      </x:c>
      <x:c r="F47" s="34" t="str">
        <x:f>'Evaluation Plan'!F47</x:f>
        <x:v>106</x:v>
      </x:c>
      <x:c r="G47" s="32" t="str">
        <x:f>'Evaluation Plan'!G47</x:f>
        <x:v>Training-supported state-object cell for the control. The evaluation scene is shared exactly with the paired transfer row, while the physical layout is manually recreated.</x:v>
      </x:c>
      <x:c r="H47" s="32" t="str">
        <x:f>'Evaluation Plan'!H47</x:f>
        <x:v>brown cup B</x:v>
      </x:c>
      <x:c r="I47" s="32" t="str"/>
      <x:c r="J47" s="37" t="str">
        <x:f>'Evaluation Plan'!J47</x:f>
        <x:v>Matched manipulation control</x:v>
      </x:c>
      <x:c r="K47" s="34" t="str">
        <x:f>'Evaluation Plan'!K47</x:f>
        <x:v>SR-CT07</x:v>
      </x:c>
      <x:c r="L47" s="34" t="str">
        <x:f>'Evaluation Plan'!L47</x:f>
        <x:v>O</x:v>
      </x:c>
      <x:c r="M47" s="34" t="str">
        <x:f>'Evaluation Plan'!M47</x:f>
        <x:v>brown cup</x:v>
      </x:c>
      <x:c r="N47" s="34" t="n">
        <x:f>'Evaluation Plan'!N47</x:f>
        <x:v>2</x:v>
      </x:c>
      <x:c r="O47" s="34" t="n">
        <x:f>'Evaluation Plan'!O47</x:f>
        <x:v>1</x:v>
      </x:c>
      <x:c r="P47" s="34" t="str">
        <x:f>'Evaluation Plan'!P47</x:f>
        <x:v>Empty</x:v>
      </x:c>
      <x:c r="Q47" s="32" t="str">
        <x:f>'Evaluation Plan'!Q47</x:f>
        <x:v>Exact-scene trained state-object counterfactual</x:v>
      </x:c>
      <x:c r="R47" s="34" t="n">
        <x:f>'Evaluation Plan'!R47</x:f>
        <x:v>2</x:v>
      </x:c>
      <x:c r="S47" s="32" t="str">
        <x:f>'Evaluation Plan'!S47</x:f>
        <x:v>Reset the moved object exactly; preserve every object and state; change only the prompt and expected target.</x:v>
      </x:c>
      <x:c r="T47" s="32" t="str">
        <x:f>'Evaluation Plan'!T47</x:f>
        <x:v>The correct target switches to the other same-category instance. This cell is explicit in training and controls recognition/manipulation in the transfer scene.</x:v>
      </x:c>
      <x:c r="U47" s="32" t="n">
        <x:f>'Evaluation Plan'!U47</x:f>
        <x:v>0</x:v>
      </x:c>
    </x:row>
    <x:row r="48" ht="51" customHeight="1">
      <x:c r="A48" s="31" t="str">
        <x:v>Not collected</x:v>
      </x:c>
      <x:c r="B48" s="33" t="n">
        <x:f>'Evaluation Plan'!B48</x:f>
        <x:v>46</x:v>
      </x:c>
      <x:c r="C48" s="31" t="str">
        <x:f>'Evaluation Plan'!C48</x:f>
        <x:v>Move the brown cup whose opening is covered into the bowl.</x:v>
      </x:c>
      <x:c r="D48" s="31" t="str">
        <x:f>'Evaluation Plan'!D48</x:f>
        <x:v>brown cup A (C, UD); brown cup B (O, UD)</x:v>
      </x:c>
      <x:c r="E48" s="33" t="n">
        <x:f>'Evaluation Plan'!E48</x:f>
        <x:v>44</x:v>
      </x:c>
      <x:c r="F48" s="33" t="str">
        <x:f>'Evaluation Plan'!F48</x:f>
        <x:v>107</x:v>
      </x:c>
      <x:c r="G48" s="31" t="str">
        <x:f>'Evaluation Plan'!G48</x:f>
        <x:v>The canonical transfer scene and masked trajectory reference are unchanged; only the evaluation wording is paraphrased. This remains a language diagnostic and is not pooled into the primary 50.</x:v>
      </x:c>
      <x:c r="H48" s="31" t="str">
        <x:f>'Evaluation Plan'!H48</x:f>
        <x:v>brown cup A</x:v>
      </x:c>
      <x:c r="I48" s="31" t="str"/>
      <x:c r="J48" s="38" t="str">
        <x:f>'Evaluation Plan'!J48</x:f>
        <x:v>Language robustness</x:v>
      </x:c>
      <x:c r="K48" s="33" t="str">
        <x:f>'Evaluation Plan'!K48</x:f>
        <x:v>SR-CT07</x:v>
      </x:c>
      <x:c r="L48" s="33" t="str">
        <x:f>'Evaluation Plan'!L48</x:f>
        <x:v>C</x:v>
      </x:c>
      <x:c r="M48" s="33" t="str">
        <x:f>'Evaluation Plan'!M48</x:f>
        <x:v>brown cup</x:v>
      </x:c>
      <x:c r="N48" s="33" t="n">
        <x:f>'Evaluation Plan'!N48</x:f>
        <x:v>2</x:v>
      </x:c>
      <x:c r="O48" s="33" t="n">
        <x:f>'Evaluation Plan'!O48</x:f>
        <x:v>1</x:v>
      </x:c>
      <x:c r="P48" s="33" t="str">
        <x:f>'Evaluation Plan'!P48</x:f>
        <x:v>Empty</x:v>
      </x:c>
      <x:c r="Q48" s="31" t="str">
        <x:f>'Evaluation Plan'!Q48</x:f>
        <x:v>Primary compositional-transfer prompt paraphrase</x:v>
      </x:c>
      <x:c r="R48" s="33" t="n">
        <x:f>'Evaluation Plan'!R48</x:f>
        <x:v>2</x:v>
      </x:c>
      <x:c r="S48" s="31" t="str">
        <x:f>'Evaluation Plan'!S48</x:f>
        <x:v>Reset the moved object exactly; preserve every object and state; change only the prompt wording.</x:v>
      </x:c>
      <x:c r="T48" s="31" t="str">
        <x:f>'Evaluation Plan'!T48</x:f>
        <x:v>Exact-scene paraphrase of one of the 50 canonical compositional-transfer trials.</x:v>
      </x:c>
      <x:c r="U48" s="31" t="n">
        <x:f>'Evaluation Plan'!U48</x:f>
        <x:v>0</x:v>
      </x:c>
    </x:row>
    <x:row r="49" ht="51" customHeight="1">
      <x:c r="A49" s="32" t="str">
        <x:v>Not collected</x:v>
      </x:c>
      <x:c r="B49" s="34" t="n">
        <x:f>'Evaluation Plan'!B49</x:f>
        <x:v>47</x:v>
      </x:c>
      <x:c r="C49" s="32" t="str">
        <x:f>'Evaluation Plan'!C49</x:f>
        <x:v>Move the brown cup whose opening is uncovered into the bowl.</x:v>
      </x:c>
      <x:c r="D49" s="32" t="str">
        <x:f>'Evaluation Plan'!D49</x:f>
        <x:v>brown cup A (C, UD); brown cup B (O, UD)</x:v>
      </x:c>
      <x:c r="E49" s="34" t="n">
        <x:f>'Evaluation Plan'!E49</x:f>
        <x:v>45</x:v>
      </x:c>
      <x:c r="F49" s="34" t="str">
        <x:f>'Evaluation Plan'!F49</x:f>
        <x:v>106</x:v>
      </x:c>
      <x:c r="G49" s="32" t="str">
        <x:f>'Evaluation Plan'!G49</x:f>
        <x:v>Canonical matched-control cell is training-supported; evaluation wording is paraphrased. No held-out composition is used.</x:v>
      </x:c>
      <x:c r="H49" s="32" t="str">
        <x:f>'Evaluation Plan'!H49</x:f>
        <x:v>brown cup B</x:v>
      </x:c>
      <x:c r="I49" s="32" t="str"/>
      <x:c r="J49" s="38" t="str">
        <x:f>'Evaluation Plan'!J49</x:f>
        <x:v>Language robustness</x:v>
      </x:c>
      <x:c r="K49" s="34" t="str">
        <x:f>'Evaluation Plan'!K49</x:f>
        <x:v>SR-CT07</x:v>
      </x:c>
      <x:c r="L49" s="34" t="str">
        <x:f>'Evaluation Plan'!L49</x:f>
        <x:v>O</x:v>
      </x:c>
      <x:c r="M49" s="34" t="str">
        <x:f>'Evaluation Plan'!M49</x:f>
        <x:v>brown cup</x:v>
      </x:c>
      <x:c r="N49" s="34" t="n">
        <x:f>'Evaluation Plan'!N49</x:f>
        <x:v>2</x:v>
      </x:c>
      <x:c r="O49" s="34" t="n">
        <x:f>'Evaluation Plan'!O49</x:f>
        <x:v>1</x:v>
      </x:c>
      <x:c r="P49" s="34" t="str">
        <x:f>'Evaluation Plan'!P49</x:f>
        <x:v>Empty</x:v>
      </x:c>
      <x:c r="Q49" s="32" t="str">
        <x:f>'Evaluation Plan'!Q49</x:f>
        <x:v>Matched-control state prompt paraphrase</x:v>
      </x:c>
      <x:c r="R49" s="34" t="n">
        <x:f>'Evaluation Plan'!R49</x:f>
        <x:v>2</x:v>
      </x:c>
      <x:c r="S49" s="32" t="str">
        <x:f>'Evaluation Plan'!S49</x:f>
        <x:v>Reset the moved object exactly; preserve the scene; change only the prompt wording.</x:v>
      </x:c>
      <x:c r="T49" s="32" t="str">
        <x:f>'Evaluation Plan'!T49</x:f>
        <x:v>This is one of 10 language trials paired with a matched trained-state control.</x:v>
      </x:c>
      <x:c r="U49" s="32" t="n">
        <x:f>'Evaluation Plan'!U49</x:f>
        <x:v>0</x:v>
      </x:c>
    </x:row>
    <x:row r="50" ht="51" customHeight="1">
      <x:c r="A50" s="40" t="str">
        <x:v>Not collected</x:v>
      </x:c>
      <x:c r="B50" s="41" t="n">
        <x:f>'Evaluation Plan'!B50</x:f>
        <x:v>48</x:v>
      </x:c>
      <x:c r="C50" s="40" t="str">
        <x:f>'Evaluation Plan'!C50</x:f>
        <x:v>Place the upright glass spice container in the bowl.</x:v>
      </x:c>
      <x:c r="D50" s="40" t="str">
        <x:f>'Evaluation Plan'!D50</x:f>
        <x:v>glass spice container B (O, RU); glass spice container A (O, UD); yellow-white striped cup B (O, UD)</x:v>
      </x:c>
      <x:c r="E50" s="41" t="str">
        <x:f>'Evaluation Plan'!E50</x:f>
      </x:c>
      <x:c r="F50" s="41" t="str">
        <x:f>'Evaluation Plan'!F50</x:f>
        <x:v>153</x:v>
      </x:c>
      <x:c r="G50" s="40" t="str">
        <x:f>'Evaluation Plan'!G50</x:f>
        <x:v>Physical-state and manipulation-trajectory reference under a direct category prompt; the evaluated state word × object-category cell is intentionally absent from training.</x:v>
      </x:c>
      <x:c r="H50" s="40" t="str">
        <x:f>'Evaluation Plan'!H50</x:f>
        <x:v>glass spice container B</x:v>
      </x:c>
      <x:c r="I50" s="40" t="str"/>
      <x:c r="J50" s="45" t="str">
        <x:f>'Evaluation Plan'!J50</x:f>
        <x:v>Concept/compositional transfer</x:v>
      </x:c>
      <x:c r="K50" s="41" t="str">
        <x:f>'Evaluation Plan'!K50</x:f>
        <x:v>SR-CT08</x:v>
      </x:c>
      <x:c r="L50" s="41" t="str">
        <x:f>'Evaluation Plan'!L50</x:f>
        <x:v>RU</x:v>
      </x:c>
      <x:c r="M50" s="41" t="str">
        <x:f>'Evaluation Plan'!M50</x:f>
        <x:v>glass spice container</x:v>
      </x:c>
      <x:c r="N50" s="41" t="n">
        <x:f>'Evaluation Plan'!N50</x:f>
        <x:v>3</x:v>
      </x:c>
      <x:c r="O50" s="41" t="n">
        <x:f>'Evaluation Plan'!O50</x:f>
        <x:v>1</x:v>
      </x:c>
      <x:c r="P50" s="41" t="str">
        <x:f>'Evaluation Plan'!P50</x:f>
        <x:v>Empty</x:v>
      </x:c>
      <x:c r="Q50" s="40" t="str">
        <x:f>'Evaluation Plan'!Q50</x:f>
        <x:v>Primary held-out state-object composition</x:v>
      </x:c>
      <x:c r="R50" s="41" t="n">
        <x:f>'Evaluation Plan'!R50</x:f>
        <x:v>2</x:v>
      </x:c>
      <x:c r="S50" s="40" t="str">
        <x:f>'Evaluation Plan'!S50</x:f>
        <x:v>Build the listed same-category discrimination scene with the bowl empty.</x:v>
      </x:c>
      <x:c r="T50" s="40" t="str">
        <x:f>'Evaluation Plan'!T50</x:f>
        <x:v>Two same-category candidates share the non-queried state axis; only the held-out state word identifies the target.</x:v>
      </x:c>
      <x:c r="U50" s="40" t="n">
        <x:f>'Evaluation Plan'!U50</x:f>
        <x:v>0</x:v>
      </x:c>
    </x:row>
    <x:row r="51" ht="51" customHeight="1">
      <x:c r="A51" s="32" t="str">
        <x:v>Not collected</x:v>
      </x:c>
      <x:c r="B51" s="34" t="n">
        <x:f>'Evaluation Plan'!B51</x:f>
        <x:v>49</x:v>
      </x:c>
      <x:c r="C51" s="32" t="str">
        <x:f>'Evaluation Plan'!C51</x:f>
        <x:v>Place the upside-down glass spice container in the bowl.</x:v>
      </x:c>
      <x:c r="D51" s="32" t="str">
        <x:f>'Evaluation Plan'!D51</x:f>
        <x:v>glass spice container B (O, RU); glass spice container A (O, UD); yellow-white striped cup B (O, UD)</x:v>
      </x:c>
      <x:c r="E51" s="34" t="n">
        <x:f>'Evaluation Plan'!E51</x:f>
        <x:v>48</x:v>
      </x:c>
      <x:c r="F51" s="34" t="str">
        <x:f>'Evaluation Plan'!F51</x:f>
        <x:v>181</x:v>
      </x:c>
      <x:c r="G51" s="32" t="str">
        <x:f>'Evaluation Plan'!G51</x:f>
        <x:v>Training-supported state-object cell for the control. The evaluation scene is shared exactly with the paired transfer row, while the physical layout is manually recreated.</x:v>
      </x:c>
      <x:c r="H51" s="32" t="str">
        <x:f>'Evaluation Plan'!H51</x:f>
        <x:v>glass spice container A</x:v>
      </x:c>
      <x:c r="I51" s="32" t="str"/>
      <x:c r="J51" s="37" t="str">
        <x:f>'Evaluation Plan'!J51</x:f>
        <x:v>Matched manipulation control</x:v>
      </x:c>
      <x:c r="K51" s="34" t="str">
        <x:f>'Evaluation Plan'!K51</x:f>
        <x:v>SR-CT08</x:v>
      </x:c>
      <x:c r="L51" s="34" t="str">
        <x:f>'Evaluation Plan'!L51</x:f>
        <x:v>UD</x:v>
      </x:c>
      <x:c r="M51" s="34" t="str">
        <x:f>'Evaluation Plan'!M51</x:f>
        <x:v>glass spice container</x:v>
      </x:c>
      <x:c r="N51" s="34" t="n">
        <x:f>'Evaluation Plan'!N51</x:f>
        <x:v>3</x:v>
      </x:c>
      <x:c r="O51" s="34" t="n">
        <x:f>'Evaluation Plan'!O51</x:f>
        <x:v>1</x:v>
      </x:c>
      <x:c r="P51" s="34" t="str">
        <x:f>'Evaluation Plan'!P51</x:f>
        <x:v>Empty</x:v>
      </x:c>
      <x:c r="Q51" s="32" t="str">
        <x:f>'Evaluation Plan'!Q51</x:f>
        <x:v>Exact-scene trained state-object counterfactual</x:v>
      </x:c>
      <x:c r="R51" s="34" t="n">
        <x:f>'Evaluation Plan'!R51</x:f>
        <x:v>2</x:v>
      </x:c>
      <x:c r="S51" s="32" t="str">
        <x:f>'Evaluation Plan'!S51</x:f>
        <x:v>Reset the moved object exactly; preserve every object and state; change only the prompt and expected target.</x:v>
      </x:c>
      <x:c r="T51" s="32" t="str">
        <x:f>'Evaluation Plan'!T51</x:f>
        <x:v>The correct target switches to the other same-category instance. This cell is explicit in training and controls recognition/manipulation in the transfer scene.</x:v>
      </x:c>
      <x:c r="U51" s="32" t="n">
        <x:f>'Evaluation Plan'!U51</x:f>
        <x:v>0</x:v>
      </x:c>
    </x:row>
    <x:row r="52" ht="51" customHeight="1">
      <x:c r="A52" s="31" t="str">
        <x:v>Not collected</x:v>
      </x:c>
      <x:c r="B52" s="33" t="n">
        <x:f>'Evaluation Plan'!B52</x:f>
        <x:v>50</x:v>
      </x:c>
      <x:c r="C52" s="31" t="str">
        <x:f>'Evaluation Plan'!C52</x:f>
        <x:v>Move the right-side-up glass spice container into the bowl.</x:v>
      </x:c>
      <x:c r="D52" s="31" t="str">
        <x:f>'Evaluation Plan'!D52</x:f>
        <x:v>glass spice container B (O, RU); glass spice container A (O, UD); yellow-white striped cup B (O, UD)</x:v>
      </x:c>
      <x:c r="E52" s="33" t="n">
        <x:f>'Evaluation Plan'!E52</x:f>
        <x:v>48</x:v>
      </x:c>
      <x:c r="F52" s="33" t="str">
        <x:f>'Evaluation Plan'!F52</x:f>
        <x:v>153</x:v>
      </x:c>
      <x:c r="G52" s="31" t="str">
        <x:f>'Evaluation Plan'!G52</x:f>
        <x:v>The canonical transfer scene and masked trajectory reference are unchanged; only the evaluation wording is paraphrased. This remains a language diagnostic and is not pooled into the primary 50.</x:v>
      </x:c>
      <x:c r="H52" s="31" t="str">
        <x:f>'Evaluation Plan'!H52</x:f>
        <x:v>glass spice container B</x:v>
      </x:c>
      <x:c r="I52" s="31" t="str"/>
      <x:c r="J52" s="38" t="str">
        <x:f>'Evaluation Plan'!J52</x:f>
        <x:v>Language robustness</x:v>
      </x:c>
      <x:c r="K52" s="33" t="str">
        <x:f>'Evaluation Plan'!K52</x:f>
        <x:v>SR-CT08</x:v>
      </x:c>
      <x:c r="L52" s="33" t="str">
        <x:f>'Evaluation Plan'!L52</x:f>
        <x:v>RU</x:v>
      </x:c>
      <x:c r="M52" s="33" t="str">
        <x:f>'Evaluation Plan'!M52</x:f>
        <x:v>glass spice container</x:v>
      </x:c>
      <x:c r="N52" s="33" t="n">
        <x:f>'Evaluation Plan'!N52</x:f>
        <x:v>3</x:v>
      </x:c>
      <x:c r="O52" s="33" t="n">
        <x:f>'Evaluation Plan'!O52</x:f>
        <x:v>1</x:v>
      </x:c>
      <x:c r="P52" s="33" t="str">
        <x:f>'Evaluation Plan'!P52</x:f>
        <x:v>Empty</x:v>
      </x:c>
      <x:c r="Q52" s="31" t="str">
        <x:f>'Evaluation Plan'!Q52</x:f>
        <x:v>Primary compositional-transfer prompt paraphrase</x:v>
      </x:c>
      <x:c r="R52" s="33" t="n">
        <x:f>'Evaluation Plan'!R52</x:f>
        <x:v>2</x:v>
      </x:c>
      <x:c r="S52" s="31" t="str">
        <x:f>'Evaluation Plan'!S52</x:f>
        <x:v>Reset the moved object exactly; preserve every object and state; change only the prompt wording.</x:v>
      </x:c>
      <x:c r="T52" s="31" t="str">
        <x:f>'Evaluation Plan'!T52</x:f>
        <x:v>Exact-scene paraphrase of one of the 50 canonical compositional-transfer trials.</x:v>
      </x:c>
      <x:c r="U52" s="31" t="n">
        <x:f>'Evaluation Plan'!U52</x:f>
        <x:v>0</x:v>
      </x:c>
    </x:row>
    <x:row r="53" ht="51" customHeight="1">
      <x:c r="A53" s="32" t="str">
        <x:v>Not collected</x:v>
      </x:c>
      <x:c r="B53" s="34" t="n">
        <x:f>'Evaluation Plan'!B53</x:f>
        <x:v>51</x:v>
      </x:c>
      <x:c r="C53" s="32" t="str">
        <x:f>'Evaluation Plan'!C53</x:f>
        <x:v>Move the inverted glass spice container into the bowl.</x:v>
      </x:c>
      <x:c r="D53" s="32" t="str">
        <x:f>'Evaluation Plan'!D53</x:f>
        <x:v>glass spice container B (O, RU); glass spice container A (O, UD); yellow-white striped cup B (O, UD)</x:v>
      </x:c>
      <x:c r="E53" s="34" t="n">
        <x:f>'Evaluation Plan'!E53</x:f>
        <x:v>49</x:v>
      </x:c>
      <x:c r="F53" s="34" t="str">
        <x:f>'Evaluation Plan'!F53</x:f>
        <x:v>181</x:v>
      </x:c>
      <x:c r="G53" s="32" t="str">
        <x:f>'Evaluation Plan'!G53</x:f>
        <x:v>Canonical matched-control cell is training-supported; evaluation wording is paraphrased. No held-out composition is used.</x:v>
      </x:c>
      <x:c r="H53" s="32" t="str">
        <x:f>'Evaluation Plan'!H53</x:f>
        <x:v>glass spice container A</x:v>
      </x:c>
      <x:c r="I53" s="32" t="str"/>
      <x:c r="J53" s="38" t="str">
        <x:f>'Evaluation Plan'!J53</x:f>
        <x:v>Language robustness</x:v>
      </x:c>
      <x:c r="K53" s="34" t="str">
        <x:f>'Evaluation Plan'!K53</x:f>
        <x:v>SR-CT08</x:v>
      </x:c>
      <x:c r="L53" s="34" t="str">
        <x:f>'Evaluation Plan'!L53</x:f>
        <x:v>UD</x:v>
      </x:c>
      <x:c r="M53" s="34" t="str">
        <x:f>'Evaluation Plan'!M53</x:f>
        <x:v>glass spice container</x:v>
      </x:c>
      <x:c r="N53" s="34" t="n">
        <x:f>'Evaluation Plan'!N53</x:f>
        <x:v>3</x:v>
      </x:c>
      <x:c r="O53" s="34" t="n">
        <x:f>'Evaluation Plan'!O53</x:f>
        <x:v>1</x:v>
      </x:c>
      <x:c r="P53" s="34" t="str">
        <x:f>'Evaluation Plan'!P53</x:f>
        <x:v>Empty</x:v>
      </x:c>
      <x:c r="Q53" s="32" t="str">
        <x:f>'Evaluation Plan'!Q53</x:f>
        <x:v>Matched-control state prompt paraphrase</x:v>
      </x:c>
      <x:c r="R53" s="34" t="n">
        <x:f>'Evaluation Plan'!R53</x:f>
        <x:v>2</x:v>
      </x:c>
      <x:c r="S53" s="32" t="str">
        <x:f>'Evaluation Plan'!S53</x:f>
        <x:v>Reset the moved object exactly; preserve the scene; change only the prompt wording.</x:v>
      </x:c>
      <x:c r="T53" s="32" t="str">
        <x:f>'Evaluation Plan'!T53</x:f>
        <x:v>This is one of 10 language trials paired with a matched trained-state control.</x:v>
      </x:c>
      <x:c r="U53" s="32" t="n">
        <x:f>'Evaluation Plan'!U53</x:f>
        <x:v>0</x:v>
      </x:c>
    </x:row>
    <x:row r="54" ht="51" customHeight="1">
      <x:c r="A54" s="40" t="str">
        <x:v>Not collected</x:v>
      </x:c>
      <x:c r="B54" s="41" t="n">
        <x:f>'Evaluation Plan'!B54</x:f>
        <x:v>52</x:v>
      </x:c>
      <x:c r="C54" s="40" t="str">
        <x:f>'Evaluation Plan'!C54</x:f>
        <x:v>Place the upside-down white cup in the bowl.</x:v>
      </x:c>
      <x:c r="D54" s="40" t="str">
        <x:f>'Evaluation Plan'!D54</x:f>
        <x:v>white cup A (C, UD); white cup B (C, RU); glass spice container A (C, RU); yellow-white striped cup B (O, RU)</x:v>
      </x:c>
      <x:c r="E54" s="41" t="str">
        <x:f>'Evaluation Plan'!E54</x:f>
      </x:c>
      <x:c r="F54" s="41" t="str">
        <x:f>'Evaluation Plan'!F54</x:f>
        <x:v>39</x:v>
      </x:c>
      <x:c r="G54" s="40" t="str">
        <x:f>'Evaluation Plan'!G54</x:f>
        <x:v>Physical-state and manipulation-trajectory reference under a direct category prompt; the evaluated state word × object-category cell is intentionally absent from training.</x:v>
      </x:c>
      <x:c r="H54" s="40" t="str">
        <x:f>'Evaluation Plan'!H54</x:f>
        <x:v>white cup A</x:v>
      </x:c>
      <x:c r="I54" s="40" t="str"/>
      <x:c r="J54" s="45" t="str">
        <x:f>'Evaluation Plan'!J54</x:f>
        <x:v>Concept/compositional transfer</x:v>
      </x:c>
      <x:c r="K54" s="41" t="str">
        <x:f>'Evaluation Plan'!K54</x:f>
        <x:v>SR-CT09</x:v>
      </x:c>
      <x:c r="L54" s="41" t="str">
        <x:f>'Evaluation Plan'!L54</x:f>
        <x:v>UD</x:v>
      </x:c>
      <x:c r="M54" s="41" t="str">
        <x:f>'Evaluation Plan'!M54</x:f>
        <x:v>white cup</x:v>
      </x:c>
      <x:c r="N54" s="41" t="n">
        <x:f>'Evaluation Plan'!N54</x:f>
        <x:v>4</x:v>
      </x:c>
      <x:c r="O54" s="41" t="n">
        <x:f>'Evaluation Plan'!O54</x:f>
        <x:v>1</x:v>
      </x:c>
      <x:c r="P54" s="41" t="str">
        <x:f>'Evaluation Plan'!P54</x:f>
        <x:v>Empty</x:v>
      </x:c>
      <x:c r="Q54" s="40" t="str">
        <x:f>'Evaluation Plan'!Q54</x:f>
        <x:v>Primary held-out state-object composition</x:v>
      </x:c>
      <x:c r="R54" s="41" t="n">
        <x:f>'Evaluation Plan'!R54</x:f>
        <x:v>2</x:v>
      </x:c>
      <x:c r="S54" s="40" t="str">
        <x:f>'Evaluation Plan'!S54</x:f>
        <x:v>Build the listed same-category discrimination scene with the bowl empty.</x:v>
      </x:c>
      <x:c r="T54" s="40" t="str">
        <x:f>'Evaluation Plan'!T54</x:f>
        <x:v>Two same-category candidates share the non-queried state axis; only the held-out state word identifies the target.</x:v>
      </x:c>
      <x:c r="U54" s="40" t="n">
        <x:f>'Evaluation Plan'!U54</x:f>
        <x:v>0</x:v>
      </x:c>
    </x:row>
    <x:row r="55" ht="51" customHeight="1">
      <x:c r="A55" s="32" t="str">
        <x:v>Not collected</x:v>
      </x:c>
      <x:c r="B55" s="34" t="n">
        <x:f>'Evaluation Plan'!B55</x:f>
        <x:v>53</x:v>
      </x:c>
      <x:c r="C55" s="32" t="str">
        <x:f>'Evaluation Plan'!C55</x:f>
        <x:v>Place the upright white cup in the bowl.</x:v>
      </x:c>
      <x:c r="D55" s="32" t="str">
        <x:f>'Evaluation Plan'!D55</x:f>
        <x:v>white cup A (C, UD); white cup B (C, RU); glass spice container A (C, RU); yellow-white striped cup B (O, RU)</x:v>
      </x:c>
      <x:c r="E55" s="34" t="n">
        <x:f>'Evaluation Plan'!E55</x:f>
        <x:v>52</x:v>
      </x:c>
      <x:c r="F55" s="34" t="str">
        <x:f>'Evaluation Plan'!F55</x:f>
        <x:v>33</x:v>
      </x:c>
      <x:c r="G55" s="32" t="str">
        <x:f>'Evaluation Plan'!G55</x:f>
        <x:v>Training-supported state-object cell for the control. The evaluation scene is shared exactly with the paired transfer row, while the physical layout is manually recreated.</x:v>
      </x:c>
      <x:c r="H55" s="32" t="str">
        <x:f>'Evaluation Plan'!H55</x:f>
        <x:v>white cup B</x:v>
      </x:c>
      <x:c r="I55" s="32" t="str"/>
      <x:c r="J55" s="37" t="str">
        <x:f>'Evaluation Plan'!J55</x:f>
        <x:v>Matched manipulation control</x:v>
      </x:c>
      <x:c r="K55" s="34" t="str">
        <x:f>'Evaluation Plan'!K55</x:f>
        <x:v>SR-CT09</x:v>
      </x:c>
      <x:c r="L55" s="34" t="str">
        <x:f>'Evaluation Plan'!L55</x:f>
        <x:v>RU</x:v>
      </x:c>
      <x:c r="M55" s="34" t="str">
        <x:f>'Evaluation Plan'!M55</x:f>
        <x:v>white cup</x:v>
      </x:c>
      <x:c r="N55" s="34" t="n">
        <x:f>'Evaluation Plan'!N55</x:f>
        <x:v>4</x:v>
      </x:c>
      <x:c r="O55" s="34" t="n">
        <x:f>'Evaluation Plan'!O55</x:f>
        <x:v>1</x:v>
      </x:c>
      <x:c r="P55" s="34" t="str">
        <x:f>'Evaluation Plan'!P55</x:f>
        <x:v>Empty</x:v>
      </x:c>
      <x:c r="Q55" s="32" t="str">
        <x:f>'Evaluation Plan'!Q55</x:f>
        <x:v>Exact-scene trained state-object counterfactual</x:v>
      </x:c>
      <x:c r="R55" s="34" t="n">
        <x:f>'Evaluation Plan'!R55</x:f>
        <x:v>2</x:v>
      </x:c>
      <x:c r="S55" s="32" t="str">
        <x:f>'Evaluation Plan'!S55</x:f>
        <x:v>Reset the moved object exactly; preserve every object and state; change only the prompt and expected target.</x:v>
      </x:c>
      <x:c r="T55" s="32" t="str">
        <x:f>'Evaluation Plan'!T55</x:f>
        <x:v>The correct target switches to the other same-category instance. This cell is explicit in training and controls recognition/manipulation in the transfer scene.</x:v>
      </x:c>
      <x:c r="U55" s="32" t="n">
        <x:f>'Evaluation Plan'!U55</x:f>
        <x:v>0</x:v>
      </x:c>
    </x:row>
    <x:row r="56" ht="51" customHeight="1">
      <x:c r="A56" s="31" t="str">
        <x:v>Not collected</x:v>
      </x:c>
      <x:c r="B56" s="33" t="n">
        <x:f>'Evaluation Plan'!B56</x:f>
        <x:v>54</x:v>
      </x:c>
      <x:c r="C56" s="31" t="str">
        <x:f>'Evaluation Plan'!C56</x:f>
        <x:v>Move the inverted white cup into the bowl.</x:v>
      </x:c>
      <x:c r="D56" s="31" t="str">
        <x:f>'Evaluation Plan'!D56</x:f>
        <x:v>white cup A (C, UD); white cup B (C, RU); glass spice container A (C, RU); yellow-white striped cup B (O, RU)</x:v>
      </x:c>
      <x:c r="E56" s="33" t="n">
        <x:f>'Evaluation Plan'!E56</x:f>
        <x:v>52</x:v>
      </x:c>
      <x:c r="F56" s="33" t="str">
        <x:f>'Evaluation Plan'!F56</x:f>
        <x:v>39</x:v>
      </x:c>
      <x:c r="G56" s="31" t="str">
        <x:f>'Evaluation Plan'!G56</x:f>
        <x:v>The canonical transfer scene and masked trajectory reference are unchanged; only the evaluation wording is paraphrased. This remains a language diagnostic and is not pooled into the primary 50.</x:v>
      </x:c>
      <x:c r="H56" s="31" t="str">
        <x:f>'Evaluation Plan'!H56</x:f>
        <x:v>white cup A</x:v>
      </x:c>
      <x:c r="I56" s="31" t="str"/>
      <x:c r="J56" s="38" t="str">
        <x:f>'Evaluation Plan'!J56</x:f>
        <x:v>Language robustness</x:v>
      </x:c>
      <x:c r="K56" s="33" t="str">
        <x:f>'Evaluation Plan'!K56</x:f>
        <x:v>SR-CT09</x:v>
      </x:c>
      <x:c r="L56" s="33" t="str">
        <x:f>'Evaluation Plan'!L56</x:f>
        <x:v>UD</x:v>
      </x:c>
      <x:c r="M56" s="33" t="str">
        <x:f>'Evaluation Plan'!M56</x:f>
        <x:v>white cup</x:v>
      </x:c>
      <x:c r="N56" s="33" t="n">
        <x:f>'Evaluation Plan'!N56</x:f>
        <x:v>4</x:v>
      </x:c>
      <x:c r="O56" s="33" t="n">
        <x:f>'Evaluation Plan'!O56</x:f>
        <x:v>1</x:v>
      </x:c>
      <x:c r="P56" s="33" t="str">
        <x:f>'Evaluation Plan'!P56</x:f>
        <x:v>Empty</x:v>
      </x:c>
      <x:c r="Q56" s="31" t="str">
        <x:f>'Evaluation Plan'!Q56</x:f>
        <x:v>Primary compositional-transfer prompt paraphrase</x:v>
      </x:c>
      <x:c r="R56" s="33" t="n">
        <x:f>'Evaluation Plan'!R56</x:f>
        <x:v>2</x:v>
      </x:c>
      <x:c r="S56" s="31" t="str">
        <x:f>'Evaluation Plan'!S56</x:f>
        <x:v>Reset the moved object exactly; preserve every object and state; change only the prompt wording.</x:v>
      </x:c>
      <x:c r="T56" s="31" t="str">
        <x:f>'Evaluation Plan'!T56</x:f>
        <x:v>Exact-scene paraphrase of one of the 50 canonical compositional-transfer trials.</x:v>
      </x:c>
      <x:c r="U56" s="31" t="n">
        <x:f>'Evaluation Plan'!U56</x:f>
        <x:v>0</x:v>
      </x:c>
    </x:row>
    <x:row r="57" ht="51" customHeight="1">
      <x:c r="A57" s="32" t="str">
        <x:v>Not collected</x:v>
      </x:c>
      <x:c r="B57" s="34" t="n">
        <x:f>'Evaluation Plan'!B57</x:f>
        <x:v>55</x:v>
      </x:c>
      <x:c r="C57" s="32" t="str">
        <x:f>'Evaluation Plan'!C57</x:f>
        <x:v>Move the right-side-up white cup into the bowl.</x:v>
      </x:c>
      <x:c r="D57" s="32" t="str">
        <x:f>'Evaluation Plan'!D57</x:f>
        <x:v>white cup A (C, UD); white cup B (C, RU); glass spice container A (C, RU); yellow-white striped cup B (O, RU)</x:v>
      </x:c>
      <x:c r="E57" s="34" t="n">
        <x:f>'Evaluation Plan'!E57</x:f>
        <x:v>53</x:v>
      </x:c>
      <x:c r="F57" s="34" t="str">
        <x:f>'Evaluation Plan'!F57</x:f>
        <x:v>33</x:v>
      </x:c>
      <x:c r="G57" s="32" t="str">
        <x:f>'Evaluation Plan'!G57</x:f>
        <x:v>Canonical matched-control cell is training-supported; evaluation wording is paraphrased. No held-out composition is used.</x:v>
      </x:c>
      <x:c r="H57" s="32" t="str">
        <x:f>'Evaluation Plan'!H57</x:f>
        <x:v>white cup B</x:v>
      </x:c>
      <x:c r="I57" s="32" t="str"/>
      <x:c r="J57" s="38" t="str">
        <x:f>'Evaluation Plan'!J57</x:f>
        <x:v>Language robustness</x:v>
      </x:c>
      <x:c r="K57" s="34" t="str">
        <x:f>'Evaluation Plan'!K57</x:f>
        <x:v>SR-CT09</x:v>
      </x:c>
      <x:c r="L57" s="34" t="str">
        <x:f>'Evaluation Plan'!L57</x:f>
        <x:v>RU</x:v>
      </x:c>
      <x:c r="M57" s="34" t="str">
        <x:f>'Evaluation Plan'!M57</x:f>
        <x:v>white cup</x:v>
      </x:c>
      <x:c r="N57" s="34" t="n">
        <x:f>'Evaluation Plan'!N57</x:f>
        <x:v>4</x:v>
      </x:c>
      <x:c r="O57" s="34" t="n">
        <x:f>'Evaluation Plan'!O57</x:f>
        <x:v>1</x:v>
      </x:c>
      <x:c r="P57" s="34" t="str">
        <x:f>'Evaluation Plan'!P57</x:f>
        <x:v>Empty</x:v>
      </x:c>
      <x:c r="Q57" s="32" t="str">
        <x:f>'Evaluation Plan'!Q57</x:f>
        <x:v>Matched-control state prompt paraphrase</x:v>
      </x:c>
      <x:c r="R57" s="34" t="n">
        <x:f>'Evaluation Plan'!R57</x:f>
        <x:v>2</x:v>
      </x:c>
      <x:c r="S57" s="32" t="str">
        <x:f>'Evaluation Plan'!S57</x:f>
        <x:v>Reset the moved object exactly; preserve the scene; change only the prompt wording.</x:v>
      </x:c>
      <x:c r="T57" s="32" t="str">
        <x:f>'Evaluation Plan'!T57</x:f>
        <x:v>This is one of 10 language trials paired with a matched trained-state control.</x:v>
      </x:c>
      <x:c r="U57" s="32" t="n">
        <x:f>'Evaluation Plan'!U57</x:f>
        <x:v>0</x:v>
      </x:c>
    </x:row>
    <x:row r="58" ht="51" customHeight="1">
      <x:c r="A58" s="40" t="str">
        <x:v>Not collected</x:v>
      </x:c>
      <x:c r="B58" s="41" t="n">
        <x:f>'Evaluation Plan'!B58</x:f>
        <x:v>56</x:v>
      </x:c>
      <x:c r="C58" s="40" t="str">
        <x:f>'Evaluation Plan'!C58</x:f>
        <x:v>Place the open yellow-white striped cup in the bowl.</x:v>
      </x:c>
      <x:c r="D58" s="40" t="str">
        <x:f>'Evaluation Plan'!D58</x:f>
        <x:v>yellow-white striped cup B (O, RU); yellow-white striped cup A (C, RU)</x:v>
      </x:c>
      <x:c r="E58" s="41" t="str">
        <x:f>'Evaluation Plan'!E58</x:f>
      </x:c>
      <x:c r="F58" s="41" t="str">
        <x:f>'Evaluation Plan'!F58</x:f>
        <x:v>71</x:v>
      </x:c>
      <x:c r="G58" s="40" t="str">
        <x:f>'Evaluation Plan'!G58</x:f>
        <x:v>Physical-state and manipulation-trajectory reference under a direct category prompt; the evaluated state word × object-category cell is intentionally absent from training.</x:v>
      </x:c>
      <x:c r="H58" s="40" t="str">
        <x:f>'Evaluation Plan'!H58</x:f>
        <x:v>yellow-white striped cup B</x:v>
      </x:c>
      <x:c r="I58" s="40" t="str"/>
      <x:c r="J58" s="45" t="str">
        <x:f>'Evaluation Plan'!J58</x:f>
        <x:v>Concept/compositional transfer</x:v>
      </x:c>
      <x:c r="K58" s="41" t="str">
        <x:f>'Evaluation Plan'!K58</x:f>
        <x:v>SR-CT10</x:v>
      </x:c>
      <x:c r="L58" s="41" t="str">
        <x:f>'Evaluation Plan'!L58</x:f>
        <x:v>O</x:v>
      </x:c>
      <x:c r="M58" s="41" t="str">
        <x:f>'Evaluation Plan'!M58</x:f>
        <x:v>yellow-white striped cup</x:v>
      </x:c>
      <x:c r="N58" s="41" t="n">
        <x:f>'Evaluation Plan'!N58</x:f>
        <x:v>2</x:v>
      </x:c>
      <x:c r="O58" s="41" t="n">
        <x:f>'Evaluation Plan'!O58</x:f>
        <x:v>1</x:v>
      </x:c>
      <x:c r="P58" s="41" t="str">
        <x:f>'Evaluation Plan'!P58</x:f>
        <x:v>Empty</x:v>
      </x:c>
      <x:c r="Q58" s="40" t="str">
        <x:f>'Evaluation Plan'!Q58</x:f>
        <x:v>Primary held-out state-object composition</x:v>
      </x:c>
      <x:c r="R58" s="41" t="n">
        <x:f>'Evaluation Plan'!R58</x:f>
        <x:v>2</x:v>
      </x:c>
      <x:c r="S58" s="40" t="str">
        <x:f>'Evaluation Plan'!S58</x:f>
        <x:v>Build the listed same-category discrimination scene with the bowl empty.</x:v>
      </x:c>
      <x:c r="T58" s="40" t="str">
        <x:f>'Evaluation Plan'!T58</x:f>
        <x:v>Two same-category candidates share the non-queried state axis; only the held-out state word identifies the target.</x:v>
      </x:c>
      <x:c r="U58" s="40" t="n">
        <x:f>'Evaluation Plan'!U58</x:f>
        <x:v>0</x:v>
      </x:c>
    </x:row>
    <x:row r="59" ht="51" customHeight="1">
      <x:c r="A59" s="32" t="str">
        <x:v>Not collected</x:v>
      </x:c>
      <x:c r="B59" s="34" t="n">
        <x:f>'Evaluation Plan'!B59</x:f>
        <x:v>57</x:v>
      </x:c>
      <x:c r="C59" s="32" t="str">
        <x:f>'Evaluation Plan'!C59</x:f>
        <x:v>Place the closed yellow-white striped cup in the bowl.</x:v>
      </x:c>
      <x:c r="D59" s="32" t="str">
        <x:f>'Evaluation Plan'!D59</x:f>
        <x:v>yellow-white striped cup B (O, RU); yellow-white striped cup A (C, RU)</x:v>
      </x:c>
      <x:c r="E59" s="34" t="n">
        <x:f>'Evaluation Plan'!E59</x:f>
        <x:v>56</x:v>
      </x:c>
      <x:c r="F59" s="34" t="str">
        <x:f>'Evaluation Plan'!F59</x:f>
        <x:v>67</x:v>
      </x:c>
      <x:c r="G59" s="32" t="str">
        <x:f>'Evaluation Plan'!G59</x:f>
        <x:v>Training-supported state-object cell for the control. The evaluation scene is shared exactly with the paired transfer row, while the physical layout is manually recreated.</x:v>
      </x:c>
      <x:c r="H59" s="32" t="str">
        <x:f>'Evaluation Plan'!H59</x:f>
        <x:v>yellow-white striped cup A</x:v>
      </x:c>
      <x:c r="I59" s="32" t="str"/>
      <x:c r="J59" s="37" t="str">
        <x:f>'Evaluation Plan'!J59</x:f>
        <x:v>Matched manipulation control</x:v>
      </x:c>
      <x:c r="K59" s="34" t="str">
        <x:f>'Evaluation Plan'!K59</x:f>
        <x:v>SR-CT10</x:v>
      </x:c>
      <x:c r="L59" s="34" t="str">
        <x:f>'Evaluation Plan'!L59</x:f>
        <x:v>C</x:v>
      </x:c>
      <x:c r="M59" s="34" t="str">
        <x:f>'Evaluation Plan'!M59</x:f>
        <x:v>yellow-white striped cup</x:v>
      </x:c>
      <x:c r="N59" s="34" t="n">
        <x:f>'Evaluation Plan'!N59</x:f>
        <x:v>2</x:v>
      </x:c>
      <x:c r="O59" s="34" t="n">
        <x:f>'Evaluation Plan'!O59</x:f>
        <x:v>1</x:v>
      </x:c>
      <x:c r="P59" s="34" t="str">
        <x:f>'Evaluation Plan'!P59</x:f>
        <x:v>Empty</x:v>
      </x:c>
      <x:c r="Q59" s="32" t="str">
        <x:f>'Evaluation Plan'!Q59</x:f>
        <x:v>Exact-scene trained state-object counterfactual</x:v>
      </x:c>
      <x:c r="R59" s="34" t="n">
        <x:f>'Evaluation Plan'!R59</x:f>
        <x:v>2</x:v>
      </x:c>
      <x:c r="S59" s="32" t="str">
        <x:f>'Evaluation Plan'!S59</x:f>
        <x:v>Reset the moved object exactly; preserve every object and state; change only the prompt and expected target.</x:v>
      </x:c>
      <x:c r="T59" s="32" t="str">
        <x:f>'Evaluation Plan'!T59</x:f>
        <x:v>The correct target switches to the other same-category instance. This cell is explicit in training and controls recognition/manipulation in the transfer scene.</x:v>
      </x:c>
      <x:c r="U59" s="32" t="n">
        <x:f>'Evaluation Plan'!U59</x:f>
        <x:v>0</x:v>
      </x:c>
    </x:row>
    <x:row r="60" ht="51" customHeight="1">
      <x:c r="A60" s="31" t="str">
        <x:v>Not collected</x:v>
      </x:c>
      <x:c r="B60" s="33" t="n">
        <x:f>'Evaluation Plan'!B60</x:f>
        <x:v>58</x:v>
      </x:c>
      <x:c r="C60" s="31" t="str">
        <x:f>'Evaluation Plan'!C60</x:f>
        <x:v>Move the yellow-white striped cup whose opening is uncovered into the bowl.</x:v>
      </x:c>
      <x:c r="D60" s="31" t="str">
        <x:f>'Evaluation Plan'!D60</x:f>
        <x:v>yellow-white striped cup B (O, RU); yellow-white striped cup A (C, RU)</x:v>
      </x:c>
      <x:c r="E60" s="33" t="n">
        <x:f>'Evaluation Plan'!E60</x:f>
        <x:v>56</x:v>
      </x:c>
      <x:c r="F60" s="33" t="str">
        <x:f>'Evaluation Plan'!F60</x:f>
        <x:v>71</x:v>
      </x:c>
      <x:c r="G60" s="31" t="str">
        <x:f>'Evaluation Plan'!G60</x:f>
        <x:v>The canonical transfer scene and masked trajectory reference are unchanged; only the evaluation wording is paraphrased. This remains a language diagnostic and is not pooled into the primary 50.</x:v>
      </x:c>
      <x:c r="H60" s="31" t="str">
        <x:f>'Evaluation Plan'!H60</x:f>
        <x:v>yellow-white striped cup B</x:v>
      </x:c>
      <x:c r="I60" s="31" t="str"/>
      <x:c r="J60" s="38" t="str">
        <x:f>'Evaluation Plan'!J60</x:f>
        <x:v>Language robustness</x:v>
      </x:c>
      <x:c r="K60" s="33" t="str">
        <x:f>'Evaluation Plan'!K60</x:f>
        <x:v>SR-CT10</x:v>
      </x:c>
      <x:c r="L60" s="33" t="str">
        <x:f>'Evaluation Plan'!L60</x:f>
        <x:v>O</x:v>
      </x:c>
      <x:c r="M60" s="33" t="str">
        <x:f>'Evaluation Plan'!M60</x:f>
        <x:v>yellow-white striped cup</x:v>
      </x:c>
      <x:c r="N60" s="33" t="n">
        <x:f>'Evaluation Plan'!N60</x:f>
        <x:v>2</x:v>
      </x:c>
      <x:c r="O60" s="33" t="n">
        <x:f>'Evaluation Plan'!O60</x:f>
        <x:v>1</x:v>
      </x:c>
      <x:c r="P60" s="33" t="str">
        <x:f>'Evaluation Plan'!P60</x:f>
        <x:v>Empty</x:v>
      </x:c>
      <x:c r="Q60" s="31" t="str">
        <x:f>'Evaluation Plan'!Q60</x:f>
        <x:v>Primary compositional-transfer prompt paraphrase</x:v>
      </x:c>
      <x:c r="R60" s="33" t="n">
        <x:f>'Evaluation Plan'!R60</x:f>
        <x:v>2</x:v>
      </x:c>
      <x:c r="S60" s="31" t="str">
        <x:f>'Evaluation Plan'!S60</x:f>
        <x:v>Reset the moved object exactly; preserve every object and state; change only the prompt wording.</x:v>
      </x:c>
      <x:c r="T60" s="31" t="str">
        <x:f>'Evaluation Plan'!T60</x:f>
        <x:v>Exact-scene paraphrase of one of the 50 canonical compositional-transfer trials.</x:v>
      </x:c>
      <x:c r="U60" s="31" t="n">
        <x:f>'Evaluation Plan'!U60</x:f>
        <x:v>0</x:v>
      </x:c>
    </x:row>
    <x:row r="61" ht="51" customHeight="1">
      <x:c r="A61" s="32" t="str">
        <x:v>Not collected</x:v>
      </x:c>
      <x:c r="B61" s="34" t="n">
        <x:f>'Evaluation Plan'!B61</x:f>
        <x:v>59</x:v>
      </x:c>
      <x:c r="C61" s="32" t="str">
        <x:f>'Evaluation Plan'!C61</x:f>
        <x:v>Move the yellow-white striped cup whose opening is covered into the bowl.</x:v>
      </x:c>
      <x:c r="D61" s="32" t="str">
        <x:f>'Evaluation Plan'!D61</x:f>
        <x:v>yellow-white striped cup B (O, RU); yellow-white striped cup A (C, RU)</x:v>
      </x:c>
      <x:c r="E61" s="34" t="n">
        <x:f>'Evaluation Plan'!E61</x:f>
        <x:v>57</x:v>
      </x:c>
      <x:c r="F61" s="34" t="str">
        <x:f>'Evaluation Plan'!F61</x:f>
        <x:v>67</x:v>
      </x:c>
      <x:c r="G61" s="32" t="str">
        <x:f>'Evaluation Plan'!G61</x:f>
        <x:v>Canonical matched-control cell is training-supported; evaluation wording is paraphrased. No held-out composition is used.</x:v>
      </x:c>
      <x:c r="H61" s="32" t="str">
        <x:f>'Evaluation Plan'!H61</x:f>
        <x:v>yellow-white striped cup A</x:v>
      </x:c>
      <x:c r="I61" s="32" t="str"/>
      <x:c r="J61" s="38" t="str">
        <x:f>'Evaluation Plan'!J61</x:f>
        <x:v>Language robustness</x:v>
      </x:c>
      <x:c r="K61" s="34" t="str">
        <x:f>'Evaluation Plan'!K61</x:f>
        <x:v>SR-CT10</x:v>
      </x:c>
      <x:c r="L61" s="34" t="str">
        <x:f>'Evaluation Plan'!L61</x:f>
        <x:v>C</x:v>
      </x:c>
      <x:c r="M61" s="34" t="str">
        <x:f>'Evaluation Plan'!M61</x:f>
        <x:v>yellow-white striped cup</x:v>
      </x:c>
      <x:c r="N61" s="34" t="n">
        <x:f>'Evaluation Plan'!N61</x:f>
        <x:v>2</x:v>
      </x:c>
      <x:c r="O61" s="34" t="n">
        <x:f>'Evaluation Plan'!O61</x:f>
        <x:v>1</x:v>
      </x:c>
      <x:c r="P61" s="34" t="str">
        <x:f>'Evaluation Plan'!P61</x:f>
        <x:v>Empty</x:v>
      </x:c>
      <x:c r="Q61" s="32" t="str">
        <x:f>'Evaluation Plan'!Q61</x:f>
        <x:v>Matched-control state prompt paraphrase</x:v>
      </x:c>
      <x:c r="R61" s="34" t="n">
        <x:f>'Evaluation Plan'!R61</x:f>
        <x:v>2</x:v>
      </x:c>
      <x:c r="S61" s="32" t="str">
        <x:f>'Evaluation Plan'!S61</x:f>
        <x:v>Reset the moved object exactly; preserve the scene; change only the prompt wording.</x:v>
      </x:c>
      <x:c r="T61" s="32" t="str">
        <x:f>'Evaluation Plan'!T61</x:f>
        <x:v>This is one of 10 language trials paired with a matched trained-state control.</x:v>
      </x:c>
      <x:c r="U61" s="32" t="n">
        <x:f>'Evaluation Plan'!U61</x:f>
        <x:v>0</x:v>
      </x:c>
    </x:row>
    <x:row r="62" ht="51" customHeight="1">
      <x:c r="A62" s="40" t="str">
        <x:v>Not collected</x:v>
      </x:c>
      <x:c r="B62" s="41" t="n">
        <x:f>'Evaluation Plan'!B62</x:f>
        <x:v>60</x:v>
      </x:c>
      <x:c r="C62" s="40" t="str">
        <x:f>'Evaluation Plan'!C62</x:f>
        <x:v>Place the closed brown cup in the bowl.</x:v>
      </x:c>
      <x:c r="D62" s="40" t="str">
        <x:f>'Evaluation Plan'!D62</x:f>
        <x:v>brown cup A (C, RU); brown cup B (O, RU); yellow-white striped cup A (C, UD)</x:v>
      </x:c>
      <x:c r="E62" s="41" t="str">
        <x:f>'Evaluation Plan'!E62</x:f>
      </x:c>
      <x:c r="F62" s="41" t="str">
        <x:f>'Evaluation Plan'!F62</x:f>
        <x:v>102</x:v>
      </x:c>
      <x:c r="G62" s="40" t="str">
        <x:f>'Evaluation Plan'!G62</x:f>
        <x:v>Physical-state and manipulation-trajectory reference under a direct category prompt; the evaluated state word × object-category cell is intentionally absent from training.</x:v>
      </x:c>
      <x:c r="H62" s="40" t="str">
        <x:f>'Evaluation Plan'!H62</x:f>
        <x:v>brown cup A</x:v>
      </x:c>
      <x:c r="I62" s="40" t="str"/>
      <x:c r="J62" s="45" t="str">
        <x:f>'Evaluation Plan'!J62</x:f>
        <x:v>Concept/compositional transfer</x:v>
      </x:c>
      <x:c r="K62" s="41" t="str">
        <x:f>'Evaluation Plan'!K62</x:f>
        <x:v>SR-CT11</x:v>
      </x:c>
      <x:c r="L62" s="41" t="str">
        <x:f>'Evaluation Plan'!L62</x:f>
        <x:v>C</x:v>
      </x:c>
      <x:c r="M62" s="41" t="str">
        <x:f>'Evaluation Plan'!M62</x:f>
        <x:v>brown cup</x:v>
      </x:c>
      <x:c r="N62" s="41" t="n">
        <x:f>'Evaluation Plan'!N62</x:f>
        <x:v>3</x:v>
      </x:c>
      <x:c r="O62" s="41" t="n">
        <x:f>'Evaluation Plan'!O62</x:f>
        <x:v>1</x:v>
      </x:c>
      <x:c r="P62" s="41" t="str">
        <x:f>'Evaluation Plan'!P62</x:f>
        <x:v>Empty</x:v>
      </x:c>
      <x:c r="Q62" s="40" t="str">
        <x:f>'Evaluation Plan'!Q62</x:f>
        <x:v>Primary held-out state-object composition</x:v>
      </x:c>
      <x:c r="R62" s="41" t="n">
        <x:f>'Evaluation Plan'!R62</x:f>
        <x:v>3</x:v>
      </x:c>
      <x:c r="S62" s="40" t="str">
        <x:f>'Evaluation Plan'!S62</x:f>
        <x:v>Build the listed same-category discrimination scene with the bowl empty.</x:v>
      </x:c>
      <x:c r="T62" s="40" t="str">
        <x:f>'Evaluation Plan'!T62</x:f>
        <x:v>Two same-category candidates share the non-queried state axis; only the held-out state word identifies the target.</x:v>
      </x:c>
      <x:c r="U62" s="40" t="n">
        <x:f>'Evaluation Plan'!U62</x:f>
        <x:v>0</x:v>
      </x:c>
    </x:row>
    <x:row r="63" ht="51" customHeight="1">
      <x:c r="A63" s="32" t="str">
        <x:v>Not collected</x:v>
      </x:c>
      <x:c r="B63" s="34" t="n">
        <x:f>'Evaluation Plan'!B63</x:f>
        <x:v>61</x:v>
      </x:c>
      <x:c r="C63" s="32" t="str">
        <x:f>'Evaluation Plan'!C63</x:f>
        <x:v>Place the open brown cup in the bowl.</x:v>
      </x:c>
      <x:c r="D63" s="32" t="str">
        <x:f>'Evaluation Plan'!D63</x:f>
        <x:v>brown cup A (C, RU); brown cup B (O, RU); yellow-white striped cup A (C, UD)</x:v>
      </x:c>
      <x:c r="E63" s="34" t="n">
        <x:f>'Evaluation Plan'!E63</x:f>
        <x:v>60</x:v>
      </x:c>
      <x:c r="F63" s="34" t="str">
        <x:f>'Evaluation Plan'!F63</x:f>
        <x:v>110</x:v>
      </x:c>
      <x:c r="G63" s="32" t="str">
        <x:f>'Evaluation Plan'!G63</x:f>
        <x:v>Training-supported state-object cell for the control. The evaluation scene is shared exactly with the paired transfer row, while the physical layout is manually recreated.</x:v>
      </x:c>
      <x:c r="H63" s="32" t="str">
        <x:f>'Evaluation Plan'!H63</x:f>
        <x:v>brown cup B</x:v>
      </x:c>
      <x:c r="I63" s="32" t="str"/>
      <x:c r="J63" s="37" t="str">
        <x:f>'Evaluation Plan'!J63</x:f>
        <x:v>Matched manipulation control</x:v>
      </x:c>
      <x:c r="K63" s="34" t="str">
        <x:f>'Evaluation Plan'!K63</x:f>
        <x:v>SR-CT11</x:v>
      </x:c>
      <x:c r="L63" s="34" t="str">
        <x:f>'Evaluation Plan'!L63</x:f>
        <x:v>O</x:v>
      </x:c>
      <x:c r="M63" s="34" t="str">
        <x:f>'Evaluation Plan'!M63</x:f>
        <x:v>brown cup</x:v>
      </x:c>
      <x:c r="N63" s="34" t="n">
        <x:f>'Evaluation Plan'!N63</x:f>
        <x:v>3</x:v>
      </x:c>
      <x:c r="O63" s="34" t="n">
        <x:f>'Evaluation Plan'!O63</x:f>
        <x:v>1</x:v>
      </x:c>
      <x:c r="P63" s="34" t="str">
        <x:f>'Evaluation Plan'!P63</x:f>
        <x:v>Empty</x:v>
      </x:c>
      <x:c r="Q63" s="32" t="str">
        <x:f>'Evaluation Plan'!Q63</x:f>
        <x:v>Exact-scene trained state-object counterfactual</x:v>
      </x:c>
      <x:c r="R63" s="34" t="n">
        <x:f>'Evaluation Plan'!R63</x:f>
        <x:v>3</x:v>
      </x:c>
      <x:c r="S63" s="32" t="str">
        <x:f>'Evaluation Plan'!S63</x:f>
        <x:v>Reset the moved object exactly; preserve every object and state; change only the prompt and expected target.</x:v>
      </x:c>
      <x:c r="T63" s="32" t="str">
        <x:f>'Evaluation Plan'!T63</x:f>
        <x:v>The correct target switches to the other same-category instance. This cell is explicit in training and controls recognition/manipulation in the transfer scene.</x:v>
      </x:c>
      <x:c r="U63" s="32" t="n">
        <x:f>'Evaluation Plan'!U63</x:f>
        <x:v>0</x:v>
      </x:c>
    </x:row>
    <x:row r="64" ht="51" customHeight="1">
      <x:c r="A64" s="40" t="str">
        <x:v>Not collected</x:v>
      </x:c>
      <x:c r="B64" s="41" t="n">
        <x:f>'Evaluation Plan'!B64</x:f>
        <x:v>62</x:v>
      </x:c>
      <x:c r="C64" s="40" t="str">
        <x:f>'Evaluation Plan'!C64</x:f>
        <x:v>Place the upright glass spice container in the bowl.</x:v>
      </x:c>
      <x:c r="D64" s="40" t="str">
        <x:f>'Evaluation Plan'!D64</x:f>
        <x:v>glass spice container B (C, RU); glass spice container A (C, UD); brown cup B (O, UD); white cup A (C, RU)</x:v>
      </x:c>
      <x:c r="E64" s="41" t="str">
        <x:f>'Evaluation Plan'!E64</x:f>
      </x:c>
      <x:c r="F64" s="41" t="str">
        <x:f>'Evaluation Plan'!F64</x:f>
        <x:v>172</x:v>
      </x:c>
      <x:c r="G64" s="40" t="str">
        <x:f>'Evaluation Plan'!G64</x:f>
        <x:v>Physical-state and manipulation-trajectory reference under a direct category prompt; the evaluated state word × object-category cell is intentionally absent from training.</x:v>
      </x:c>
      <x:c r="H64" s="40" t="str">
        <x:f>'Evaluation Plan'!H64</x:f>
        <x:v>glass spice container B</x:v>
      </x:c>
      <x:c r="I64" s="40" t="str"/>
      <x:c r="J64" s="45" t="str">
        <x:f>'Evaluation Plan'!J64</x:f>
        <x:v>Concept/compositional transfer</x:v>
      </x:c>
      <x:c r="K64" s="41" t="str">
        <x:f>'Evaluation Plan'!K64</x:f>
        <x:v>SR-CT12</x:v>
      </x:c>
      <x:c r="L64" s="41" t="str">
        <x:f>'Evaluation Plan'!L64</x:f>
        <x:v>RU</x:v>
      </x:c>
      <x:c r="M64" s="41" t="str">
        <x:f>'Evaluation Plan'!M64</x:f>
        <x:v>glass spice container</x:v>
      </x:c>
      <x:c r="N64" s="41" t="n">
        <x:f>'Evaluation Plan'!N64</x:f>
        <x:v>4</x:v>
      </x:c>
      <x:c r="O64" s="41" t="n">
        <x:f>'Evaluation Plan'!O64</x:f>
        <x:v>1</x:v>
      </x:c>
      <x:c r="P64" s="41" t="str">
        <x:f>'Evaluation Plan'!P64</x:f>
        <x:v>Empty</x:v>
      </x:c>
      <x:c r="Q64" s="40" t="str">
        <x:f>'Evaluation Plan'!Q64</x:f>
        <x:v>Primary held-out state-object composition</x:v>
      </x:c>
      <x:c r="R64" s="41" t="n">
        <x:f>'Evaluation Plan'!R64</x:f>
        <x:v>3</x:v>
      </x:c>
      <x:c r="S64" s="40" t="str">
        <x:f>'Evaluation Plan'!S64</x:f>
        <x:v>Build the listed same-category discrimination scene with the bowl empty.</x:v>
      </x:c>
      <x:c r="T64" s="40" t="str">
        <x:f>'Evaluation Plan'!T64</x:f>
        <x:v>Two same-category candidates share the non-queried state axis; only the held-out state word identifies the target.</x:v>
      </x:c>
      <x:c r="U64" s="40" t="n">
        <x:f>'Evaluation Plan'!U64</x:f>
        <x:v>0</x:v>
      </x:c>
    </x:row>
    <x:row r="65" ht="51" customHeight="1">
      <x:c r="A65" s="32" t="str">
        <x:v>Not collected</x:v>
      </x:c>
      <x:c r="B65" s="34" t="n">
        <x:f>'Evaluation Plan'!B65</x:f>
        <x:v>63</x:v>
      </x:c>
      <x:c r="C65" s="32" t="str">
        <x:f>'Evaluation Plan'!C65</x:f>
        <x:v>Place the upside-down glass spice container in the bowl.</x:v>
      </x:c>
      <x:c r="D65" s="32" t="str">
        <x:f>'Evaluation Plan'!D65</x:f>
        <x:v>glass spice container B (C, RU); glass spice container A (C, UD); brown cup B (O, UD); white cup A (C, RU)</x:v>
      </x:c>
      <x:c r="E65" s="34" t="n">
        <x:f>'Evaluation Plan'!E65</x:f>
        <x:v>62</x:v>
      </x:c>
      <x:c r="F65" s="34" t="str">
        <x:f>'Evaluation Plan'!F65</x:f>
        <x:v>186</x:v>
      </x:c>
      <x:c r="G65" s="32" t="str">
        <x:f>'Evaluation Plan'!G65</x:f>
        <x:v>Training-supported state-object cell for the control. The evaluation scene is shared exactly with the paired transfer row, while the physical layout is manually recreated.</x:v>
      </x:c>
      <x:c r="H65" s="32" t="str">
        <x:f>'Evaluation Plan'!H65</x:f>
        <x:v>glass spice container A</x:v>
      </x:c>
      <x:c r="I65" s="32" t="str"/>
      <x:c r="J65" s="37" t="str">
        <x:f>'Evaluation Plan'!J65</x:f>
        <x:v>Matched manipulation control</x:v>
      </x:c>
      <x:c r="K65" s="34" t="str">
        <x:f>'Evaluation Plan'!K65</x:f>
        <x:v>SR-CT12</x:v>
      </x:c>
      <x:c r="L65" s="34" t="str">
        <x:f>'Evaluation Plan'!L65</x:f>
        <x:v>UD</x:v>
      </x:c>
      <x:c r="M65" s="34" t="str">
        <x:f>'Evaluation Plan'!M65</x:f>
        <x:v>glass spice container</x:v>
      </x:c>
      <x:c r="N65" s="34" t="n">
        <x:f>'Evaluation Plan'!N65</x:f>
        <x:v>4</x:v>
      </x:c>
      <x:c r="O65" s="34" t="n">
        <x:f>'Evaluation Plan'!O65</x:f>
        <x:v>1</x:v>
      </x:c>
      <x:c r="P65" s="34" t="str">
        <x:f>'Evaluation Plan'!P65</x:f>
        <x:v>Empty</x:v>
      </x:c>
      <x:c r="Q65" s="32" t="str">
        <x:f>'Evaluation Plan'!Q65</x:f>
        <x:v>Exact-scene trained state-object counterfactual</x:v>
      </x:c>
      <x:c r="R65" s="34" t="n">
        <x:f>'Evaluation Plan'!R65</x:f>
        <x:v>3</x:v>
      </x:c>
      <x:c r="S65" s="32" t="str">
        <x:f>'Evaluation Plan'!S65</x:f>
        <x:v>Reset the moved object exactly; preserve every object and state; change only the prompt and expected target.</x:v>
      </x:c>
      <x:c r="T65" s="32" t="str">
        <x:f>'Evaluation Plan'!T65</x:f>
        <x:v>The correct target switches to the other same-category instance. This cell is explicit in training and controls recognition/manipulation in the transfer scene.</x:v>
      </x:c>
      <x:c r="U65" s="32" t="n">
        <x:f>'Evaluation Plan'!U65</x:f>
        <x:v>0</x:v>
      </x:c>
    </x:row>
    <x:row r="66" ht="51" customHeight="1">
      <x:c r="A66" s="40" t="str">
        <x:v>Not collected</x:v>
      </x:c>
      <x:c r="B66" s="41" t="n">
        <x:f>'Evaluation Plan'!B66</x:f>
        <x:v>64</x:v>
      </x:c>
      <x:c r="C66" s="40" t="str">
        <x:f>'Evaluation Plan'!C66</x:f>
        <x:v>Place the upside-down white cup in the bowl.</x:v>
      </x:c>
      <x:c r="D66" s="40" t="str">
        <x:f>'Evaluation Plan'!D66</x:f>
        <x:v>white cup A (O, UD); white cup B (O, RU)</x:v>
      </x:c>
      <x:c r="E66" s="41" t="str">
        <x:f>'Evaluation Plan'!E66</x:f>
      </x:c>
      <x:c r="F66" s="41" t="str">
        <x:f>'Evaluation Plan'!F66</x:f>
        <x:v>32</x:v>
      </x:c>
      <x:c r="G66" s="40" t="str">
        <x:f>'Evaluation Plan'!G66</x:f>
        <x:v>Physical-state and manipulation-trajectory reference under a direct category prompt; the evaluated state word × object-category cell is intentionally absent from training.</x:v>
      </x:c>
      <x:c r="H66" s="40" t="str">
        <x:f>'Evaluation Plan'!H66</x:f>
        <x:v>white cup A</x:v>
      </x:c>
      <x:c r="I66" s="40" t="str"/>
      <x:c r="J66" s="45" t="str">
        <x:f>'Evaluation Plan'!J66</x:f>
        <x:v>Concept/compositional transfer</x:v>
      </x:c>
      <x:c r="K66" s="41" t="str">
        <x:f>'Evaluation Plan'!K66</x:f>
        <x:v>SR-CT13</x:v>
      </x:c>
      <x:c r="L66" s="41" t="str">
        <x:f>'Evaluation Plan'!L66</x:f>
        <x:v>UD</x:v>
      </x:c>
      <x:c r="M66" s="41" t="str">
        <x:f>'Evaluation Plan'!M66</x:f>
        <x:v>white cup</x:v>
      </x:c>
      <x:c r="N66" s="41" t="n">
        <x:f>'Evaluation Plan'!N66</x:f>
        <x:v>2</x:v>
      </x:c>
      <x:c r="O66" s="41" t="n">
        <x:f>'Evaluation Plan'!O66</x:f>
        <x:v>1</x:v>
      </x:c>
      <x:c r="P66" s="41" t="str">
        <x:f>'Evaluation Plan'!P66</x:f>
        <x:v>Empty</x:v>
      </x:c>
      <x:c r="Q66" s="40" t="str">
        <x:f>'Evaluation Plan'!Q66</x:f>
        <x:v>Primary held-out state-object composition</x:v>
      </x:c>
      <x:c r="R66" s="41" t="n">
        <x:f>'Evaluation Plan'!R66</x:f>
        <x:v>3</x:v>
      </x:c>
      <x:c r="S66" s="40" t="str">
        <x:f>'Evaluation Plan'!S66</x:f>
        <x:v>Build the listed same-category discrimination scene with the bowl empty.</x:v>
      </x:c>
      <x:c r="T66" s="40" t="str">
        <x:f>'Evaluation Plan'!T66</x:f>
        <x:v>Two same-category candidates share the non-queried state axis; only the held-out state word identifies the target.</x:v>
      </x:c>
      <x:c r="U66" s="40" t="n">
        <x:f>'Evaluation Plan'!U66</x:f>
        <x:v>0</x:v>
      </x:c>
    </x:row>
    <x:row r="67" ht="51" customHeight="1">
      <x:c r="A67" s="32" t="str">
        <x:v>Not collected</x:v>
      </x:c>
      <x:c r="B67" s="34" t="n">
        <x:f>'Evaluation Plan'!B67</x:f>
        <x:v>65</x:v>
      </x:c>
      <x:c r="C67" s="32" t="str">
        <x:f>'Evaluation Plan'!C67</x:f>
        <x:v>Place the upright white cup in the bowl.</x:v>
      </x:c>
      <x:c r="D67" s="32" t="str">
        <x:f>'Evaluation Plan'!D67</x:f>
        <x:v>white cup A (O, UD); white cup B (O, RU)</x:v>
      </x:c>
      <x:c r="E67" s="34" t="n">
        <x:f>'Evaluation Plan'!E67</x:f>
        <x:v>64</x:v>
      </x:c>
      <x:c r="F67" s="34" t="str">
        <x:f>'Evaluation Plan'!F67</x:f>
        <x:v>44</x:v>
      </x:c>
      <x:c r="G67" s="32" t="str">
        <x:f>'Evaluation Plan'!G67</x:f>
        <x:v>Training-supported state-object cell for the control. The evaluation scene is shared exactly with the paired transfer row, while the physical layout is manually recreated.</x:v>
      </x:c>
      <x:c r="H67" s="32" t="str">
        <x:f>'Evaluation Plan'!H67</x:f>
        <x:v>white cup B</x:v>
      </x:c>
      <x:c r="I67" s="32" t="str"/>
      <x:c r="J67" s="37" t="str">
        <x:f>'Evaluation Plan'!J67</x:f>
        <x:v>Matched manipulation control</x:v>
      </x:c>
      <x:c r="K67" s="34" t="str">
        <x:f>'Evaluation Plan'!K67</x:f>
        <x:v>SR-CT13</x:v>
      </x:c>
      <x:c r="L67" s="34" t="str">
        <x:f>'Evaluation Plan'!L67</x:f>
        <x:v>RU</x:v>
      </x:c>
      <x:c r="M67" s="34" t="str">
        <x:f>'Evaluation Plan'!M67</x:f>
        <x:v>white cup</x:v>
      </x:c>
      <x:c r="N67" s="34" t="n">
        <x:f>'Evaluation Plan'!N67</x:f>
        <x:v>2</x:v>
      </x:c>
      <x:c r="O67" s="34" t="n">
        <x:f>'Evaluation Plan'!O67</x:f>
        <x:v>1</x:v>
      </x:c>
      <x:c r="P67" s="34" t="str">
        <x:f>'Evaluation Plan'!P67</x:f>
        <x:v>Empty</x:v>
      </x:c>
      <x:c r="Q67" s="32" t="str">
        <x:f>'Evaluation Plan'!Q67</x:f>
        <x:v>Exact-scene trained state-object counterfactual</x:v>
      </x:c>
      <x:c r="R67" s="34" t="n">
        <x:f>'Evaluation Plan'!R67</x:f>
        <x:v>3</x:v>
      </x:c>
      <x:c r="S67" s="32" t="str">
        <x:f>'Evaluation Plan'!S67</x:f>
        <x:v>Reset the moved object exactly; preserve every object and state; change only the prompt and expected target.</x:v>
      </x:c>
      <x:c r="T67" s="32" t="str">
        <x:f>'Evaluation Plan'!T67</x:f>
        <x:v>The correct target switches to the other same-category instance. This cell is explicit in training and controls recognition/manipulation in the transfer scene.</x:v>
      </x:c>
      <x:c r="U67" s="32" t="n">
        <x:f>'Evaluation Plan'!U67</x:f>
        <x:v>0</x:v>
      </x:c>
    </x:row>
    <x:row r="68" ht="51" customHeight="1">
      <x:c r="A68" s="40" t="str">
        <x:v>Not collected</x:v>
      </x:c>
      <x:c r="B68" s="41" t="n">
        <x:f>'Evaluation Plan'!B68</x:f>
        <x:v>66</x:v>
      </x:c>
      <x:c r="C68" s="40" t="str">
        <x:f>'Evaluation Plan'!C68</x:f>
        <x:v>Place the open yellow-white striped cup in the bowl.</x:v>
      </x:c>
      <x:c r="D68" s="40" t="str">
        <x:f>'Evaluation Plan'!D68</x:f>
        <x:v>yellow-white striped cup B (O, UD); yellow-white striped cup A (C, UD); brown cup B (O, RU)</x:v>
      </x:c>
      <x:c r="E68" s="41" t="str">
        <x:f>'Evaluation Plan'!E68</x:f>
      </x:c>
      <x:c r="F68" s="41" t="str">
        <x:f>'Evaluation Plan'!F68</x:f>
        <x:v>53</x:v>
      </x:c>
      <x:c r="G68" s="40" t="str">
        <x:f>'Evaluation Plan'!G68</x:f>
        <x:v>Physical-state and manipulation-trajectory reference under a direct category prompt; the evaluated state word × object-category cell is intentionally absent from training.</x:v>
      </x:c>
      <x:c r="H68" s="40" t="str">
        <x:f>'Evaluation Plan'!H68</x:f>
        <x:v>yellow-white striped cup B</x:v>
      </x:c>
      <x:c r="I68" s="40" t="str"/>
      <x:c r="J68" s="45" t="str">
        <x:f>'Evaluation Plan'!J68</x:f>
        <x:v>Concept/compositional transfer</x:v>
      </x:c>
      <x:c r="K68" s="41" t="str">
        <x:f>'Evaluation Plan'!K68</x:f>
        <x:v>SR-CT14</x:v>
      </x:c>
      <x:c r="L68" s="41" t="str">
        <x:f>'Evaluation Plan'!L68</x:f>
        <x:v>O</x:v>
      </x:c>
      <x:c r="M68" s="41" t="str">
        <x:f>'Evaluation Plan'!M68</x:f>
        <x:v>yellow-white striped cup</x:v>
      </x:c>
      <x:c r="N68" s="41" t="n">
        <x:f>'Evaluation Plan'!N68</x:f>
        <x:v>3</x:v>
      </x:c>
      <x:c r="O68" s="41" t="n">
        <x:f>'Evaluation Plan'!O68</x:f>
        <x:v>1</x:v>
      </x:c>
      <x:c r="P68" s="41" t="str">
        <x:f>'Evaluation Plan'!P68</x:f>
        <x:v>Empty</x:v>
      </x:c>
      <x:c r="Q68" s="40" t="str">
        <x:f>'Evaluation Plan'!Q68</x:f>
        <x:v>Primary held-out state-object composition</x:v>
      </x:c>
      <x:c r="R68" s="41" t="n">
        <x:f>'Evaluation Plan'!R68</x:f>
        <x:v>3</x:v>
      </x:c>
      <x:c r="S68" s="40" t="str">
        <x:f>'Evaluation Plan'!S68</x:f>
        <x:v>Build the listed same-category discrimination scene with the bowl empty.</x:v>
      </x:c>
      <x:c r="T68" s="40" t="str">
        <x:f>'Evaluation Plan'!T68</x:f>
        <x:v>Two same-category candidates share the non-queried state axis; only the held-out state word identifies the target.</x:v>
      </x:c>
      <x:c r="U68" s="40" t="n">
        <x:f>'Evaluation Plan'!U68</x:f>
        <x:v>0</x:v>
      </x:c>
    </x:row>
    <x:row r="69" ht="51" customHeight="1">
      <x:c r="A69" s="32" t="str">
        <x:v>Not collected</x:v>
      </x:c>
      <x:c r="B69" s="34" t="n">
        <x:f>'Evaluation Plan'!B69</x:f>
        <x:v>67</x:v>
      </x:c>
      <x:c r="C69" s="32" t="str">
        <x:f>'Evaluation Plan'!C69</x:f>
        <x:v>Place the closed yellow-white striped cup in the bowl.</x:v>
      </x:c>
      <x:c r="D69" s="32" t="str">
        <x:f>'Evaluation Plan'!D69</x:f>
        <x:v>yellow-white striped cup B (O, UD); yellow-white striped cup A (C, UD); brown cup B (O, RU)</x:v>
      </x:c>
      <x:c r="E69" s="34" t="n">
        <x:f>'Evaluation Plan'!E69</x:f>
        <x:v>66</x:v>
      </x:c>
      <x:c r="F69" s="34" t="str">
        <x:f>'Evaluation Plan'!F69</x:f>
        <x:v>73</x:v>
      </x:c>
      <x:c r="G69" s="32" t="str">
        <x:f>'Evaluation Plan'!G69</x:f>
        <x:v>Training-supported state-object cell for the control. The evaluation scene is shared exactly with the paired transfer row, while the physical layout is manually recreated.</x:v>
      </x:c>
      <x:c r="H69" s="32" t="str">
        <x:f>'Evaluation Plan'!H69</x:f>
        <x:v>yellow-white striped cup A</x:v>
      </x:c>
      <x:c r="I69" s="32" t="str"/>
      <x:c r="J69" s="37" t="str">
        <x:f>'Evaluation Plan'!J69</x:f>
        <x:v>Matched manipulation control</x:v>
      </x:c>
      <x:c r="K69" s="34" t="str">
        <x:f>'Evaluation Plan'!K69</x:f>
        <x:v>SR-CT14</x:v>
      </x:c>
      <x:c r="L69" s="34" t="str">
        <x:f>'Evaluation Plan'!L69</x:f>
        <x:v>C</x:v>
      </x:c>
      <x:c r="M69" s="34" t="str">
        <x:f>'Evaluation Plan'!M69</x:f>
        <x:v>yellow-white striped cup</x:v>
      </x:c>
      <x:c r="N69" s="34" t="n">
        <x:f>'Evaluation Plan'!N69</x:f>
        <x:v>3</x:v>
      </x:c>
      <x:c r="O69" s="34" t="n">
        <x:f>'Evaluation Plan'!O69</x:f>
        <x:v>1</x:v>
      </x:c>
      <x:c r="P69" s="34" t="str">
        <x:f>'Evaluation Plan'!P69</x:f>
        <x:v>Empty</x:v>
      </x:c>
      <x:c r="Q69" s="32" t="str">
        <x:f>'Evaluation Plan'!Q69</x:f>
        <x:v>Exact-scene trained state-object counterfactual</x:v>
      </x:c>
      <x:c r="R69" s="34" t="n">
        <x:f>'Evaluation Plan'!R69</x:f>
        <x:v>3</x:v>
      </x:c>
      <x:c r="S69" s="32" t="str">
        <x:f>'Evaluation Plan'!S69</x:f>
        <x:v>Reset the moved object exactly; preserve every object and state; change only the prompt and expected target.</x:v>
      </x:c>
      <x:c r="T69" s="32" t="str">
        <x:f>'Evaluation Plan'!T69</x:f>
        <x:v>The correct target switches to the other same-category instance. This cell is explicit in training and controls recognition/manipulation in the transfer scene.</x:v>
      </x:c>
      <x:c r="U69" s="32" t="n">
        <x:f>'Evaluation Plan'!U69</x:f>
        <x:v>0</x:v>
      </x:c>
    </x:row>
    <x:row r="70" ht="51" customHeight="1">
      <x:c r="A70" s="40" t="str">
        <x:v>Not collected</x:v>
      </x:c>
      <x:c r="B70" s="41" t="n">
        <x:f>'Evaluation Plan'!B70</x:f>
        <x:v>68</x:v>
      </x:c>
      <x:c r="C70" s="40" t="str">
        <x:f>'Evaluation Plan'!C70</x:f>
        <x:v>Place the closed brown cup in the bowl.</x:v>
      </x:c>
      <x:c r="D70" s="40" t="str">
        <x:f>'Evaluation Plan'!D70</x:f>
        <x:v>brown cup A (C, UD); brown cup B (O, UD); glass spice container A (C, UD); white cup B (O, UD)</x:v>
      </x:c>
      <x:c r="E70" s="41" t="str">
        <x:f>'Evaluation Plan'!E70</x:f>
      </x:c>
      <x:c r="F70" s="41" t="str">
        <x:f>'Evaluation Plan'!F70</x:f>
        <x:v>129</x:v>
      </x:c>
      <x:c r="G70" s="40" t="str">
        <x:f>'Evaluation Plan'!G70</x:f>
        <x:v>Physical-state and manipulation-trajectory reference under a direct category prompt; the evaluated state word × object-category cell is intentionally absent from training.</x:v>
      </x:c>
      <x:c r="H70" s="40" t="str">
        <x:f>'Evaluation Plan'!H70</x:f>
        <x:v>brown cup A</x:v>
      </x:c>
      <x:c r="I70" s="40" t="str"/>
      <x:c r="J70" s="45" t="str">
        <x:f>'Evaluation Plan'!J70</x:f>
        <x:v>Concept/compositional transfer</x:v>
      </x:c>
      <x:c r="K70" s="41" t="str">
        <x:f>'Evaluation Plan'!K70</x:f>
        <x:v>SR-CT15</x:v>
      </x:c>
      <x:c r="L70" s="41" t="str">
        <x:f>'Evaluation Plan'!L70</x:f>
        <x:v>C</x:v>
      </x:c>
      <x:c r="M70" s="41" t="str">
        <x:f>'Evaluation Plan'!M70</x:f>
        <x:v>brown cup</x:v>
      </x:c>
      <x:c r="N70" s="41" t="n">
        <x:f>'Evaluation Plan'!N70</x:f>
        <x:v>4</x:v>
      </x:c>
      <x:c r="O70" s="41" t="n">
        <x:f>'Evaluation Plan'!O70</x:f>
        <x:v>1</x:v>
      </x:c>
      <x:c r="P70" s="41" t="str">
        <x:f>'Evaluation Plan'!P70</x:f>
        <x:v>Empty</x:v>
      </x:c>
      <x:c r="Q70" s="40" t="str">
        <x:f>'Evaluation Plan'!Q70</x:f>
        <x:v>Primary held-out state-object composition</x:v>
      </x:c>
      <x:c r="R70" s="41" t="n">
        <x:f>'Evaluation Plan'!R70</x:f>
        <x:v>3</x:v>
      </x:c>
      <x:c r="S70" s="40" t="str">
        <x:f>'Evaluation Plan'!S70</x:f>
        <x:v>Build the listed same-category discrimination scene with the bowl empty.</x:v>
      </x:c>
      <x:c r="T70" s="40" t="str">
        <x:f>'Evaluation Plan'!T70</x:f>
        <x:v>Two same-category candidates share the non-queried state axis; only the held-out state word identifies the target.</x:v>
      </x:c>
      <x:c r="U70" s="40" t="n">
        <x:f>'Evaluation Plan'!U70</x:f>
        <x:v>0</x:v>
      </x:c>
    </x:row>
    <x:row r="71" ht="51" customHeight="1">
      <x:c r="A71" s="32" t="str">
        <x:v>Not collected</x:v>
      </x:c>
      <x:c r="B71" s="34" t="n">
        <x:f>'Evaluation Plan'!B71</x:f>
        <x:v>69</x:v>
      </x:c>
      <x:c r="C71" s="32" t="str">
        <x:f>'Evaluation Plan'!C71</x:f>
        <x:v>Place the open brown cup in the bowl.</x:v>
      </x:c>
      <x:c r="D71" s="32" t="str">
        <x:f>'Evaluation Plan'!D71</x:f>
        <x:v>brown cup A (C, UD); brown cup B (O, UD); glass spice container A (C, UD); white cup B (O, UD)</x:v>
      </x:c>
      <x:c r="E71" s="34" t="n">
        <x:f>'Evaluation Plan'!E71</x:f>
        <x:v>68</x:v>
      </x:c>
      <x:c r="F71" s="34" t="str">
        <x:f>'Evaluation Plan'!F71</x:f>
        <x:v>112</x:v>
      </x:c>
      <x:c r="G71" s="32" t="str">
        <x:f>'Evaluation Plan'!G71</x:f>
        <x:v>Training-supported state-object cell for the control. The evaluation scene is shared exactly with the paired transfer row, while the physical layout is manually recreated.</x:v>
      </x:c>
      <x:c r="H71" s="32" t="str">
        <x:f>'Evaluation Plan'!H71</x:f>
        <x:v>brown cup B</x:v>
      </x:c>
      <x:c r="I71" s="32" t="str"/>
      <x:c r="J71" s="37" t="str">
        <x:f>'Evaluation Plan'!J71</x:f>
        <x:v>Matched manipulation control</x:v>
      </x:c>
      <x:c r="K71" s="34" t="str">
        <x:f>'Evaluation Plan'!K71</x:f>
        <x:v>SR-CT15</x:v>
      </x:c>
      <x:c r="L71" s="34" t="str">
        <x:f>'Evaluation Plan'!L71</x:f>
        <x:v>O</x:v>
      </x:c>
      <x:c r="M71" s="34" t="str">
        <x:f>'Evaluation Plan'!M71</x:f>
        <x:v>brown cup</x:v>
      </x:c>
      <x:c r="N71" s="34" t="n">
        <x:f>'Evaluation Plan'!N71</x:f>
        <x:v>4</x:v>
      </x:c>
      <x:c r="O71" s="34" t="n">
        <x:f>'Evaluation Plan'!O71</x:f>
        <x:v>1</x:v>
      </x:c>
      <x:c r="P71" s="34" t="str">
        <x:f>'Evaluation Plan'!P71</x:f>
        <x:v>Empty</x:v>
      </x:c>
      <x:c r="Q71" s="32" t="str">
        <x:f>'Evaluation Plan'!Q71</x:f>
        <x:v>Exact-scene trained state-object counterfactual</x:v>
      </x:c>
      <x:c r="R71" s="34" t="n">
        <x:f>'Evaluation Plan'!R71</x:f>
        <x:v>3</x:v>
      </x:c>
      <x:c r="S71" s="32" t="str">
        <x:f>'Evaluation Plan'!S71</x:f>
        <x:v>Reset the moved object exactly; preserve every object and state; change only the prompt and expected target.</x:v>
      </x:c>
      <x:c r="T71" s="32" t="str">
        <x:f>'Evaluation Plan'!T71</x:f>
        <x:v>The correct target switches to the other same-category instance. This cell is explicit in training and controls recognition/manipulation in the transfer scene.</x:v>
      </x:c>
      <x:c r="U71" s="32" t="n">
        <x:f>'Evaluation Plan'!U71</x:f>
        <x:v>0</x:v>
      </x:c>
    </x:row>
    <x:row r="72" ht="51" customHeight="1">
      <x:c r="A72" s="40" t="str">
        <x:v>Not collected</x:v>
      </x:c>
      <x:c r="B72" s="41" t="n">
        <x:f>'Evaluation Plan'!B72</x:f>
        <x:v>70</x:v>
      </x:c>
      <x:c r="C72" s="40" t="str">
        <x:f>'Evaluation Plan'!C72</x:f>
        <x:v>Place the upright glass spice container in the bowl.</x:v>
      </x:c>
      <x:c r="D72" s="40" t="str">
        <x:f>'Evaluation Plan'!D72</x:f>
        <x:v>glass spice container B (O, RU); glass spice container A (O, UD)</x:v>
      </x:c>
      <x:c r="E72" s="41" t="str">
        <x:f>'Evaluation Plan'!E72</x:f>
      </x:c>
      <x:c r="F72" s="41" t="str">
        <x:f>'Evaluation Plan'!F72</x:f>
        <x:v>157</x:v>
      </x:c>
      <x:c r="G72" s="40" t="str">
        <x:f>'Evaluation Plan'!G72</x:f>
        <x:v>Physical-state and manipulation-trajectory reference under a direct category prompt; the evaluated state word × object-category cell is intentionally absent from training.</x:v>
      </x:c>
      <x:c r="H72" s="40" t="str">
        <x:f>'Evaluation Plan'!H72</x:f>
        <x:v>glass spice container B</x:v>
      </x:c>
      <x:c r="I72" s="40" t="str"/>
      <x:c r="J72" s="45" t="str">
        <x:f>'Evaluation Plan'!J72</x:f>
        <x:v>Concept/compositional transfer</x:v>
      </x:c>
      <x:c r="K72" s="41" t="str">
        <x:f>'Evaluation Plan'!K72</x:f>
        <x:v>SR-CT16</x:v>
      </x:c>
      <x:c r="L72" s="41" t="str">
        <x:f>'Evaluation Plan'!L72</x:f>
        <x:v>RU</x:v>
      </x:c>
      <x:c r="M72" s="41" t="str">
        <x:f>'Evaluation Plan'!M72</x:f>
        <x:v>glass spice container</x:v>
      </x:c>
      <x:c r="N72" s="41" t="n">
        <x:f>'Evaluation Plan'!N72</x:f>
        <x:v>2</x:v>
      </x:c>
      <x:c r="O72" s="41" t="n">
        <x:f>'Evaluation Plan'!O72</x:f>
        <x:v>1</x:v>
      </x:c>
      <x:c r="P72" s="41" t="str">
        <x:f>'Evaluation Plan'!P72</x:f>
        <x:v>Empty</x:v>
      </x:c>
      <x:c r="Q72" s="40" t="str">
        <x:f>'Evaluation Plan'!Q72</x:f>
        <x:v>Primary held-out state-object composition</x:v>
      </x:c>
      <x:c r="R72" s="41" t="n">
        <x:f>'Evaluation Plan'!R72</x:f>
        <x:v>3</x:v>
      </x:c>
      <x:c r="S72" s="40" t="str">
        <x:f>'Evaluation Plan'!S72</x:f>
        <x:v>Build the listed same-category discrimination scene with the bowl empty.</x:v>
      </x:c>
      <x:c r="T72" s="40" t="str">
        <x:f>'Evaluation Plan'!T72</x:f>
        <x:v>Two same-category candidates share the non-queried state axis; only the held-out state word identifies the target.</x:v>
      </x:c>
      <x:c r="U72" s="40" t="n">
        <x:f>'Evaluation Plan'!U72</x:f>
        <x:v>0</x:v>
      </x:c>
    </x:row>
    <x:row r="73" ht="51" customHeight="1">
      <x:c r="A73" s="32" t="str">
        <x:v>Not collected</x:v>
      </x:c>
      <x:c r="B73" s="34" t="n">
        <x:f>'Evaluation Plan'!B73</x:f>
        <x:v>71</x:v>
      </x:c>
      <x:c r="C73" s="32" t="str">
        <x:f>'Evaluation Plan'!C73</x:f>
        <x:v>Place the upside-down glass spice container in the bowl.</x:v>
      </x:c>
      <x:c r="D73" s="32" t="str">
        <x:f>'Evaluation Plan'!D73</x:f>
        <x:v>glass spice container B (O, RU); glass spice container A (O, UD)</x:v>
      </x:c>
      <x:c r="E73" s="34" t="n">
        <x:f>'Evaluation Plan'!E73</x:f>
        <x:v>70</x:v>
      </x:c>
      <x:c r="F73" s="34" t="str">
        <x:f>'Evaluation Plan'!F73</x:f>
        <x:v>189</x:v>
      </x:c>
      <x:c r="G73" s="32" t="str">
        <x:f>'Evaluation Plan'!G73</x:f>
        <x:v>Training-supported state-object cell for the control. The evaluation scene is shared exactly with the paired transfer row, while the physical layout is manually recreated.</x:v>
      </x:c>
      <x:c r="H73" s="32" t="str">
        <x:f>'Evaluation Plan'!H73</x:f>
        <x:v>glass spice container A</x:v>
      </x:c>
      <x:c r="I73" s="32" t="str"/>
      <x:c r="J73" s="37" t="str">
        <x:f>'Evaluation Plan'!J73</x:f>
        <x:v>Matched manipulation control</x:v>
      </x:c>
      <x:c r="K73" s="34" t="str">
        <x:f>'Evaluation Plan'!K73</x:f>
        <x:v>SR-CT16</x:v>
      </x:c>
      <x:c r="L73" s="34" t="str">
        <x:f>'Evaluation Plan'!L73</x:f>
        <x:v>UD</x:v>
      </x:c>
      <x:c r="M73" s="34" t="str">
        <x:f>'Evaluation Plan'!M73</x:f>
        <x:v>glass spice container</x:v>
      </x:c>
      <x:c r="N73" s="34" t="n">
        <x:f>'Evaluation Plan'!N73</x:f>
        <x:v>2</x:v>
      </x:c>
      <x:c r="O73" s="34" t="n">
        <x:f>'Evaluation Plan'!O73</x:f>
        <x:v>1</x:v>
      </x:c>
      <x:c r="P73" s="34" t="str">
        <x:f>'Evaluation Plan'!P73</x:f>
        <x:v>Empty</x:v>
      </x:c>
      <x:c r="Q73" s="32" t="str">
        <x:f>'Evaluation Plan'!Q73</x:f>
        <x:v>Exact-scene trained state-object counterfactual</x:v>
      </x:c>
      <x:c r="R73" s="34" t="n">
        <x:f>'Evaluation Plan'!R73</x:f>
        <x:v>3</x:v>
      </x:c>
      <x:c r="S73" s="32" t="str">
        <x:f>'Evaluation Plan'!S73</x:f>
        <x:v>Reset the moved object exactly; preserve every object and state; change only the prompt and expected target.</x:v>
      </x:c>
      <x:c r="T73" s="32" t="str">
        <x:f>'Evaluation Plan'!T73</x:f>
        <x:v>The correct target switches to the other same-category instance. This cell is explicit in training and controls recognition/manipulation in the transfer scene.</x:v>
      </x:c>
      <x:c r="U73" s="32" t="n">
        <x:f>'Evaluation Plan'!U73</x:f>
        <x:v>0</x:v>
      </x:c>
    </x:row>
    <x:row r="74" ht="51" customHeight="1">
      <x:c r="A74" s="40" t="str">
        <x:v>Not collected</x:v>
      </x:c>
      <x:c r="B74" s="41" t="n">
        <x:f>'Evaluation Plan'!B74</x:f>
        <x:v>72</x:v>
      </x:c>
      <x:c r="C74" s="40" t="str">
        <x:f>'Evaluation Plan'!C74</x:f>
        <x:v>Place the upside-down white cup in the bowl.</x:v>
      </x:c>
      <x:c r="D74" s="40" t="str">
        <x:f>'Evaluation Plan'!D74</x:f>
        <x:v>white cup A (C, UD); white cup B (C, RU); brown cup A (C, RU)</x:v>
      </x:c>
      <x:c r="E74" s="41" t="str">
        <x:f>'Evaluation Plan'!E74</x:f>
      </x:c>
      <x:c r="F74" s="41" t="str">
        <x:f>'Evaluation Plan'!F74</x:f>
        <x:v>35</x:v>
      </x:c>
      <x:c r="G74" s="40" t="str">
        <x:f>'Evaluation Plan'!G74</x:f>
        <x:v>Physical-state and manipulation-trajectory reference under a direct category prompt; the evaluated state word × object-category cell is intentionally absent from training.</x:v>
      </x:c>
      <x:c r="H74" s="40" t="str">
        <x:f>'Evaluation Plan'!H74</x:f>
        <x:v>white cup A</x:v>
      </x:c>
      <x:c r="I74" s="40" t="str"/>
      <x:c r="J74" s="45" t="str">
        <x:f>'Evaluation Plan'!J74</x:f>
        <x:v>Concept/compositional transfer</x:v>
      </x:c>
      <x:c r="K74" s="41" t="str">
        <x:f>'Evaluation Plan'!K74</x:f>
        <x:v>SR-CT17</x:v>
      </x:c>
      <x:c r="L74" s="41" t="str">
        <x:f>'Evaluation Plan'!L74</x:f>
        <x:v>UD</x:v>
      </x:c>
      <x:c r="M74" s="41" t="str">
        <x:f>'Evaluation Plan'!M74</x:f>
        <x:v>white cup</x:v>
      </x:c>
      <x:c r="N74" s="41" t="n">
        <x:f>'Evaluation Plan'!N74</x:f>
        <x:v>3</x:v>
      </x:c>
      <x:c r="O74" s="41" t="n">
        <x:f>'Evaluation Plan'!O74</x:f>
        <x:v>1</x:v>
      </x:c>
      <x:c r="P74" s="41" t="str">
        <x:f>'Evaluation Plan'!P74</x:f>
        <x:v>Empty</x:v>
      </x:c>
      <x:c r="Q74" s="40" t="str">
        <x:f>'Evaluation Plan'!Q74</x:f>
        <x:v>Primary held-out state-object composition</x:v>
      </x:c>
      <x:c r="R74" s="41" t="n">
        <x:f>'Evaluation Plan'!R74</x:f>
        <x:v>3</x:v>
      </x:c>
      <x:c r="S74" s="40" t="str">
        <x:f>'Evaluation Plan'!S74</x:f>
        <x:v>Build the listed same-category discrimination scene with the bowl empty.</x:v>
      </x:c>
      <x:c r="T74" s="40" t="str">
        <x:f>'Evaluation Plan'!T74</x:f>
        <x:v>Two same-category candidates share the non-queried state axis; only the held-out state word identifies the target.</x:v>
      </x:c>
      <x:c r="U74" s="40" t="n">
        <x:f>'Evaluation Plan'!U74</x:f>
        <x:v>0</x:v>
      </x:c>
    </x:row>
    <x:row r="75" ht="51" customHeight="1">
      <x:c r="A75" s="32" t="str">
        <x:v>Not collected</x:v>
      </x:c>
      <x:c r="B75" s="34" t="n">
        <x:f>'Evaluation Plan'!B75</x:f>
        <x:v>73</x:v>
      </x:c>
      <x:c r="C75" s="32" t="str">
        <x:f>'Evaluation Plan'!C75</x:f>
        <x:v>Place the upright white cup in the bowl.</x:v>
      </x:c>
      <x:c r="D75" s="32" t="str">
        <x:f>'Evaluation Plan'!D75</x:f>
        <x:v>white cup A (C, UD); white cup B (C, RU); brown cup A (C, RU)</x:v>
      </x:c>
      <x:c r="E75" s="34" t="n">
        <x:f>'Evaluation Plan'!E75</x:f>
        <x:v>72</x:v>
      </x:c>
      <x:c r="F75" s="34" t="str">
        <x:f>'Evaluation Plan'!F75</x:f>
        <x:v>48</x:v>
      </x:c>
      <x:c r="G75" s="32" t="str">
        <x:f>'Evaluation Plan'!G75</x:f>
        <x:v>Training-supported state-object cell for the control. The evaluation scene is shared exactly with the paired transfer row, while the physical layout is manually recreated.</x:v>
      </x:c>
      <x:c r="H75" s="32" t="str">
        <x:f>'Evaluation Plan'!H75</x:f>
        <x:v>white cup B</x:v>
      </x:c>
      <x:c r="I75" s="32" t="str"/>
      <x:c r="J75" s="37" t="str">
        <x:f>'Evaluation Plan'!J75</x:f>
        <x:v>Matched manipulation control</x:v>
      </x:c>
      <x:c r="K75" s="34" t="str">
        <x:f>'Evaluation Plan'!K75</x:f>
        <x:v>SR-CT17</x:v>
      </x:c>
      <x:c r="L75" s="34" t="str">
        <x:f>'Evaluation Plan'!L75</x:f>
        <x:v>RU</x:v>
      </x:c>
      <x:c r="M75" s="34" t="str">
        <x:f>'Evaluation Plan'!M75</x:f>
        <x:v>white cup</x:v>
      </x:c>
      <x:c r="N75" s="34" t="n">
        <x:f>'Evaluation Plan'!N75</x:f>
        <x:v>3</x:v>
      </x:c>
      <x:c r="O75" s="34" t="n">
        <x:f>'Evaluation Plan'!O75</x:f>
        <x:v>1</x:v>
      </x:c>
      <x:c r="P75" s="34" t="str">
        <x:f>'Evaluation Plan'!P75</x:f>
        <x:v>Empty</x:v>
      </x:c>
      <x:c r="Q75" s="32" t="str">
        <x:f>'Evaluation Plan'!Q75</x:f>
        <x:v>Exact-scene trained state-object counterfactual</x:v>
      </x:c>
      <x:c r="R75" s="34" t="n">
        <x:f>'Evaluation Plan'!R75</x:f>
        <x:v>3</x:v>
      </x:c>
      <x:c r="S75" s="32" t="str">
        <x:f>'Evaluation Plan'!S75</x:f>
        <x:v>Reset the moved object exactly; preserve every object and state; change only the prompt and expected target.</x:v>
      </x:c>
      <x:c r="T75" s="32" t="str">
        <x:f>'Evaluation Plan'!T75</x:f>
        <x:v>The correct target switches to the other same-category instance. This cell is explicit in training and controls recognition/manipulation in the transfer scene.</x:v>
      </x:c>
      <x:c r="U75" s="32" t="n">
        <x:f>'Evaluation Plan'!U75</x:f>
        <x:v>0</x:v>
      </x:c>
    </x:row>
    <x:row r="76" ht="51" customHeight="1">
      <x:c r="A76" s="40" t="str">
        <x:v>Not collected</x:v>
      </x:c>
      <x:c r="B76" s="41" t="n">
        <x:f>'Evaluation Plan'!B76</x:f>
        <x:v>74</x:v>
      </x:c>
      <x:c r="C76" s="40" t="str">
        <x:f>'Evaluation Plan'!C76</x:f>
        <x:v>Place the open yellow-white striped cup in the bowl.</x:v>
      </x:c>
      <x:c r="D76" s="40" t="str">
        <x:f>'Evaluation Plan'!D76</x:f>
        <x:v>yellow-white striped cup B (O, RU); yellow-white striped cup A (C, RU); glass spice container B (O, RU); white cup A (C, UD)</x:v>
      </x:c>
      <x:c r="E76" s="41" t="str">
        <x:f>'Evaluation Plan'!E76</x:f>
      </x:c>
      <x:c r="F76" s="41" t="str">
        <x:f>'Evaluation Plan'!F76</x:f>
        <x:v>72</x:v>
      </x:c>
      <x:c r="G76" s="40" t="str">
        <x:f>'Evaluation Plan'!G76</x:f>
        <x:v>Physical-state and manipulation-trajectory reference under a direct category prompt; the evaluated state word × object-category cell is intentionally absent from training.</x:v>
      </x:c>
      <x:c r="H76" s="40" t="str">
        <x:f>'Evaluation Plan'!H76</x:f>
        <x:v>yellow-white striped cup B</x:v>
      </x:c>
      <x:c r="I76" s="40" t="str"/>
      <x:c r="J76" s="45" t="str">
        <x:f>'Evaluation Plan'!J76</x:f>
        <x:v>Concept/compositional transfer</x:v>
      </x:c>
      <x:c r="K76" s="41" t="str">
        <x:f>'Evaluation Plan'!K76</x:f>
        <x:v>SR-CT18</x:v>
      </x:c>
      <x:c r="L76" s="41" t="str">
        <x:f>'Evaluation Plan'!L76</x:f>
        <x:v>O</x:v>
      </x:c>
      <x:c r="M76" s="41" t="str">
        <x:f>'Evaluation Plan'!M76</x:f>
        <x:v>yellow-white striped cup</x:v>
      </x:c>
      <x:c r="N76" s="41" t="n">
        <x:f>'Evaluation Plan'!N76</x:f>
        <x:v>4</x:v>
      </x:c>
      <x:c r="O76" s="41" t="n">
        <x:f>'Evaluation Plan'!O76</x:f>
        <x:v>1</x:v>
      </x:c>
      <x:c r="P76" s="41" t="str">
        <x:f>'Evaluation Plan'!P76</x:f>
        <x:v>Empty</x:v>
      </x:c>
      <x:c r="Q76" s="40" t="str">
        <x:f>'Evaluation Plan'!Q76</x:f>
        <x:v>Primary held-out state-object composition</x:v>
      </x:c>
      <x:c r="R76" s="41" t="n">
        <x:f>'Evaluation Plan'!R76</x:f>
        <x:v>3</x:v>
      </x:c>
      <x:c r="S76" s="40" t="str">
        <x:f>'Evaluation Plan'!S76</x:f>
        <x:v>Build the listed same-category discrimination scene with the bowl empty.</x:v>
      </x:c>
      <x:c r="T76" s="40" t="str">
        <x:f>'Evaluation Plan'!T76</x:f>
        <x:v>Two same-category candidates share the non-queried state axis; only the held-out state word identifies the target.</x:v>
      </x:c>
      <x:c r="U76" s="40" t="n">
        <x:f>'Evaluation Plan'!U76</x:f>
        <x:v>0</x:v>
      </x:c>
    </x:row>
    <x:row r="77" ht="51" customHeight="1">
      <x:c r="A77" s="32" t="str">
        <x:v>Not collected</x:v>
      </x:c>
      <x:c r="B77" s="34" t="n">
        <x:f>'Evaluation Plan'!B77</x:f>
        <x:v>75</x:v>
      </x:c>
      <x:c r="C77" s="32" t="str">
        <x:f>'Evaluation Plan'!C77</x:f>
        <x:v>Place the closed yellow-white striped cup in the bowl.</x:v>
      </x:c>
      <x:c r="D77" s="32" t="str">
        <x:f>'Evaluation Plan'!D77</x:f>
        <x:v>yellow-white striped cup B (O, RU); yellow-white striped cup A (C, RU); glass spice container B (O, RU); white cup A (C, UD)</x:v>
      </x:c>
      <x:c r="E77" s="34" t="n">
        <x:f>'Evaluation Plan'!E77</x:f>
        <x:v>74</x:v>
      </x:c>
      <x:c r="F77" s="34" t="str">
        <x:f>'Evaluation Plan'!F77</x:f>
        <x:v>74</x:v>
      </x:c>
      <x:c r="G77" s="32" t="str">
        <x:f>'Evaluation Plan'!G77</x:f>
        <x:v>Training-supported state-object cell for the control. The evaluation scene is shared exactly with the paired transfer row, while the physical layout is manually recreated.</x:v>
      </x:c>
      <x:c r="H77" s="32" t="str">
        <x:f>'Evaluation Plan'!H77</x:f>
        <x:v>yellow-white striped cup A</x:v>
      </x:c>
      <x:c r="I77" s="32" t="str"/>
      <x:c r="J77" s="37" t="str">
        <x:f>'Evaluation Plan'!J77</x:f>
        <x:v>Matched manipulation control</x:v>
      </x:c>
      <x:c r="K77" s="34" t="str">
        <x:f>'Evaluation Plan'!K77</x:f>
        <x:v>SR-CT18</x:v>
      </x:c>
      <x:c r="L77" s="34" t="str">
        <x:f>'Evaluation Plan'!L77</x:f>
        <x:v>C</x:v>
      </x:c>
      <x:c r="M77" s="34" t="str">
        <x:f>'Evaluation Plan'!M77</x:f>
        <x:v>yellow-white striped cup</x:v>
      </x:c>
      <x:c r="N77" s="34" t="n">
        <x:f>'Evaluation Plan'!N77</x:f>
        <x:v>4</x:v>
      </x:c>
      <x:c r="O77" s="34" t="n">
        <x:f>'Evaluation Plan'!O77</x:f>
        <x:v>1</x:v>
      </x:c>
      <x:c r="P77" s="34" t="str">
        <x:f>'Evaluation Plan'!P77</x:f>
        <x:v>Empty</x:v>
      </x:c>
      <x:c r="Q77" s="32" t="str">
        <x:f>'Evaluation Plan'!Q77</x:f>
        <x:v>Exact-scene trained state-object counterfactual</x:v>
      </x:c>
      <x:c r="R77" s="34" t="n">
        <x:f>'Evaluation Plan'!R77</x:f>
        <x:v>3</x:v>
      </x:c>
      <x:c r="S77" s="32" t="str">
        <x:f>'Evaluation Plan'!S77</x:f>
        <x:v>Reset the moved object exactly; preserve every object and state; change only the prompt and expected target.</x:v>
      </x:c>
      <x:c r="T77" s="32" t="str">
        <x:f>'Evaluation Plan'!T77</x:f>
        <x:v>The correct target switches to the other same-category instance. This cell is explicit in training and controls recognition/manipulation in the transfer scene.</x:v>
      </x:c>
      <x:c r="U77" s="32" t="n">
        <x:f>'Evaluation Plan'!U77</x:f>
        <x:v>0</x:v>
      </x:c>
    </x:row>
    <x:row r="78" ht="51" customHeight="1">
      <x:c r="A78" s="40" t="str">
        <x:v>Not collected</x:v>
      </x:c>
      <x:c r="B78" s="41" t="n">
        <x:f>'Evaluation Plan'!B78</x:f>
        <x:v>76</x:v>
      </x:c>
      <x:c r="C78" s="40" t="str">
        <x:f>'Evaluation Plan'!C78</x:f>
        <x:v>Place the closed brown cup in the bowl.</x:v>
      </x:c>
      <x:c r="D78" s="40" t="str">
        <x:f>'Evaluation Plan'!D78</x:f>
        <x:v>brown cup A (C, RU); brown cup B (O, RU)</x:v>
      </x:c>
      <x:c r="E78" s="41" t="str">
        <x:f>'Evaluation Plan'!E78</x:f>
      </x:c>
      <x:c r="F78" s="41" t="str">
        <x:f>'Evaluation Plan'!F78</x:f>
        <x:v>105</x:v>
      </x:c>
      <x:c r="G78" s="40" t="str">
        <x:f>'Evaluation Plan'!G78</x:f>
        <x:v>Physical-state and manipulation-trajectory reference under a direct category prompt; the evaluated state word × object-category cell is intentionally absent from training.</x:v>
      </x:c>
      <x:c r="H78" s="40" t="str">
        <x:f>'Evaluation Plan'!H78</x:f>
        <x:v>brown cup A</x:v>
      </x:c>
      <x:c r="I78" s="40" t="str"/>
      <x:c r="J78" s="45" t="str">
        <x:f>'Evaluation Plan'!J78</x:f>
        <x:v>Concept/compositional transfer</x:v>
      </x:c>
      <x:c r="K78" s="41" t="str">
        <x:f>'Evaluation Plan'!K78</x:f>
        <x:v>SR-CT19</x:v>
      </x:c>
      <x:c r="L78" s="41" t="str">
        <x:f>'Evaluation Plan'!L78</x:f>
        <x:v>C</x:v>
      </x:c>
      <x:c r="M78" s="41" t="str">
        <x:f>'Evaluation Plan'!M78</x:f>
        <x:v>brown cup</x:v>
      </x:c>
      <x:c r="N78" s="41" t="n">
        <x:f>'Evaluation Plan'!N78</x:f>
        <x:v>2</x:v>
      </x:c>
      <x:c r="O78" s="41" t="n">
        <x:f>'Evaluation Plan'!O78</x:f>
        <x:v>1</x:v>
      </x:c>
      <x:c r="P78" s="41" t="str">
        <x:f>'Evaluation Plan'!P78</x:f>
        <x:v>Empty</x:v>
      </x:c>
      <x:c r="Q78" s="40" t="str">
        <x:f>'Evaluation Plan'!Q78</x:f>
        <x:v>Primary held-out state-object composition</x:v>
      </x:c>
      <x:c r="R78" s="41" t="n">
        <x:f>'Evaluation Plan'!R78</x:f>
        <x:v>3</x:v>
      </x:c>
      <x:c r="S78" s="40" t="str">
        <x:f>'Evaluation Plan'!S78</x:f>
        <x:v>Build the listed same-category discrimination scene with the bowl empty.</x:v>
      </x:c>
      <x:c r="T78" s="40" t="str">
        <x:f>'Evaluation Plan'!T78</x:f>
        <x:v>Two same-category candidates share the non-queried state axis; only the held-out state word identifies the target.</x:v>
      </x:c>
      <x:c r="U78" s="40" t="n">
        <x:f>'Evaluation Plan'!U78</x:f>
        <x:v>0</x:v>
      </x:c>
    </x:row>
    <x:row r="79" ht="51" customHeight="1">
      <x:c r="A79" s="32" t="str">
        <x:v>Not collected</x:v>
      </x:c>
      <x:c r="B79" s="34" t="n">
        <x:f>'Evaluation Plan'!B79</x:f>
        <x:v>77</x:v>
      </x:c>
      <x:c r="C79" s="32" t="str">
        <x:f>'Evaluation Plan'!C79</x:f>
        <x:v>Place the open brown cup in the bowl.</x:v>
      </x:c>
      <x:c r="D79" s="32" t="str">
        <x:f>'Evaluation Plan'!D79</x:f>
        <x:v>brown cup A (C, RU); brown cup B (O, RU)</x:v>
      </x:c>
      <x:c r="E79" s="34" t="n">
        <x:f>'Evaluation Plan'!E79</x:f>
        <x:v>76</x:v>
      </x:c>
      <x:c r="F79" s="34" t="str">
        <x:f>'Evaluation Plan'!F79</x:f>
        <x:v>121</x:v>
      </x:c>
      <x:c r="G79" s="32" t="str">
        <x:f>'Evaluation Plan'!G79</x:f>
        <x:v>Training-supported state-object cell for the control. The evaluation scene is shared exactly with the paired transfer row, while the physical layout is manually recreated.</x:v>
      </x:c>
      <x:c r="H79" s="32" t="str">
        <x:f>'Evaluation Plan'!H79</x:f>
        <x:v>brown cup B</x:v>
      </x:c>
      <x:c r="I79" s="32" t="str"/>
      <x:c r="J79" s="37" t="str">
        <x:f>'Evaluation Plan'!J79</x:f>
        <x:v>Matched manipulation control</x:v>
      </x:c>
      <x:c r="K79" s="34" t="str">
        <x:f>'Evaluation Plan'!K79</x:f>
        <x:v>SR-CT19</x:v>
      </x:c>
      <x:c r="L79" s="34" t="str">
        <x:f>'Evaluation Plan'!L79</x:f>
        <x:v>O</x:v>
      </x:c>
      <x:c r="M79" s="34" t="str">
        <x:f>'Evaluation Plan'!M79</x:f>
        <x:v>brown cup</x:v>
      </x:c>
      <x:c r="N79" s="34" t="n">
        <x:f>'Evaluation Plan'!N79</x:f>
        <x:v>2</x:v>
      </x:c>
      <x:c r="O79" s="34" t="n">
        <x:f>'Evaluation Plan'!O79</x:f>
        <x:v>1</x:v>
      </x:c>
      <x:c r="P79" s="34" t="str">
        <x:f>'Evaluation Plan'!P79</x:f>
        <x:v>Empty</x:v>
      </x:c>
      <x:c r="Q79" s="32" t="str">
        <x:f>'Evaluation Plan'!Q79</x:f>
        <x:v>Exact-scene trained state-object counterfactual</x:v>
      </x:c>
      <x:c r="R79" s="34" t="n">
        <x:f>'Evaluation Plan'!R79</x:f>
        <x:v>3</x:v>
      </x:c>
      <x:c r="S79" s="32" t="str">
        <x:f>'Evaluation Plan'!S79</x:f>
        <x:v>Reset the moved object exactly; preserve every object and state; change only the prompt and expected target.</x:v>
      </x:c>
      <x:c r="T79" s="32" t="str">
        <x:f>'Evaluation Plan'!T79</x:f>
        <x:v>The correct target switches to the other same-category instance. This cell is explicit in training and controls recognition/manipulation in the transfer scene.</x:v>
      </x:c>
      <x:c r="U79" s="32" t="n">
        <x:f>'Evaluation Plan'!U79</x:f>
        <x:v>0</x:v>
      </x:c>
    </x:row>
    <x:row r="80" ht="51" customHeight="1">
      <x:c r="A80" s="40" t="str">
        <x:v>Not collected</x:v>
      </x:c>
      <x:c r="B80" s="41" t="n">
        <x:f>'Evaluation Plan'!B80</x:f>
        <x:v>78</x:v>
      </x:c>
      <x:c r="C80" s="40" t="str">
        <x:f>'Evaluation Plan'!C80</x:f>
        <x:v>Place the upright glass spice container in the bowl.</x:v>
      </x:c>
      <x:c r="D80" s="40" t="str">
        <x:f>'Evaluation Plan'!D80</x:f>
        <x:v>glass spice container B (C, RU); glass spice container A (C, UD); yellow-white striped cup B (O, UD)</x:v>
      </x:c>
      <x:c r="E80" s="41" t="str">
        <x:f>'Evaluation Plan'!E80</x:f>
      </x:c>
      <x:c r="F80" s="41" t="str">
        <x:f>'Evaluation Plan'!F80</x:f>
        <x:v>179</x:v>
      </x:c>
      <x:c r="G80" s="40" t="str">
        <x:f>'Evaluation Plan'!G80</x:f>
        <x:v>Physical-state and manipulation-trajectory reference under a direct category prompt; the evaluated state word × object-category cell is intentionally absent from training.</x:v>
      </x:c>
      <x:c r="H80" s="40" t="str">
        <x:f>'Evaluation Plan'!H80</x:f>
        <x:v>glass spice container B</x:v>
      </x:c>
      <x:c r="I80" s="40" t="str"/>
      <x:c r="J80" s="45" t="str">
        <x:f>'Evaluation Plan'!J80</x:f>
        <x:v>Concept/compositional transfer</x:v>
      </x:c>
      <x:c r="K80" s="41" t="str">
        <x:f>'Evaluation Plan'!K80</x:f>
        <x:v>SR-CT20</x:v>
      </x:c>
      <x:c r="L80" s="41" t="str">
        <x:f>'Evaluation Plan'!L80</x:f>
        <x:v>RU</x:v>
      </x:c>
      <x:c r="M80" s="41" t="str">
        <x:f>'Evaluation Plan'!M80</x:f>
        <x:v>glass spice container</x:v>
      </x:c>
      <x:c r="N80" s="41" t="n">
        <x:f>'Evaluation Plan'!N80</x:f>
        <x:v>3</x:v>
      </x:c>
      <x:c r="O80" s="41" t="n">
        <x:f>'Evaluation Plan'!O80</x:f>
        <x:v>1</x:v>
      </x:c>
      <x:c r="P80" s="41" t="str">
        <x:f>'Evaluation Plan'!P80</x:f>
        <x:v>Empty</x:v>
      </x:c>
      <x:c r="Q80" s="40" t="str">
        <x:f>'Evaluation Plan'!Q80</x:f>
        <x:v>Primary held-out state-object composition</x:v>
      </x:c>
      <x:c r="R80" s="41" t="n">
        <x:f>'Evaluation Plan'!R80</x:f>
        <x:v>3</x:v>
      </x:c>
      <x:c r="S80" s="40" t="str">
        <x:f>'Evaluation Plan'!S80</x:f>
        <x:v>Build the listed same-category discrimination scene with the bowl empty.</x:v>
      </x:c>
      <x:c r="T80" s="40" t="str">
        <x:f>'Evaluation Plan'!T80</x:f>
        <x:v>Two same-category candidates share the non-queried state axis; only the held-out state word identifies the target.</x:v>
      </x:c>
      <x:c r="U80" s="40" t="n">
        <x:f>'Evaluation Plan'!U80</x:f>
        <x:v>0</x:v>
      </x:c>
    </x:row>
    <x:row r="81" ht="51" customHeight="1">
      <x:c r="A81" s="32" t="str">
        <x:v>Not collected</x:v>
      </x:c>
      <x:c r="B81" s="34" t="n">
        <x:f>'Evaluation Plan'!B81</x:f>
        <x:v>79</x:v>
      </x:c>
      <x:c r="C81" s="32" t="str">
        <x:f>'Evaluation Plan'!C81</x:f>
        <x:v>Place the upside-down glass spice container in the bowl.</x:v>
      </x:c>
      <x:c r="D81" s="32" t="str">
        <x:f>'Evaluation Plan'!D81</x:f>
        <x:v>glass spice container B (C, RU); glass spice container A (C, UD); yellow-white striped cup B (O, UD)</x:v>
      </x:c>
      <x:c r="E81" s="34" t="n">
        <x:f>'Evaluation Plan'!E81</x:f>
        <x:v>78</x:v>
      </x:c>
      <x:c r="F81" s="34" t="str">
        <x:f>'Evaluation Plan'!F81</x:f>
        <x:v>177</x:v>
      </x:c>
      <x:c r="G81" s="32" t="str">
        <x:f>'Evaluation Plan'!G81</x:f>
        <x:v>Training-supported state-object cell for the control. The evaluation scene is shared exactly with the paired transfer row, while the physical layout is manually recreated.</x:v>
      </x:c>
      <x:c r="H81" s="32" t="str">
        <x:f>'Evaluation Plan'!H81</x:f>
        <x:v>glass spice container A</x:v>
      </x:c>
      <x:c r="I81" s="32" t="str"/>
      <x:c r="J81" s="37" t="str">
        <x:f>'Evaluation Plan'!J81</x:f>
        <x:v>Matched manipulation control</x:v>
      </x:c>
      <x:c r="K81" s="34" t="str">
        <x:f>'Evaluation Plan'!K81</x:f>
        <x:v>SR-CT20</x:v>
      </x:c>
      <x:c r="L81" s="34" t="str">
        <x:f>'Evaluation Plan'!L81</x:f>
        <x:v>UD</x:v>
      </x:c>
      <x:c r="M81" s="34" t="str">
        <x:f>'Evaluation Plan'!M81</x:f>
        <x:v>glass spice container</x:v>
      </x:c>
      <x:c r="N81" s="34" t="n">
        <x:f>'Evaluation Plan'!N81</x:f>
        <x:v>3</x:v>
      </x:c>
      <x:c r="O81" s="34" t="n">
        <x:f>'Evaluation Plan'!O81</x:f>
        <x:v>1</x:v>
      </x:c>
      <x:c r="P81" s="34" t="str">
        <x:f>'Evaluation Plan'!P81</x:f>
        <x:v>Empty</x:v>
      </x:c>
      <x:c r="Q81" s="32" t="str">
        <x:f>'Evaluation Plan'!Q81</x:f>
        <x:v>Exact-scene trained state-object counterfactual</x:v>
      </x:c>
      <x:c r="R81" s="34" t="n">
        <x:f>'Evaluation Plan'!R81</x:f>
        <x:v>3</x:v>
      </x:c>
      <x:c r="S81" s="32" t="str">
        <x:f>'Evaluation Plan'!S81</x:f>
        <x:v>Reset the moved object exactly; preserve every object and state; change only the prompt and expected target.</x:v>
      </x:c>
      <x:c r="T81" s="32" t="str">
        <x:f>'Evaluation Plan'!T81</x:f>
        <x:v>The correct target switches to the other same-category instance. This cell is explicit in training and controls recognition/manipulation in the transfer scene.</x:v>
      </x:c>
      <x:c r="U81" s="32" t="n">
        <x:f>'Evaluation Plan'!U81</x:f>
        <x:v>0</x:v>
      </x:c>
    </x:row>
    <x:row r="82" ht="51" customHeight="1">
      <x:c r="A82" s="40" t="str">
        <x:v>Not collected</x:v>
      </x:c>
      <x:c r="B82" s="41" t="n">
        <x:f>'Evaluation Plan'!B82</x:f>
        <x:v>80</x:v>
      </x:c>
      <x:c r="C82" s="40" t="str">
        <x:f>'Evaluation Plan'!C82</x:f>
        <x:v>Place the upside-down white cup in the bowl.</x:v>
      </x:c>
      <x:c r="D82" s="40" t="str">
        <x:f>'Evaluation Plan'!D82</x:f>
        <x:v>white cup A (O, UD); white cup B (O, RU); glass spice container A (C, RU); yellow-white striped cup B (O, RU)</x:v>
      </x:c>
      <x:c r="E82" s="41" t="str">
        <x:f>'Evaluation Plan'!E82</x:f>
      </x:c>
      <x:c r="F82" s="41" t="str">
        <x:f>'Evaluation Plan'!F82</x:f>
        <x:v>34</x:v>
      </x:c>
      <x:c r="G82" s="40" t="str">
        <x:f>'Evaluation Plan'!G82</x:f>
        <x:v>Physical-state and manipulation-trajectory reference under a direct category prompt; the evaluated state word × object-category cell is intentionally absent from training.</x:v>
      </x:c>
      <x:c r="H82" s="40" t="str">
        <x:f>'Evaluation Plan'!H82</x:f>
        <x:v>white cup A</x:v>
      </x:c>
      <x:c r="I82" s="40" t="str"/>
      <x:c r="J82" s="45" t="str">
        <x:f>'Evaluation Plan'!J82</x:f>
        <x:v>Concept/compositional transfer</x:v>
      </x:c>
      <x:c r="K82" s="41" t="str">
        <x:f>'Evaluation Plan'!K82</x:f>
        <x:v>SR-CT21</x:v>
      </x:c>
      <x:c r="L82" s="41" t="str">
        <x:f>'Evaluation Plan'!L82</x:f>
        <x:v>UD</x:v>
      </x:c>
      <x:c r="M82" s="41" t="str">
        <x:f>'Evaluation Plan'!M82</x:f>
        <x:v>white cup</x:v>
      </x:c>
      <x:c r="N82" s="41" t="n">
        <x:f>'Evaluation Plan'!N82</x:f>
        <x:v>4</x:v>
      </x:c>
      <x:c r="O82" s="41" t="n">
        <x:f>'Evaluation Plan'!O82</x:f>
        <x:v>1</x:v>
      </x:c>
      <x:c r="P82" s="41" t="str">
        <x:f>'Evaluation Plan'!P82</x:f>
        <x:v>Empty</x:v>
      </x:c>
      <x:c r="Q82" s="40" t="str">
        <x:f>'Evaluation Plan'!Q82</x:f>
        <x:v>Primary held-out state-object composition</x:v>
      </x:c>
      <x:c r="R82" s="41" t="n">
        <x:f>'Evaluation Plan'!R82</x:f>
        <x:v>4</x:v>
      </x:c>
      <x:c r="S82" s="40" t="str">
        <x:f>'Evaluation Plan'!S82</x:f>
        <x:v>Build the listed same-category discrimination scene with the bowl empty.</x:v>
      </x:c>
      <x:c r="T82" s="40" t="str">
        <x:f>'Evaluation Plan'!T82</x:f>
        <x:v>Two same-category candidates share the non-queried state axis; only the held-out state word identifies the target.</x:v>
      </x:c>
      <x:c r="U82" s="40" t="n">
        <x:f>'Evaluation Plan'!U82</x:f>
        <x:v>0</x:v>
      </x:c>
    </x:row>
    <x:row r="83" ht="51" customHeight="1">
      <x:c r="A83" s="43" t="str">
        <x:v>Not collected</x:v>
      </x:c>
      <x:c r="B83" s="44" t="n">
        <x:f>'Evaluation Plan'!B83</x:f>
        <x:v>81</x:v>
      </x:c>
      <x:c r="C83" s="43" t="str">
        <x:f>'Evaluation Plan'!C83</x:f>
        <x:v>Place the open yellow-white striped cup in the bowl.</x:v>
      </x:c>
      <x:c r="D83" s="43" t="str">
        <x:f>'Evaluation Plan'!D83</x:f>
        <x:v>yellow-white striped cup B (O, UD); yellow-white striped cup A (C, UD)</x:v>
      </x:c>
      <x:c r="E83" s="44" t="str">
        <x:f>'Evaluation Plan'!E83</x:f>
      </x:c>
      <x:c r="F83" s="44" t="str">
        <x:f>'Evaluation Plan'!F83</x:f>
        <x:v>53</x:v>
      </x:c>
      <x:c r="G83" s="43" t="str">
        <x:f>'Evaluation Plan'!G83</x:f>
        <x:v>Physical-state and manipulation-trajectory reference under a direct category prompt; the evaluated state word × object-category cell is intentionally absent from training.</x:v>
      </x:c>
      <x:c r="H83" s="43" t="str">
        <x:f>'Evaluation Plan'!H83</x:f>
        <x:v>yellow-white striped cup B</x:v>
      </x:c>
      <x:c r="I83" s="43" t="str"/>
      <x:c r="J83" s="45" t="str">
        <x:f>'Evaluation Plan'!J83</x:f>
        <x:v>Concept/compositional transfer</x:v>
      </x:c>
      <x:c r="K83" s="44" t="str">
        <x:f>'Evaluation Plan'!K83</x:f>
        <x:v>SR-CT22</x:v>
      </x:c>
      <x:c r="L83" s="44" t="str">
        <x:f>'Evaluation Plan'!L83</x:f>
        <x:v>O</x:v>
      </x:c>
      <x:c r="M83" s="44" t="str">
        <x:f>'Evaluation Plan'!M83</x:f>
        <x:v>yellow-white striped cup</x:v>
      </x:c>
      <x:c r="N83" s="44" t="n">
        <x:f>'Evaluation Plan'!N83</x:f>
        <x:v>2</x:v>
      </x:c>
      <x:c r="O83" s="44" t="n">
        <x:f>'Evaluation Plan'!O83</x:f>
        <x:v>1</x:v>
      </x:c>
      <x:c r="P83" s="44" t="str">
        <x:f>'Evaluation Plan'!P83</x:f>
        <x:v>Empty</x:v>
      </x:c>
      <x:c r="Q83" s="43" t="str">
        <x:f>'Evaluation Plan'!Q83</x:f>
        <x:v>Primary held-out state-object composition</x:v>
      </x:c>
      <x:c r="R83" s="44" t="n">
        <x:f>'Evaluation Plan'!R83</x:f>
        <x:v>4</x:v>
      </x:c>
      <x:c r="S83" s="43" t="str">
        <x:f>'Evaluation Plan'!S83</x:f>
        <x:v>Build the listed same-category discrimination scene with the bowl empty.</x:v>
      </x:c>
      <x:c r="T83" s="43" t="str">
        <x:f>'Evaluation Plan'!T83</x:f>
        <x:v>Two same-category candidates share the non-queried state axis; only the held-out state word identifies the target.</x:v>
      </x:c>
      <x:c r="U83" s="43" t="n">
        <x:f>'Evaluation Plan'!U83</x:f>
        <x:v>0</x:v>
      </x:c>
    </x:row>
    <x:row r="84" ht="51" customHeight="1">
      <x:c r="A84" s="40" t="str">
        <x:v>Not collected</x:v>
      </x:c>
      <x:c r="B84" s="41" t="n">
        <x:f>'Evaluation Plan'!B84</x:f>
        <x:v>82</x:v>
      </x:c>
      <x:c r="C84" s="40" t="str">
        <x:f>'Evaluation Plan'!C84</x:f>
        <x:v>Place the closed brown cup in the bowl.</x:v>
      </x:c>
      <x:c r="D84" s="40" t="str">
        <x:f>'Evaluation Plan'!D84</x:f>
        <x:v>brown cup A (C, UD); brown cup B (O, UD); yellow-white striped cup A (C, UD)</x:v>
      </x:c>
      <x:c r="E84" s="41" t="str">
        <x:f>'Evaluation Plan'!E84</x:f>
      </x:c>
      <x:c r="F84" s="41" t="str">
        <x:f>'Evaluation Plan'!F84</x:f>
        <x:v>107</x:v>
      </x:c>
      <x:c r="G84" s="40" t="str">
        <x:f>'Evaluation Plan'!G84</x:f>
        <x:v>Physical-state and manipulation-trajectory reference under a direct category prompt; the evaluated state word × object-category cell is intentionally absent from training.</x:v>
      </x:c>
      <x:c r="H84" s="40" t="str">
        <x:f>'Evaluation Plan'!H84</x:f>
        <x:v>brown cup A</x:v>
      </x:c>
      <x:c r="I84" s="40" t="str"/>
      <x:c r="J84" s="45" t="str">
        <x:f>'Evaluation Plan'!J84</x:f>
        <x:v>Concept/compositional transfer</x:v>
      </x:c>
      <x:c r="K84" s="41" t="str">
        <x:f>'Evaluation Plan'!K84</x:f>
        <x:v>SR-CT23</x:v>
      </x:c>
      <x:c r="L84" s="41" t="str">
        <x:f>'Evaluation Plan'!L84</x:f>
        <x:v>C</x:v>
      </x:c>
      <x:c r="M84" s="41" t="str">
        <x:f>'Evaluation Plan'!M84</x:f>
        <x:v>brown cup</x:v>
      </x:c>
      <x:c r="N84" s="41" t="n">
        <x:f>'Evaluation Plan'!N84</x:f>
        <x:v>3</x:v>
      </x:c>
      <x:c r="O84" s="41" t="n">
        <x:f>'Evaluation Plan'!O84</x:f>
        <x:v>1</x:v>
      </x:c>
      <x:c r="P84" s="41" t="str">
        <x:f>'Evaluation Plan'!P84</x:f>
        <x:v>Empty</x:v>
      </x:c>
      <x:c r="Q84" s="40" t="str">
        <x:f>'Evaluation Plan'!Q84</x:f>
        <x:v>Primary held-out state-object composition</x:v>
      </x:c>
      <x:c r="R84" s="41" t="n">
        <x:f>'Evaluation Plan'!R84</x:f>
        <x:v>4</x:v>
      </x:c>
      <x:c r="S84" s="40" t="str">
        <x:f>'Evaluation Plan'!S84</x:f>
        <x:v>Build the listed same-category discrimination scene with the bowl empty.</x:v>
      </x:c>
      <x:c r="T84" s="40" t="str">
        <x:f>'Evaluation Plan'!T84</x:f>
        <x:v>Two same-category candidates share the non-queried state axis; only the held-out state word identifies the target.</x:v>
      </x:c>
      <x:c r="U84" s="40" t="n">
        <x:f>'Evaluation Plan'!U84</x:f>
        <x:v>0</x:v>
      </x:c>
    </x:row>
    <x:row r="85" ht="51" customHeight="1">
      <x:c r="A85" s="43" t="str">
        <x:v>Not collected</x:v>
      </x:c>
      <x:c r="B85" s="44" t="n">
        <x:f>'Evaluation Plan'!B85</x:f>
        <x:v>83</x:v>
      </x:c>
      <x:c r="C85" s="43" t="str">
        <x:f>'Evaluation Plan'!C85</x:f>
        <x:v>Place the upright glass spice container in the bowl.</x:v>
      </x:c>
      <x:c r="D85" s="43" t="str">
        <x:f>'Evaluation Plan'!D85</x:f>
        <x:v>glass spice container B (O, RU); glass spice container A (O, UD); brown cup B (O, UD); white cup A (C, RU)</x:v>
      </x:c>
      <x:c r="E85" s="44" t="str">
        <x:f>'Evaluation Plan'!E85</x:f>
      </x:c>
      <x:c r="F85" s="44" t="str">
        <x:f>'Evaluation Plan'!F85</x:f>
        <x:v>183</x:v>
      </x:c>
      <x:c r="G85" s="43" t="str">
        <x:f>'Evaluation Plan'!G85</x:f>
        <x:v>Physical-state and manipulation-trajectory reference under a direct category prompt; the evaluated state word × object-category cell is intentionally absent from training.</x:v>
      </x:c>
      <x:c r="H85" s="43" t="str">
        <x:f>'Evaluation Plan'!H85</x:f>
        <x:v>glass spice container B</x:v>
      </x:c>
      <x:c r="I85" s="43" t="str"/>
      <x:c r="J85" s="45" t="str">
        <x:f>'Evaluation Plan'!J85</x:f>
        <x:v>Concept/compositional transfer</x:v>
      </x:c>
      <x:c r="K85" s="44" t="str">
        <x:f>'Evaluation Plan'!K85</x:f>
        <x:v>SR-CT24</x:v>
      </x:c>
      <x:c r="L85" s="44" t="str">
        <x:f>'Evaluation Plan'!L85</x:f>
        <x:v>RU</x:v>
      </x:c>
      <x:c r="M85" s="44" t="str">
        <x:f>'Evaluation Plan'!M85</x:f>
        <x:v>glass spice container</x:v>
      </x:c>
      <x:c r="N85" s="44" t="n">
        <x:f>'Evaluation Plan'!N85</x:f>
        <x:v>4</x:v>
      </x:c>
      <x:c r="O85" s="44" t="n">
        <x:f>'Evaluation Plan'!O85</x:f>
        <x:v>1</x:v>
      </x:c>
      <x:c r="P85" s="44" t="str">
        <x:f>'Evaluation Plan'!P85</x:f>
        <x:v>Empty</x:v>
      </x:c>
      <x:c r="Q85" s="43" t="str">
        <x:f>'Evaluation Plan'!Q85</x:f>
        <x:v>Primary held-out state-object composition</x:v>
      </x:c>
      <x:c r="R85" s="44" t="n">
        <x:f>'Evaluation Plan'!R85</x:f>
        <x:v>4</x:v>
      </x:c>
      <x:c r="S85" s="43" t="str">
        <x:f>'Evaluation Plan'!S85</x:f>
        <x:v>Build the listed same-category discrimination scene with the bowl empty.</x:v>
      </x:c>
      <x:c r="T85" s="43" t="str">
        <x:f>'Evaluation Plan'!T85</x:f>
        <x:v>Two same-category candidates share the non-queried state axis; only the held-out state word identifies the target.</x:v>
      </x:c>
      <x:c r="U85" s="43" t="n">
        <x:f>'Evaluation Plan'!U85</x:f>
        <x:v>0</x:v>
      </x:c>
    </x:row>
    <x:row r="86" ht="51" customHeight="1">
      <x:c r="A86" s="40" t="str">
        <x:v>Not collected</x:v>
      </x:c>
      <x:c r="B86" s="41" t="n">
        <x:f>'Evaluation Plan'!B86</x:f>
        <x:v>84</x:v>
      </x:c>
      <x:c r="C86" s="40" t="str">
        <x:f>'Evaluation Plan'!C86</x:f>
        <x:v>Place the upside-down white cup in the bowl.</x:v>
      </x:c>
      <x:c r="D86" s="40" t="str">
        <x:f>'Evaluation Plan'!D86</x:f>
        <x:v>white cup A (C, UD); white cup B (C, RU)</x:v>
      </x:c>
      <x:c r="E86" s="41" t="str">
        <x:f>'Evaluation Plan'!E86</x:f>
      </x:c>
      <x:c r="F86" s="41" t="str">
        <x:f>'Evaluation Plan'!F86</x:f>
        <x:v>39</x:v>
      </x:c>
      <x:c r="G86" s="40" t="str">
        <x:f>'Evaluation Plan'!G86</x:f>
        <x:v>Physical-state and manipulation-trajectory reference under a direct category prompt; the evaluated state word × object-category cell is intentionally absent from training.</x:v>
      </x:c>
      <x:c r="H86" s="40" t="str">
        <x:f>'Evaluation Plan'!H86</x:f>
        <x:v>white cup A</x:v>
      </x:c>
      <x:c r="I86" s="40" t="str"/>
      <x:c r="J86" s="45" t="str">
        <x:f>'Evaluation Plan'!J86</x:f>
        <x:v>Concept/compositional transfer</x:v>
      </x:c>
      <x:c r="K86" s="41" t="str">
        <x:f>'Evaluation Plan'!K86</x:f>
        <x:v>SR-CT25</x:v>
      </x:c>
      <x:c r="L86" s="41" t="str">
        <x:f>'Evaluation Plan'!L86</x:f>
        <x:v>UD</x:v>
      </x:c>
      <x:c r="M86" s="41" t="str">
        <x:f>'Evaluation Plan'!M86</x:f>
        <x:v>white cup</x:v>
      </x:c>
      <x:c r="N86" s="41" t="n">
        <x:f>'Evaluation Plan'!N86</x:f>
        <x:v>2</x:v>
      </x:c>
      <x:c r="O86" s="41" t="n">
        <x:f>'Evaluation Plan'!O86</x:f>
        <x:v>1</x:v>
      </x:c>
      <x:c r="P86" s="41" t="str">
        <x:f>'Evaluation Plan'!P86</x:f>
        <x:v>Empty</x:v>
      </x:c>
      <x:c r="Q86" s="40" t="str">
        <x:f>'Evaluation Plan'!Q86</x:f>
        <x:v>Primary held-out state-object composition</x:v>
      </x:c>
      <x:c r="R86" s="41" t="n">
        <x:f>'Evaluation Plan'!R86</x:f>
        <x:v>4</x:v>
      </x:c>
      <x:c r="S86" s="40" t="str">
        <x:f>'Evaluation Plan'!S86</x:f>
        <x:v>Build the listed same-category discrimination scene with the bowl empty.</x:v>
      </x:c>
      <x:c r="T86" s="40" t="str">
        <x:f>'Evaluation Plan'!T86</x:f>
        <x:v>Two same-category candidates share the non-queried state axis; only the held-out state word identifies the target.</x:v>
      </x:c>
      <x:c r="U86" s="40" t="n">
        <x:f>'Evaluation Plan'!U86</x:f>
        <x:v>0</x:v>
      </x:c>
    </x:row>
    <x:row r="87" ht="51" customHeight="1">
      <x:c r="A87" s="43" t="str">
        <x:v>Not collected</x:v>
      </x:c>
      <x:c r="B87" s="44" t="n">
        <x:f>'Evaluation Plan'!B87</x:f>
        <x:v>85</x:v>
      </x:c>
      <x:c r="C87" s="43" t="str">
        <x:f>'Evaluation Plan'!C87</x:f>
        <x:v>Place the open yellow-white striped cup in the bowl.</x:v>
      </x:c>
      <x:c r="D87" s="43" t="str">
        <x:f>'Evaluation Plan'!D87</x:f>
        <x:v>yellow-white striped cup B (O, RU); yellow-white striped cup A (C, RU); brown cup B (O, RU)</x:v>
      </x:c>
      <x:c r="E87" s="44" t="str">
        <x:f>'Evaluation Plan'!E87</x:f>
      </x:c>
      <x:c r="F87" s="44" t="str">
        <x:f>'Evaluation Plan'!F87</x:f>
        <x:v>64</x:v>
      </x:c>
      <x:c r="G87" s="43" t="str">
        <x:f>'Evaluation Plan'!G87</x:f>
        <x:v>Physical-state and manipulation-trajectory reference under a direct category prompt; the evaluated state word × object-category cell is intentionally absent from training.</x:v>
      </x:c>
      <x:c r="H87" s="43" t="str">
        <x:f>'Evaluation Plan'!H87</x:f>
        <x:v>yellow-white striped cup B</x:v>
      </x:c>
      <x:c r="I87" s="43" t="str"/>
      <x:c r="J87" s="45" t="str">
        <x:f>'Evaluation Plan'!J87</x:f>
        <x:v>Concept/compositional transfer</x:v>
      </x:c>
      <x:c r="K87" s="44" t="str">
        <x:f>'Evaluation Plan'!K87</x:f>
        <x:v>SR-CT26</x:v>
      </x:c>
      <x:c r="L87" s="44" t="str">
        <x:f>'Evaluation Plan'!L87</x:f>
        <x:v>O</x:v>
      </x:c>
      <x:c r="M87" s="44" t="str">
        <x:f>'Evaluation Plan'!M87</x:f>
        <x:v>yellow-white striped cup</x:v>
      </x:c>
      <x:c r="N87" s="44" t="n">
        <x:f>'Evaluation Plan'!N87</x:f>
        <x:v>3</x:v>
      </x:c>
      <x:c r="O87" s="44" t="n">
        <x:f>'Evaluation Plan'!O87</x:f>
        <x:v>1</x:v>
      </x:c>
      <x:c r="P87" s="44" t="str">
        <x:f>'Evaluation Plan'!P87</x:f>
        <x:v>Empty</x:v>
      </x:c>
      <x:c r="Q87" s="43" t="str">
        <x:f>'Evaluation Plan'!Q87</x:f>
        <x:v>Primary held-out state-object composition</x:v>
      </x:c>
      <x:c r="R87" s="44" t="n">
        <x:f>'Evaluation Plan'!R87</x:f>
        <x:v>4</x:v>
      </x:c>
      <x:c r="S87" s="43" t="str">
        <x:f>'Evaluation Plan'!S87</x:f>
        <x:v>Build the listed same-category discrimination scene with the bowl empty.</x:v>
      </x:c>
      <x:c r="T87" s="43" t="str">
        <x:f>'Evaluation Plan'!T87</x:f>
        <x:v>Two same-category candidates share the non-queried state axis; only the held-out state word identifies the target.</x:v>
      </x:c>
      <x:c r="U87" s="43" t="n">
        <x:f>'Evaluation Plan'!U87</x:f>
        <x:v>0</x:v>
      </x:c>
    </x:row>
    <x:row r="88" ht="51" customHeight="1">
      <x:c r="A88" s="40" t="str">
        <x:v>Not collected</x:v>
      </x:c>
      <x:c r="B88" s="41" t="n">
        <x:f>'Evaluation Plan'!B88</x:f>
        <x:v>86</x:v>
      </x:c>
      <x:c r="C88" s="40" t="str">
        <x:f>'Evaluation Plan'!C88</x:f>
        <x:v>Place the closed brown cup in the bowl.</x:v>
      </x:c>
      <x:c r="D88" s="40" t="str">
        <x:f>'Evaluation Plan'!D88</x:f>
        <x:v>brown cup A (C, RU); brown cup B (O, RU); glass spice container A (C, UD); white cup B (O, UD)</x:v>
      </x:c>
      <x:c r="E88" s="41" t="str">
        <x:f>'Evaluation Plan'!E88</x:f>
      </x:c>
      <x:c r="F88" s="41" t="str">
        <x:f>'Evaluation Plan'!F88</x:f>
        <x:v>143</x:v>
      </x:c>
      <x:c r="G88" s="40" t="str">
        <x:f>'Evaluation Plan'!G88</x:f>
        <x:v>Physical-state and manipulation-trajectory reference under a direct category prompt; the evaluated state word × object-category cell is intentionally absent from training.</x:v>
      </x:c>
      <x:c r="H88" s="40" t="str">
        <x:f>'Evaluation Plan'!H88</x:f>
        <x:v>brown cup A</x:v>
      </x:c>
      <x:c r="I88" s="40" t="str"/>
      <x:c r="J88" s="45" t="str">
        <x:f>'Evaluation Plan'!J88</x:f>
        <x:v>Concept/compositional transfer</x:v>
      </x:c>
      <x:c r="K88" s="41" t="str">
        <x:f>'Evaluation Plan'!K88</x:f>
        <x:v>SR-CT27</x:v>
      </x:c>
      <x:c r="L88" s="41" t="str">
        <x:f>'Evaluation Plan'!L88</x:f>
        <x:v>C</x:v>
      </x:c>
      <x:c r="M88" s="41" t="str">
        <x:f>'Evaluation Plan'!M88</x:f>
        <x:v>brown cup</x:v>
      </x:c>
      <x:c r="N88" s="41" t="n">
        <x:f>'Evaluation Plan'!N88</x:f>
        <x:v>4</x:v>
      </x:c>
      <x:c r="O88" s="41" t="n">
        <x:f>'Evaluation Plan'!O88</x:f>
        <x:v>1</x:v>
      </x:c>
      <x:c r="P88" s="41" t="str">
        <x:f>'Evaluation Plan'!P88</x:f>
        <x:v>Empty</x:v>
      </x:c>
      <x:c r="Q88" s="40" t="str">
        <x:f>'Evaluation Plan'!Q88</x:f>
        <x:v>Primary held-out state-object composition</x:v>
      </x:c>
      <x:c r="R88" s="41" t="n">
        <x:f>'Evaluation Plan'!R88</x:f>
        <x:v>4</x:v>
      </x:c>
      <x:c r="S88" s="40" t="str">
        <x:f>'Evaluation Plan'!S88</x:f>
        <x:v>Build the listed same-category discrimination scene with the bowl empty.</x:v>
      </x:c>
      <x:c r="T88" s="40" t="str">
        <x:f>'Evaluation Plan'!T88</x:f>
        <x:v>Two same-category candidates share the non-queried state axis; only the held-out state word identifies the target.</x:v>
      </x:c>
      <x:c r="U88" s="40" t="n">
        <x:f>'Evaluation Plan'!U88</x:f>
        <x:v>0</x:v>
      </x:c>
    </x:row>
    <x:row r="89" ht="51" customHeight="1">
      <x:c r="A89" s="43" t="str">
        <x:v>Not collected</x:v>
      </x:c>
      <x:c r="B89" s="44" t="n">
        <x:f>'Evaluation Plan'!B89</x:f>
        <x:v>87</x:v>
      </x:c>
      <x:c r="C89" s="43" t="str">
        <x:f>'Evaluation Plan'!C89</x:f>
        <x:v>Place the upright glass spice container in the bowl.</x:v>
      </x:c>
      <x:c r="D89" s="43" t="str">
        <x:f>'Evaluation Plan'!D89</x:f>
        <x:v>glass spice container B (C, RU); glass spice container A (C, UD)</x:v>
      </x:c>
      <x:c r="E89" s="44" t="str">
        <x:f>'Evaluation Plan'!E89</x:f>
      </x:c>
      <x:c r="F89" s="44" t="str">
        <x:f>'Evaluation Plan'!F89</x:f>
        <x:v>182</x:v>
      </x:c>
      <x:c r="G89" s="43" t="str">
        <x:f>'Evaluation Plan'!G89</x:f>
        <x:v>Physical-state and manipulation-trajectory reference under a direct category prompt; the evaluated state word × object-category cell is intentionally absent from training.</x:v>
      </x:c>
      <x:c r="H89" s="43" t="str">
        <x:f>'Evaluation Plan'!H89</x:f>
        <x:v>glass spice container B</x:v>
      </x:c>
      <x:c r="I89" s="43" t="str"/>
      <x:c r="J89" s="45" t="str">
        <x:f>'Evaluation Plan'!J89</x:f>
        <x:v>Concept/compositional transfer</x:v>
      </x:c>
      <x:c r="K89" s="44" t="str">
        <x:f>'Evaluation Plan'!K89</x:f>
        <x:v>SR-CT28</x:v>
      </x:c>
      <x:c r="L89" s="44" t="str">
        <x:f>'Evaluation Plan'!L89</x:f>
        <x:v>RU</x:v>
      </x:c>
      <x:c r="M89" s="44" t="str">
        <x:f>'Evaluation Plan'!M89</x:f>
        <x:v>glass spice container</x:v>
      </x:c>
      <x:c r="N89" s="44" t="n">
        <x:f>'Evaluation Plan'!N89</x:f>
        <x:v>2</x:v>
      </x:c>
      <x:c r="O89" s="44" t="n">
        <x:f>'Evaluation Plan'!O89</x:f>
        <x:v>1</x:v>
      </x:c>
      <x:c r="P89" s="44" t="str">
        <x:f>'Evaluation Plan'!P89</x:f>
        <x:v>Empty</x:v>
      </x:c>
      <x:c r="Q89" s="43" t="str">
        <x:f>'Evaluation Plan'!Q89</x:f>
        <x:v>Primary held-out state-object composition</x:v>
      </x:c>
      <x:c r="R89" s="44" t="n">
        <x:f>'Evaluation Plan'!R89</x:f>
        <x:v>4</x:v>
      </x:c>
      <x:c r="S89" s="43" t="str">
        <x:f>'Evaluation Plan'!S89</x:f>
        <x:v>Build the listed same-category discrimination scene with the bowl empty.</x:v>
      </x:c>
      <x:c r="T89" s="43" t="str">
        <x:f>'Evaluation Plan'!T89</x:f>
        <x:v>Two same-category candidates share the non-queried state axis; only the held-out state word identifies the target.</x:v>
      </x:c>
      <x:c r="U89" s="43" t="n">
        <x:f>'Evaluation Plan'!U89</x:f>
        <x:v>0</x:v>
      </x:c>
    </x:row>
    <x:row r="90" ht="51" customHeight="1">
      <x:c r="A90" s="40" t="str">
        <x:v>Not collected</x:v>
      </x:c>
      <x:c r="B90" s="41" t="n">
        <x:f>'Evaluation Plan'!B90</x:f>
        <x:v>88</x:v>
      </x:c>
      <x:c r="C90" s="40" t="str">
        <x:f>'Evaluation Plan'!C90</x:f>
        <x:v>Place the upside-down white cup in the bowl.</x:v>
      </x:c>
      <x:c r="D90" s="40" t="str">
        <x:f>'Evaluation Plan'!D90</x:f>
        <x:v>white cup A (O, UD); white cup B (O, RU); brown cup A (C, RU)</x:v>
      </x:c>
      <x:c r="E90" s="41" t="str">
        <x:f>'Evaluation Plan'!E90</x:f>
      </x:c>
      <x:c r="F90" s="41" t="str">
        <x:f>'Evaluation Plan'!F90</x:f>
        <x:v>49</x:v>
      </x:c>
      <x:c r="G90" s="40" t="str">
        <x:f>'Evaluation Plan'!G90</x:f>
        <x:v>Physical-state and manipulation-trajectory reference under a direct category prompt; the evaluated state word × object-category cell is intentionally absent from training.</x:v>
      </x:c>
      <x:c r="H90" s="40" t="str">
        <x:f>'Evaluation Plan'!H90</x:f>
        <x:v>white cup A</x:v>
      </x:c>
      <x:c r="I90" s="40" t="str"/>
      <x:c r="J90" s="45" t="str">
        <x:f>'Evaluation Plan'!J90</x:f>
        <x:v>Concept/compositional transfer</x:v>
      </x:c>
      <x:c r="K90" s="41" t="str">
        <x:f>'Evaluation Plan'!K90</x:f>
        <x:v>SR-CT29</x:v>
      </x:c>
      <x:c r="L90" s="41" t="str">
        <x:f>'Evaluation Plan'!L90</x:f>
        <x:v>UD</x:v>
      </x:c>
      <x:c r="M90" s="41" t="str">
        <x:f>'Evaluation Plan'!M90</x:f>
        <x:v>white cup</x:v>
      </x:c>
      <x:c r="N90" s="41" t="n">
        <x:f>'Evaluation Plan'!N90</x:f>
        <x:v>3</x:v>
      </x:c>
      <x:c r="O90" s="41" t="n">
        <x:f>'Evaluation Plan'!O90</x:f>
        <x:v>1</x:v>
      </x:c>
      <x:c r="P90" s="41" t="str">
        <x:f>'Evaluation Plan'!P90</x:f>
        <x:v>Empty</x:v>
      </x:c>
      <x:c r="Q90" s="40" t="str">
        <x:f>'Evaluation Plan'!Q90</x:f>
        <x:v>Primary held-out state-object composition</x:v>
      </x:c>
      <x:c r="R90" s="41" t="n">
        <x:f>'Evaluation Plan'!R90</x:f>
        <x:v>4</x:v>
      </x:c>
      <x:c r="S90" s="40" t="str">
        <x:f>'Evaluation Plan'!S90</x:f>
        <x:v>Build the listed same-category discrimination scene with the bowl empty.</x:v>
      </x:c>
      <x:c r="T90" s="40" t="str">
        <x:f>'Evaluation Plan'!T90</x:f>
        <x:v>Two same-category candidates share the non-queried state axis; only the held-out state word identifies the target.</x:v>
      </x:c>
      <x:c r="U90" s="40" t="n">
        <x:f>'Evaluation Plan'!U90</x:f>
        <x:v>0</x:v>
      </x:c>
    </x:row>
    <x:row r="91" ht="51" customHeight="1">
      <x:c r="A91" s="43" t="str">
        <x:v>Not collected</x:v>
      </x:c>
      <x:c r="B91" s="44" t="n">
        <x:f>'Evaluation Plan'!B91</x:f>
        <x:v>89</x:v>
      </x:c>
      <x:c r="C91" s="43" t="str">
        <x:f>'Evaluation Plan'!C91</x:f>
        <x:v>Place the open yellow-white striped cup in the bowl.</x:v>
      </x:c>
      <x:c r="D91" s="43" t="str">
        <x:f>'Evaluation Plan'!D91</x:f>
        <x:v>yellow-white striped cup B (O, UD); yellow-white striped cup A (C, UD); glass spice container B (O, RU); white cup A (C, UD)</x:v>
      </x:c>
      <x:c r="E91" s="44" t="str">
        <x:f>'Evaluation Plan'!E91</x:f>
      </x:c>
      <x:c r="F91" s="44" t="str">
        <x:f>'Evaluation Plan'!F91</x:f>
        <x:v>53</x:v>
      </x:c>
      <x:c r="G91" s="43" t="str">
        <x:f>'Evaluation Plan'!G91</x:f>
        <x:v>Physical-state and manipulation-trajectory reference under a direct category prompt; the evaluated state word × object-category cell is intentionally absent from training.</x:v>
      </x:c>
      <x:c r="H91" s="43" t="str">
        <x:f>'Evaluation Plan'!H91</x:f>
        <x:v>yellow-white striped cup B</x:v>
      </x:c>
      <x:c r="I91" s="43" t="str"/>
      <x:c r="J91" s="45" t="str">
        <x:f>'Evaluation Plan'!J91</x:f>
        <x:v>Concept/compositional transfer</x:v>
      </x:c>
      <x:c r="K91" s="44" t="str">
        <x:f>'Evaluation Plan'!K91</x:f>
        <x:v>SR-CT30</x:v>
      </x:c>
      <x:c r="L91" s="44" t="str">
        <x:f>'Evaluation Plan'!L91</x:f>
        <x:v>O</x:v>
      </x:c>
      <x:c r="M91" s="44" t="str">
        <x:f>'Evaluation Plan'!M91</x:f>
        <x:v>yellow-white striped cup</x:v>
      </x:c>
      <x:c r="N91" s="44" t="n">
        <x:f>'Evaluation Plan'!N91</x:f>
        <x:v>4</x:v>
      </x:c>
      <x:c r="O91" s="44" t="n">
        <x:f>'Evaluation Plan'!O91</x:f>
        <x:v>1</x:v>
      </x:c>
      <x:c r="P91" s="44" t="str">
        <x:f>'Evaluation Plan'!P91</x:f>
        <x:v>Empty</x:v>
      </x:c>
      <x:c r="Q91" s="43" t="str">
        <x:f>'Evaluation Plan'!Q91</x:f>
        <x:v>Primary held-out state-object composition</x:v>
      </x:c>
      <x:c r="R91" s="44" t="n">
        <x:f>'Evaluation Plan'!R91</x:f>
        <x:v>4</x:v>
      </x:c>
      <x:c r="S91" s="43" t="str">
        <x:f>'Evaluation Plan'!S91</x:f>
        <x:v>Build the listed same-category discrimination scene with the bowl empty.</x:v>
      </x:c>
      <x:c r="T91" s="43" t="str">
        <x:f>'Evaluation Plan'!T91</x:f>
        <x:v>Two same-category candidates share the non-queried state axis; only the held-out state word identifies the target.</x:v>
      </x:c>
      <x:c r="U91" s="43" t="n">
        <x:f>'Evaluation Plan'!U91</x:f>
        <x:v>0</x:v>
      </x:c>
    </x:row>
    <x:row r="92" ht="51" customHeight="1">
      <x:c r="A92" s="40" t="str">
        <x:v>Not collected</x:v>
      </x:c>
      <x:c r="B92" s="41" t="n">
        <x:f>'Evaluation Plan'!B92</x:f>
        <x:v>90</x:v>
      </x:c>
      <x:c r="C92" s="40" t="str">
        <x:f>'Evaluation Plan'!C92</x:f>
        <x:v>Place the closed brown cup in the bowl.</x:v>
      </x:c>
      <x:c r="D92" s="40" t="str">
        <x:f>'Evaluation Plan'!D92</x:f>
        <x:v>brown cup A (C, UD); brown cup B (O, UD)</x:v>
      </x:c>
      <x:c r="E92" s="41" t="str">
        <x:f>'Evaluation Plan'!E92</x:f>
      </x:c>
      <x:c r="F92" s="41" t="str">
        <x:f>'Evaluation Plan'!F92</x:f>
        <x:v>129</x:v>
      </x:c>
      <x:c r="G92" s="40" t="str">
        <x:f>'Evaluation Plan'!G92</x:f>
        <x:v>Physical-state and manipulation-trajectory reference under a direct category prompt; the evaluated state word × object-category cell is intentionally absent from training.</x:v>
      </x:c>
      <x:c r="H92" s="40" t="str">
        <x:f>'Evaluation Plan'!H92</x:f>
        <x:v>brown cup A</x:v>
      </x:c>
      <x:c r="I92" s="40" t="str"/>
      <x:c r="J92" s="45" t="str">
        <x:f>'Evaluation Plan'!J92</x:f>
        <x:v>Concept/compositional transfer</x:v>
      </x:c>
      <x:c r="K92" s="41" t="str">
        <x:f>'Evaluation Plan'!K92</x:f>
        <x:v>SR-CT31</x:v>
      </x:c>
      <x:c r="L92" s="41" t="str">
        <x:f>'Evaluation Plan'!L92</x:f>
        <x:v>C</x:v>
      </x:c>
      <x:c r="M92" s="41" t="str">
        <x:f>'Evaluation Plan'!M92</x:f>
        <x:v>brown cup</x:v>
      </x:c>
      <x:c r="N92" s="41" t="n">
        <x:f>'Evaluation Plan'!N92</x:f>
        <x:v>2</x:v>
      </x:c>
      <x:c r="O92" s="41" t="n">
        <x:f>'Evaluation Plan'!O92</x:f>
        <x:v>1</x:v>
      </x:c>
      <x:c r="P92" s="41" t="str">
        <x:f>'Evaluation Plan'!P92</x:f>
        <x:v>Empty</x:v>
      </x:c>
      <x:c r="Q92" s="40" t="str">
        <x:f>'Evaluation Plan'!Q92</x:f>
        <x:v>Primary held-out state-object composition</x:v>
      </x:c>
      <x:c r="R92" s="41" t="n">
        <x:f>'Evaluation Plan'!R92</x:f>
        <x:v>4</x:v>
      </x:c>
      <x:c r="S92" s="40" t="str">
        <x:f>'Evaluation Plan'!S92</x:f>
        <x:v>Build the listed same-category discrimination scene with the bowl empty.</x:v>
      </x:c>
      <x:c r="T92" s="40" t="str">
        <x:f>'Evaluation Plan'!T92</x:f>
        <x:v>Two same-category candidates share the non-queried state axis; only the held-out state word identifies the target.</x:v>
      </x:c>
      <x:c r="U92" s="40" t="n">
        <x:f>'Evaluation Plan'!U92</x:f>
        <x:v>0</x:v>
      </x:c>
    </x:row>
    <x:row r="93" ht="51" customHeight="1">
      <x:c r="A93" s="43" t="str">
        <x:v>Not collected</x:v>
      </x:c>
      <x:c r="B93" s="44" t="n">
        <x:f>'Evaluation Plan'!B93</x:f>
        <x:v>91</x:v>
      </x:c>
      <x:c r="C93" s="43" t="str">
        <x:f>'Evaluation Plan'!C93</x:f>
        <x:v>Place the upright glass spice container in the bowl.</x:v>
      </x:c>
      <x:c r="D93" s="43" t="str">
        <x:f>'Evaluation Plan'!D93</x:f>
        <x:v>glass spice container B (O, RU); glass spice container A (O, UD); yellow-white striped cup B (O, UD)</x:v>
      </x:c>
      <x:c r="E93" s="44" t="str">
        <x:f>'Evaluation Plan'!E93</x:f>
      </x:c>
      <x:c r="F93" s="44" t="str">
        <x:f>'Evaluation Plan'!F93</x:f>
        <x:v>197</x:v>
      </x:c>
      <x:c r="G93" s="43" t="str">
        <x:f>'Evaluation Plan'!G93</x:f>
        <x:v>Physical-state and manipulation-trajectory reference under a direct category prompt; the evaluated state word × object-category cell is intentionally absent from training.</x:v>
      </x:c>
      <x:c r="H93" s="43" t="str">
        <x:f>'Evaluation Plan'!H93</x:f>
        <x:v>glass spice container B</x:v>
      </x:c>
      <x:c r="I93" s="43" t="str"/>
      <x:c r="J93" s="45" t="str">
        <x:f>'Evaluation Plan'!J93</x:f>
        <x:v>Concept/compositional transfer</x:v>
      </x:c>
      <x:c r="K93" s="44" t="str">
        <x:f>'Evaluation Plan'!K93</x:f>
        <x:v>SR-CT32</x:v>
      </x:c>
      <x:c r="L93" s="44" t="str">
        <x:f>'Evaluation Plan'!L93</x:f>
        <x:v>RU</x:v>
      </x:c>
      <x:c r="M93" s="44" t="str">
        <x:f>'Evaluation Plan'!M93</x:f>
        <x:v>glass spice container</x:v>
      </x:c>
      <x:c r="N93" s="44" t="n">
        <x:f>'Evaluation Plan'!N93</x:f>
        <x:v>3</x:v>
      </x:c>
      <x:c r="O93" s="44" t="n">
        <x:f>'Evaluation Plan'!O93</x:f>
        <x:v>1</x:v>
      </x:c>
      <x:c r="P93" s="44" t="str">
        <x:f>'Evaluation Plan'!P93</x:f>
        <x:v>Empty</x:v>
      </x:c>
      <x:c r="Q93" s="43" t="str">
        <x:f>'Evaluation Plan'!Q93</x:f>
        <x:v>Primary held-out state-object composition</x:v>
      </x:c>
      <x:c r="R93" s="44" t="n">
        <x:f>'Evaluation Plan'!R93</x:f>
        <x:v>4</x:v>
      </x:c>
      <x:c r="S93" s="43" t="str">
        <x:f>'Evaluation Plan'!S93</x:f>
        <x:v>Build the listed same-category discrimination scene with the bowl empty.</x:v>
      </x:c>
      <x:c r="T93" s="43" t="str">
        <x:f>'Evaluation Plan'!T93</x:f>
        <x:v>Two same-category candidates share the non-queried state axis; only the held-out state word identifies the target.</x:v>
      </x:c>
      <x:c r="U93" s="43" t="n">
        <x:f>'Evaluation Plan'!U93</x:f>
        <x:v>0</x:v>
      </x:c>
    </x:row>
    <x:row r="94" ht="51" customHeight="1">
      <x:c r="A94" s="40" t="str">
        <x:v>Not collected</x:v>
      </x:c>
      <x:c r="B94" s="41" t="n">
        <x:f>'Evaluation Plan'!B94</x:f>
        <x:v>92</x:v>
      </x:c>
      <x:c r="C94" s="40" t="str">
        <x:f>'Evaluation Plan'!C94</x:f>
        <x:v>Place the upside-down white cup in the bowl.</x:v>
      </x:c>
      <x:c r="D94" s="40" t="str">
        <x:f>'Evaluation Plan'!D94</x:f>
        <x:v>white cup A (C, UD); white cup B (C, RU); glass spice container A (C, RU); yellow-white striped cup B (O, RU)</x:v>
      </x:c>
      <x:c r="E94" s="41" t="str">
        <x:f>'Evaluation Plan'!E94</x:f>
      </x:c>
      <x:c r="F94" s="41" t="str">
        <x:f>'Evaluation Plan'!F94</x:f>
        <x:v>35</x:v>
      </x:c>
      <x:c r="G94" s="40" t="str">
        <x:f>'Evaluation Plan'!G94</x:f>
        <x:v>Physical-state and manipulation-trajectory reference under a direct category prompt; the evaluated state word × object-category cell is intentionally absent from training.</x:v>
      </x:c>
      <x:c r="H94" s="40" t="str">
        <x:f>'Evaluation Plan'!H94</x:f>
        <x:v>white cup A</x:v>
      </x:c>
      <x:c r="I94" s="40" t="str"/>
      <x:c r="J94" s="45" t="str">
        <x:f>'Evaluation Plan'!J94</x:f>
        <x:v>Concept/compositional transfer</x:v>
      </x:c>
      <x:c r="K94" s="41" t="str">
        <x:f>'Evaluation Plan'!K94</x:f>
        <x:v>SR-CT33</x:v>
      </x:c>
      <x:c r="L94" s="41" t="str">
        <x:f>'Evaluation Plan'!L94</x:f>
        <x:v>UD</x:v>
      </x:c>
      <x:c r="M94" s="41" t="str">
        <x:f>'Evaluation Plan'!M94</x:f>
        <x:v>white cup</x:v>
      </x:c>
      <x:c r="N94" s="41" t="n">
        <x:f>'Evaluation Plan'!N94</x:f>
        <x:v>4</x:v>
      </x:c>
      <x:c r="O94" s="41" t="n">
        <x:f>'Evaluation Plan'!O94</x:f>
        <x:v>1</x:v>
      </x:c>
      <x:c r="P94" s="41" t="str">
        <x:f>'Evaluation Plan'!P94</x:f>
        <x:v>Empty</x:v>
      </x:c>
      <x:c r="Q94" s="40" t="str">
        <x:f>'Evaluation Plan'!Q94</x:f>
        <x:v>Primary held-out state-object composition</x:v>
      </x:c>
      <x:c r="R94" s="41" t="n">
        <x:f>'Evaluation Plan'!R94</x:f>
        <x:v>4</x:v>
      </x:c>
      <x:c r="S94" s="40" t="str">
        <x:f>'Evaluation Plan'!S94</x:f>
        <x:v>Build the listed same-category discrimination scene with the bowl empty.</x:v>
      </x:c>
      <x:c r="T94" s="40" t="str">
        <x:f>'Evaluation Plan'!T94</x:f>
        <x:v>Two same-category candidates share the non-queried state axis; only the held-out state word identifies the target.</x:v>
      </x:c>
      <x:c r="U94" s="40" t="n">
        <x:f>'Evaluation Plan'!U94</x:f>
        <x:v>0</x:v>
      </x:c>
    </x:row>
    <x:row r="95" ht="51" customHeight="1">
      <x:c r="A95" s="43" t="str">
        <x:v>Not collected</x:v>
      </x:c>
      <x:c r="B95" s="44" t="n">
        <x:f>'Evaluation Plan'!B95</x:f>
        <x:v>93</x:v>
      </x:c>
      <x:c r="C95" s="43" t="str">
        <x:f>'Evaluation Plan'!C95</x:f>
        <x:v>Place the open yellow-white striped cup in the bowl.</x:v>
      </x:c>
      <x:c r="D95" s="43" t="str">
        <x:f>'Evaluation Plan'!D95</x:f>
        <x:v>yellow-white striped cup B (O, RU); yellow-white striped cup A (C, RU)</x:v>
      </x:c>
      <x:c r="E95" s="44" t="str">
        <x:f>'Evaluation Plan'!E95</x:f>
      </x:c>
      <x:c r="F95" s="44" t="str">
        <x:f>'Evaluation Plan'!F95</x:f>
        <x:v>71</x:v>
      </x:c>
      <x:c r="G95" s="43" t="str">
        <x:f>'Evaluation Plan'!G95</x:f>
        <x:v>Physical-state and manipulation-trajectory reference under a direct category prompt; the evaluated state word × object-category cell is intentionally absent from training.</x:v>
      </x:c>
      <x:c r="H95" s="43" t="str">
        <x:f>'Evaluation Plan'!H95</x:f>
        <x:v>yellow-white striped cup B</x:v>
      </x:c>
      <x:c r="I95" s="43" t="str"/>
      <x:c r="J95" s="45" t="str">
        <x:f>'Evaluation Plan'!J95</x:f>
        <x:v>Concept/compositional transfer</x:v>
      </x:c>
      <x:c r="K95" s="44" t="str">
        <x:f>'Evaluation Plan'!K95</x:f>
        <x:v>SR-CT34</x:v>
      </x:c>
      <x:c r="L95" s="44" t="str">
        <x:f>'Evaluation Plan'!L95</x:f>
        <x:v>O</x:v>
      </x:c>
      <x:c r="M95" s="44" t="str">
        <x:f>'Evaluation Plan'!M95</x:f>
        <x:v>yellow-white striped cup</x:v>
      </x:c>
      <x:c r="N95" s="44" t="n">
        <x:f>'Evaluation Plan'!N95</x:f>
        <x:v>2</x:v>
      </x:c>
      <x:c r="O95" s="44" t="n">
        <x:f>'Evaluation Plan'!O95</x:f>
        <x:v>1</x:v>
      </x:c>
      <x:c r="P95" s="44" t="str">
        <x:f>'Evaluation Plan'!P95</x:f>
        <x:v>Empty</x:v>
      </x:c>
      <x:c r="Q95" s="43" t="str">
        <x:f>'Evaluation Plan'!Q95</x:f>
        <x:v>Primary held-out state-object composition</x:v>
      </x:c>
      <x:c r="R95" s="44" t="n">
        <x:f>'Evaluation Plan'!R95</x:f>
        <x:v>4</x:v>
      </x:c>
      <x:c r="S95" s="43" t="str">
        <x:f>'Evaluation Plan'!S95</x:f>
        <x:v>Build the listed same-category discrimination scene with the bowl empty.</x:v>
      </x:c>
      <x:c r="T95" s="43" t="str">
        <x:f>'Evaluation Plan'!T95</x:f>
        <x:v>Two same-category candidates share the non-queried state axis; only the held-out state word identifies the target.</x:v>
      </x:c>
      <x:c r="U95" s="43" t="n">
        <x:f>'Evaluation Plan'!U95</x:f>
        <x:v>0</x:v>
      </x:c>
    </x:row>
    <x:row r="96" ht="51" customHeight="1">
      <x:c r="A96" s="40" t="str">
        <x:v>Not collected</x:v>
      </x:c>
      <x:c r="B96" s="41" t="n">
        <x:f>'Evaluation Plan'!B96</x:f>
        <x:v>94</x:v>
      </x:c>
      <x:c r="C96" s="40" t="str">
        <x:f>'Evaluation Plan'!C96</x:f>
        <x:v>Place the closed brown cup in the bowl.</x:v>
      </x:c>
      <x:c r="D96" s="40" t="str">
        <x:f>'Evaluation Plan'!D96</x:f>
        <x:v>brown cup A (C, RU); brown cup B (O, RU); yellow-white striped cup A (C, UD)</x:v>
      </x:c>
      <x:c r="E96" s="41" t="str">
        <x:f>'Evaluation Plan'!E96</x:f>
      </x:c>
      <x:c r="F96" s="41" t="str">
        <x:f>'Evaluation Plan'!F96</x:f>
        <x:v>100</x:v>
      </x:c>
      <x:c r="G96" s="40" t="str">
        <x:f>'Evaluation Plan'!G96</x:f>
        <x:v>Physical-state and manipulation-trajectory reference under a direct category prompt; the evaluated state word × object-category cell is intentionally absent from training.</x:v>
      </x:c>
      <x:c r="H96" s="40" t="str">
        <x:f>'Evaluation Plan'!H96</x:f>
        <x:v>brown cup A</x:v>
      </x:c>
      <x:c r="I96" s="40" t="str"/>
      <x:c r="J96" s="45" t="str">
        <x:f>'Evaluation Plan'!J96</x:f>
        <x:v>Concept/compositional transfer</x:v>
      </x:c>
      <x:c r="K96" s="41" t="str">
        <x:f>'Evaluation Plan'!K96</x:f>
        <x:v>SR-CT35</x:v>
      </x:c>
      <x:c r="L96" s="41" t="str">
        <x:f>'Evaluation Plan'!L96</x:f>
        <x:v>C</x:v>
      </x:c>
      <x:c r="M96" s="41" t="str">
        <x:f>'Evaluation Plan'!M96</x:f>
        <x:v>brown cup</x:v>
      </x:c>
      <x:c r="N96" s="41" t="n">
        <x:f>'Evaluation Plan'!N96</x:f>
        <x:v>3</x:v>
      </x:c>
      <x:c r="O96" s="41" t="n">
        <x:f>'Evaluation Plan'!O96</x:f>
        <x:v>1</x:v>
      </x:c>
      <x:c r="P96" s="41" t="str">
        <x:f>'Evaluation Plan'!P96</x:f>
        <x:v>Empty</x:v>
      </x:c>
      <x:c r="Q96" s="40" t="str">
        <x:f>'Evaluation Plan'!Q96</x:f>
        <x:v>Primary held-out state-object composition</x:v>
      </x:c>
      <x:c r="R96" s="41" t="n">
        <x:f>'Evaluation Plan'!R96</x:f>
        <x:v>4</x:v>
      </x:c>
      <x:c r="S96" s="40" t="str">
        <x:f>'Evaluation Plan'!S96</x:f>
        <x:v>Build the listed same-category discrimination scene with the bowl empty.</x:v>
      </x:c>
      <x:c r="T96" s="40" t="str">
        <x:f>'Evaluation Plan'!T96</x:f>
        <x:v>Two same-category candidates share the non-queried state axis; only the held-out state word identifies the target.</x:v>
      </x:c>
      <x:c r="U96" s="40" t="n">
        <x:f>'Evaluation Plan'!U96</x:f>
        <x:v>0</x:v>
      </x:c>
    </x:row>
    <x:row r="97" ht="51" customHeight="1">
      <x:c r="A97" s="43" t="str">
        <x:v>Not collected</x:v>
      </x:c>
      <x:c r="B97" s="44" t="n">
        <x:f>'Evaluation Plan'!B97</x:f>
        <x:v>95</x:v>
      </x:c>
      <x:c r="C97" s="43" t="str">
        <x:f>'Evaluation Plan'!C97</x:f>
        <x:v>Place the upright glass spice container in the bowl.</x:v>
      </x:c>
      <x:c r="D97" s="43" t="str">
        <x:f>'Evaluation Plan'!D97</x:f>
        <x:v>glass spice container B (C, RU); glass spice container A (C, UD); brown cup B (O, UD); white cup A (C, RU)</x:v>
      </x:c>
      <x:c r="E97" s="44" t="str">
        <x:f>'Evaluation Plan'!E97</x:f>
      </x:c>
      <x:c r="F97" s="44" t="str">
        <x:f>'Evaluation Plan'!F97</x:f>
        <x:v>169</x:v>
      </x:c>
      <x:c r="G97" s="43" t="str">
        <x:f>'Evaluation Plan'!G97</x:f>
        <x:v>Physical-state and manipulation-trajectory reference under a direct category prompt; the evaluated state word × object-category cell is intentionally absent from training.</x:v>
      </x:c>
      <x:c r="H97" s="43" t="str">
        <x:f>'Evaluation Plan'!H97</x:f>
        <x:v>glass spice container B</x:v>
      </x:c>
      <x:c r="I97" s="43" t="str"/>
      <x:c r="J97" s="45" t="str">
        <x:f>'Evaluation Plan'!J97</x:f>
        <x:v>Concept/compositional transfer</x:v>
      </x:c>
      <x:c r="K97" s="44" t="str">
        <x:f>'Evaluation Plan'!K97</x:f>
        <x:v>SR-CT36</x:v>
      </x:c>
      <x:c r="L97" s="44" t="str">
        <x:f>'Evaluation Plan'!L97</x:f>
        <x:v>RU</x:v>
      </x:c>
      <x:c r="M97" s="44" t="str">
        <x:f>'Evaluation Plan'!M97</x:f>
        <x:v>glass spice container</x:v>
      </x:c>
      <x:c r="N97" s="44" t="n">
        <x:f>'Evaluation Plan'!N97</x:f>
        <x:v>4</x:v>
      </x:c>
      <x:c r="O97" s="44" t="n">
        <x:f>'Evaluation Plan'!O97</x:f>
        <x:v>1</x:v>
      </x:c>
      <x:c r="P97" s="44" t="str">
        <x:f>'Evaluation Plan'!P97</x:f>
        <x:v>Empty</x:v>
      </x:c>
      <x:c r="Q97" s="43" t="str">
        <x:f>'Evaluation Plan'!Q97</x:f>
        <x:v>Primary held-out state-object composition</x:v>
      </x:c>
      <x:c r="R97" s="44" t="n">
        <x:f>'Evaluation Plan'!R97</x:f>
        <x:v>4</x:v>
      </x:c>
      <x:c r="S97" s="43" t="str">
        <x:f>'Evaluation Plan'!S97</x:f>
        <x:v>Build the listed same-category discrimination scene with the bowl empty.</x:v>
      </x:c>
      <x:c r="T97" s="43" t="str">
        <x:f>'Evaluation Plan'!T97</x:f>
        <x:v>Two same-category candidates share the non-queried state axis; only the held-out state word identifies the target.</x:v>
      </x:c>
      <x:c r="U97" s="43" t="n">
        <x:f>'Evaluation Plan'!U97</x:f>
        <x:v>0</x:v>
      </x:c>
    </x:row>
    <x:row r="98" ht="51" customHeight="1">
      <x:c r="A98" s="40" t="str">
        <x:v>Not collected</x:v>
      </x:c>
      <x:c r="B98" s="41" t="n">
        <x:f>'Evaluation Plan'!B98</x:f>
        <x:v>96</x:v>
      </x:c>
      <x:c r="C98" s="40" t="str">
        <x:f>'Evaluation Plan'!C98</x:f>
        <x:v>Place the upside-down white cup in the bowl.</x:v>
      </x:c>
      <x:c r="D98" s="40" t="str">
        <x:f>'Evaluation Plan'!D98</x:f>
        <x:v>white cup A (O, UD); white cup B (O, RU)</x:v>
      </x:c>
      <x:c r="E98" s="41" t="str">
        <x:f>'Evaluation Plan'!E98</x:f>
      </x:c>
      <x:c r="F98" s="41" t="str">
        <x:f>'Evaluation Plan'!F98</x:f>
        <x:v>30</x:v>
      </x:c>
      <x:c r="G98" s="40" t="str">
        <x:f>'Evaluation Plan'!G98</x:f>
        <x:v>Physical-state and manipulation-trajectory reference under a direct category prompt; the evaluated state word × object-category cell is intentionally absent from training.</x:v>
      </x:c>
      <x:c r="H98" s="40" t="str">
        <x:f>'Evaluation Plan'!H98</x:f>
        <x:v>white cup A</x:v>
      </x:c>
      <x:c r="I98" s="40" t="str"/>
      <x:c r="J98" s="45" t="str">
        <x:f>'Evaluation Plan'!J98</x:f>
        <x:v>Concept/compositional transfer</x:v>
      </x:c>
      <x:c r="K98" s="41" t="str">
        <x:f>'Evaluation Plan'!K98</x:f>
        <x:v>SR-CT37</x:v>
      </x:c>
      <x:c r="L98" s="41" t="str">
        <x:f>'Evaluation Plan'!L98</x:f>
        <x:v>UD</x:v>
      </x:c>
      <x:c r="M98" s="41" t="str">
        <x:f>'Evaluation Plan'!M98</x:f>
        <x:v>white cup</x:v>
      </x:c>
      <x:c r="N98" s="41" t="n">
        <x:f>'Evaluation Plan'!N98</x:f>
        <x:v>2</x:v>
      </x:c>
      <x:c r="O98" s="41" t="n">
        <x:f>'Evaluation Plan'!O98</x:f>
        <x:v>1</x:v>
      </x:c>
      <x:c r="P98" s="41" t="str">
        <x:f>'Evaluation Plan'!P98</x:f>
        <x:v>Empty</x:v>
      </x:c>
      <x:c r="Q98" s="40" t="str">
        <x:f>'Evaluation Plan'!Q98</x:f>
        <x:v>Primary held-out state-object composition</x:v>
      </x:c>
      <x:c r="R98" s="41" t="n">
        <x:f>'Evaluation Plan'!R98</x:f>
        <x:v>4</x:v>
      </x:c>
      <x:c r="S98" s="40" t="str">
        <x:f>'Evaluation Plan'!S98</x:f>
        <x:v>Build the listed same-category discrimination scene with the bowl empty.</x:v>
      </x:c>
      <x:c r="T98" s="40" t="str">
        <x:f>'Evaluation Plan'!T98</x:f>
        <x:v>Two same-category candidates share the non-queried state axis; only the held-out state word identifies the target.</x:v>
      </x:c>
      <x:c r="U98" s="40" t="n">
        <x:f>'Evaluation Plan'!U98</x:f>
        <x:v>0</x:v>
      </x:c>
    </x:row>
    <x:row r="99" ht="51" customHeight="1">
      <x:c r="A99" s="43" t="str">
        <x:v>Not collected</x:v>
      </x:c>
      <x:c r="B99" s="44" t="n">
        <x:f>'Evaluation Plan'!B99</x:f>
        <x:v>97</x:v>
      </x:c>
      <x:c r="C99" s="43" t="str">
        <x:f>'Evaluation Plan'!C99</x:f>
        <x:v>Place the open yellow-white striped cup in the bowl.</x:v>
      </x:c>
      <x:c r="D99" s="43" t="str">
        <x:f>'Evaluation Plan'!D99</x:f>
        <x:v>yellow-white striped cup B (O, UD); yellow-white striped cup A (C, UD); brown cup B (O, RU)</x:v>
      </x:c>
      <x:c r="E99" s="44" t="str">
        <x:f>'Evaluation Plan'!E99</x:f>
      </x:c>
      <x:c r="F99" s="44" t="str">
        <x:f>'Evaluation Plan'!F99</x:f>
        <x:v>53</x:v>
      </x:c>
      <x:c r="G99" s="43" t="str">
        <x:f>'Evaluation Plan'!G99</x:f>
        <x:v>Physical-state and manipulation-trajectory reference under a direct category prompt; the evaluated state word × object-category cell is intentionally absent from training.</x:v>
      </x:c>
      <x:c r="H99" s="43" t="str">
        <x:f>'Evaluation Plan'!H99</x:f>
        <x:v>yellow-white striped cup B</x:v>
      </x:c>
      <x:c r="I99" s="43" t="str"/>
      <x:c r="J99" s="45" t="str">
        <x:f>'Evaluation Plan'!J99</x:f>
        <x:v>Concept/compositional transfer</x:v>
      </x:c>
      <x:c r="K99" s="44" t="str">
        <x:f>'Evaluation Plan'!K99</x:f>
        <x:v>SR-CT38</x:v>
      </x:c>
      <x:c r="L99" s="44" t="str">
        <x:f>'Evaluation Plan'!L99</x:f>
        <x:v>O</x:v>
      </x:c>
      <x:c r="M99" s="44" t="str">
        <x:f>'Evaluation Plan'!M99</x:f>
        <x:v>yellow-white striped cup</x:v>
      </x:c>
      <x:c r="N99" s="44" t="n">
        <x:f>'Evaluation Plan'!N99</x:f>
        <x:v>3</x:v>
      </x:c>
      <x:c r="O99" s="44" t="n">
        <x:f>'Evaluation Plan'!O99</x:f>
        <x:v>1</x:v>
      </x:c>
      <x:c r="P99" s="44" t="str">
        <x:f>'Evaluation Plan'!P99</x:f>
        <x:v>Empty</x:v>
      </x:c>
      <x:c r="Q99" s="43" t="str">
        <x:f>'Evaluation Plan'!Q99</x:f>
        <x:v>Primary held-out state-object composition</x:v>
      </x:c>
      <x:c r="R99" s="44" t="n">
        <x:f>'Evaluation Plan'!R99</x:f>
        <x:v>4</x:v>
      </x:c>
      <x:c r="S99" s="43" t="str">
        <x:f>'Evaluation Plan'!S99</x:f>
        <x:v>Build the listed same-category discrimination scene with the bowl empty.</x:v>
      </x:c>
      <x:c r="T99" s="43" t="str">
        <x:f>'Evaluation Plan'!T99</x:f>
        <x:v>Two same-category candidates share the non-queried state axis; only the held-out state word identifies the target.</x:v>
      </x:c>
      <x:c r="U99" s="43" t="n">
        <x:f>'Evaluation Plan'!U99</x:f>
        <x:v>0</x:v>
      </x:c>
    </x:row>
    <x:row r="100" ht="51" customHeight="1">
      <x:c r="A100" s="40" t="str">
        <x:v>Not collected</x:v>
      </x:c>
      <x:c r="B100" s="41" t="n">
        <x:f>'Evaluation Plan'!B100</x:f>
        <x:v>98</x:v>
      </x:c>
      <x:c r="C100" s="40" t="str">
        <x:f>'Evaluation Plan'!C100</x:f>
        <x:v>Place the closed brown cup in the bowl.</x:v>
      </x:c>
      <x:c r="D100" s="40" t="str">
        <x:f>'Evaluation Plan'!D100</x:f>
        <x:v>brown cup A (C, UD); brown cup B (O, UD); glass spice container A (C, UD); white cup B (O, UD)</x:v>
      </x:c>
      <x:c r="E100" s="41" t="str">
        <x:f>'Evaluation Plan'!E100</x:f>
      </x:c>
      <x:c r="F100" s="41" t="str">
        <x:f>'Evaluation Plan'!F100</x:f>
        <x:v>107</x:v>
      </x:c>
      <x:c r="G100" s="40" t="str">
        <x:f>'Evaluation Plan'!G100</x:f>
        <x:v>Physical-state and manipulation-trajectory reference under a direct category prompt; the evaluated state word × object-category cell is intentionally absent from training.</x:v>
      </x:c>
      <x:c r="H100" s="40" t="str">
        <x:f>'Evaluation Plan'!H100</x:f>
        <x:v>brown cup A</x:v>
      </x:c>
      <x:c r="I100" s="40" t="str"/>
      <x:c r="J100" s="45" t="str">
        <x:f>'Evaluation Plan'!J100</x:f>
        <x:v>Concept/compositional transfer</x:v>
      </x:c>
      <x:c r="K100" s="41" t="str">
        <x:f>'Evaluation Plan'!K100</x:f>
        <x:v>SR-CT39</x:v>
      </x:c>
      <x:c r="L100" s="41" t="str">
        <x:f>'Evaluation Plan'!L100</x:f>
        <x:v>C</x:v>
      </x:c>
      <x:c r="M100" s="41" t="str">
        <x:f>'Evaluation Plan'!M100</x:f>
        <x:v>brown cup</x:v>
      </x:c>
      <x:c r="N100" s="41" t="n">
        <x:f>'Evaluation Plan'!N100</x:f>
        <x:v>4</x:v>
      </x:c>
      <x:c r="O100" s="41" t="n">
        <x:f>'Evaluation Plan'!O100</x:f>
        <x:v>1</x:v>
      </x:c>
      <x:c r="P100" s="41" t="str">
        <x:f>'Evaluation Plan'!P100</x:f>
        <x:v>Empty</x:v>
      </x:c>
      <x:c r="Q100" s="40" t="str">
        <x:f>'Evaluation Plan'!Q100</x:f>
        <x:v>Primary held-out state-object composition</x:v>
      </x:c>
      <x:c r="R100" s="41" t="n">
        <x:f>'Evaluation Plan'!R100</x:f>
        <x:v>4</x:v>
      </x:c>
      <x:c r="S100" s="40" t="str">
        <x:f>'Evaluation Plan'!S100</x:f>
        <x:v>Build the listed same-category discrimination scene with the bowl empty.</x:v>
      </x:c>
      <x:c r="T100" s="40" t="str">
        <x:f>'Evaluation Plan'!T100</x:f>
        <x:v>Two same-category candidates share the non-queried state axis; only the held-out state word identifies the target.</x:v>
      </x:c>
      <x:c r="U100" s="40" t="n">
        <x:f>'Evaluation Plan'!U100</x:f>
        <x:v>0</x:v>
      </x:c>
    </x:row>
    <x:row r="101" ht="51" customHeight="1">
      <x:c r="A101" s="43" t="str">
        <x:v>Not collected</x:v>
      </x:c>
      <x:c r="B101" s="44" t="n">
        <x:f>'Evaluation Plan'!B101</x:f>
        <x:v>99</x:v>
      </x:c>
      <x:c r="C101" s="43" t="str">
        <x:f>'Evaluation Plan'!C101</x:f>
        <x:v>Place the upright glass spice container in the bowl.</x:v>
      </x:c>
      <x:c r="D101" s="43" t="str">
        <x:f>'Evaluation Plan'!D101</x:f>
        <x:v>glass spice container B (O, RU); glass spice container A (O, UD)</x:v>
      </x:c>
      <x:c r="E101" s="44" t="str">
        <x:f>'Evaluation Plan'!E101</x:f>
      </x:c>
      <x:c r="F101" s="44" t="str">
        <x:f>'Evaluation Plan'!F101</x:f>
        <x:v>153</x:v>
      </x:c>
      <x:c r="G101" s="43" t="str">
        <x:f>'Evaluation Plan'!G101</x:f>
        <x:v>Physical-state and manipulation-trajectory reference under a direct category prompt; the evaluated state word × object-category cell is intentionally absent from training.</x:v>
      </x:c>
      <x:c r="H101" s="43" t="str">
        <x:f>'Evaluation Plan'!H101</x:f>
        <x:v>glass spice container B</x:v>
      </x:c>
      <x:c r="I101" s="43" t="str"/>
      <x:c r="J101" s="45" t="str">
        <x:f>'Evaluation Plan'!J101</x:f>
        <x:v>Concept/compositional transfer</x:v>
      </x:c>
      <x:c r="K101" s="44" t="str">
        <x:f>'Evaluation Plan'!K101</x:f>
        <x:v>SR-CT40</x:v>
      </x:c>
      <x:c r="L101" s="44" t="str">
        <x:f>'Evaluation Plan'!L101</x:f>
        <x:v>RU</x:v>
      </x:c>
      <x:c r="M101" s="44" t="str">
        <x:f>'Evaluation Plan'!M101</x:f>
        <x:v>glass spice container</x:v>
      </x:c>
      <x:c r="N101" s="44" t="n">
        <x:f>'Evaluation Plan'!N101</x:f>
        <x:v>2</x:v>
      </x:c>
      <x:c r="O101" s="44" t="n">
        <x:f>'Evaluation Plan'!O101</x:f>
        <x:v>1</x:v>
      </x:c>
      <x:c r="P101" s="44" t="str">
        <x:f>'Evaluation Plan'!P101</x:f>
        <x:v>Empty</x:v>
      </x:c>
      <x:c r="Q101" s="43" t="str">
        <x:f>'Evaluation Plan'!Q101</x:f>
        <x:v>Primary held-out state-object composition</x:v>
      </x:c>
      <x:c r="R101" s="44" t="n">
        <x:f>'Evaluation Plan'!R101</x:f>
        <x:v>4</x:v>
      </x:c>
      <x:c r="S101" s="43" t="str">
        <x:f>'Evaluation Plan'!S101</x:f>
        <x:v>Build the listed same-category discrimination scene with the bowl empty.</x:v>
      </x:c>
      <x:c r="T101" s="43" t="str">
        <x:f>'Evaluation Plan'!T101</x:f>
        <x:v>Two same-category candidates share the non-queried state axis; only the held-out state word identifies the target.</x:v>
      </x:c>
      <x:c r="U101" s="43" t="n">
        <x:f>'Evaluation Plan'!U101</x:f>
        <x:v>0</x:v>
      </x:c>
    </x:row>
    <x:row r="102" ht="51" customHeight="1">
      <x:c r="A102" s="40" t="str">
        <x:v>Not collected</x:v>
      </x:c>
      <x:c r="B102" s="41" t="n">
        <x:f>'Evaluation Plan'!B102</x:f>
        <x:v>100</x:v>
      </x:c>
      <x:c r="C102" s="40" t="str">
        <x:f>'Evaluation Plan'!C102</x:f>
        <x:v>Place the upside-down white cup in the bowl.</x:v>
      </x:c>
      <x:c r="D102" s="40" t="str">
        <x:f>'Evaluation Plan'!D102</x:f>
        <x:v>white cup A (C, UD); white cup B (C, RU); brown cup A (C, RU)</x:v>
      </x:c>
      <x:c r="E102" s="41" t="str">
        <x:f>'Evaluation Plan'!E102</x:f>
      </x:c>
      <x:c r="F102" s="41" t="str">
        <x:f>'Evaluation Plan'!F102</x:f>
        <x:v>39</x:v>
      </x:c>
      <x:c r="G102" s="40" t="str">
        <x:f>'Evaluation Plan'!G102</x:f>
        <x:v>Physical-state and manipulation-trajectory reference under a direct category prompt; the evaluated state word × object-category cell is intentionally absent from training.</x:v>
      </x:c>
      <x:c r="H102" s="40" t="str">
        <x:f>'Evaluation Plan'!H102</x:f>
        <x:v>white cup A</x:v>
      </x:c>
      <x:c r="I102" s="40" t="str"/>
      <x:c r="J102" s="45" t="str">
        <x:f>'Evaluation Plan'!J102</x:f>
        <x:v>Concept/compositional transfer</x:v>
      </x:c>
      <x:c r="K102" s="41" t="str">
        <x:f>'Evaluation Plan'!K102</x:f>
        <x:v>SR-CT41</x:v>
      </x:c>
      <x:c r="L102" s="41" t="str">
        <x:f>'Evaluation Plan'!L102</x:f>
        <x:v>UD</x:v>
      </x:c>
      <x:c r="M102" s="41" t="str">
        <x:f>'Evaluation Plan'!M102</x:f>
        <x:v>white cup</x:v>
      </x:c>
      <x:c r="N102" s="41" t="n">
        <x:f>'Evaluation Plan'!N102</x:f>
        <x:v>3</x:v>
      </x:c>
      <x:c r="O102" s="41" t="n">
        <x:f>'Evaluation Plan'!O102</x:f>
        <x:v>1</x:v>
      </x:c>
      <x:c r="P102" s="41" t="str">
        <x:f>'Evaluation Plan'!P102</x:f>
        <x:v>Empty</x:v>
      </x:c>
      <x:c r="Q102" s="40" t="str">
        <x:f>'Evaluation Plan'!Q102</x:f>
        <x:v>Primary held-out state-object composition</x:v>
      </x:c>
      <x:c r="R102" s="41" t="n">
        <x:f>'Evaluation Plan'!R102</x:f>
        <x:v>4</x:v>
      </x:c>
      <x:c r="S102" s="40" t="str">
        <x:f>'Evaluation Plan'!S102</x:f>
        <x:v>Build the listed same-category discrimination scene with the bowl empty.</x:v>
      </x:c>
      <x:c r="T102" s="40" t="str">
        <x:f>'Evaluation Plan'!T102</x:f>
        <x:v>Two same-category candidates share the non-queried state axis; only the held-out state word identifies the target.</x:v>
      </x:c>
      <x:c r="U102" s="40" t="n">
        <x:f>'Evaluation Plan'!U102</x:f>
        <x:v>0</x:v>
      </x:c>
    </x:row>
    <x:row r="103" ht="51" customHeight="1">
      <x:c r="A103" s="43" t="str">
        <x:v>Not collected</x:v>
      </x:c>
      <x:c r="B103" s="44" t="n">
        <x:f>'Evaluation Plan'!B103</x:f>
        <x:v>101</x:v>
      </x:c>
      <x:c r="C103" s="43" t="str">
        <x:f>'Evaluation Plan'!C103</x:f>
        <x:v>Place the open yellow-white striped cup in the bowl.</x:v>
      </x:c>
      <x:c r="D103" s="43" t="str">
        <x:f>'Evaluation Plan'!D103</x:f>
        <x:v>yellow-white striped cup B (O, RU); yellow-white striped cup A (C, RU); glass spice container B (O, RU); white cup A (C, UD)</x:v>
      </x:c>
      <x:c r="E103" s="44" t="str">
        <x:f>'Evaluation Plan'!E103</x:f>
      </x:c>
      <x:c r="F103" s="44" t="str">
        <x:f>'Evaluation Plan'!F103</x:f>
        <x:v>72</x:v>
      </x:c>
      <x:c r="G103" s="43" t="str">
        <x:f>'Evaluation Plan'!G103</x:f>
        <x:v>Physical-state and manipulation-trajectory reference under a direct category prompt; the evaluated state word × object-category cell is intentionally absent from training.</x:v>
      </x:c>
      <x:c r="H103" s="43" t="str">
        <x:f>'Evaluation Plan'!H103</x:f>
        <x:v>yellow-white striped cup B</x:v>
      </x:c>
      <x:c r="I103" s="43" t="str"/>
      <x:c r="J103" s="45" t="str">
        <x:f>'Evaluation Plan'!J103</x:f>
        <x:v>Concept/compositional transfer</x:v>
      </x:c>
      <x:c r="K103" s="44" t="str">
        <x:f>'Evaluation Plan'!K103</x:f>
        <x:v>SR-CT42</x:v>
      </x:c>
      <x:c r="L103" s="44" t="str">
        <x:f>'Evaluation Plan'!L103</x:f>
        <x:v>O</x:v>
      </x:c>
      <x:c r="M103" s="44" t="str">
        <x:f>'Evaluation Plan'!M103</x:f>
        <x:v>yellow-white striped cup</x:v>
      </x:c>
      <x:c r="N103" s="44" t="n">
        <x:f>'Evaluation Plan'!N103</x:f>
        <x:v>4</x:v>
      </x:c>
      <x:c r="O103" s="44" t="n">
        <x:f>'Evaluation Plan'!O103</x:f>
        <x:v>1</x:v>
      </x:c>
      <x:c r="P103" s="44" t="str">
        <x:f>'Evaluation Plan'!P103</x:f>
        <x:v>Empty</x:v>
      </x:c>
      <x:c r="Q103" s="43" t="str">
        <x:f>'Evaluation Plan'!Q103</x:f>
        <x:v>Primary held-out state-object composition</x:v>
      </x:c>
      <x:c r="R103" s="44" t="n">
        <x:f>'Evaluation Plan'!R103</x:f>
        <x:v>4</x:v>
      </x:c>
      <x:c r="S103" s="43" t="str">
        <x:f>'Evaluation Plan'!S103</x:f>
        <x:v>Build the listed same-category discrimination scene with the bowl empty.</x:v>
      </x:c>
      <x:c r="T103" s="43" t="str">
        <x:f>'Evaluation Plan'!T103</x:f>
        <x:v>Two same-category candidates share the non-queried state axis; only the held-out state word identifies the target.</x:v>
      </x:c>
      <x:c r="U103" s="43" t="n">
        <x:f>'Evaluation Plan'!U103</x:f>
        <x:v>0</x:v>
      </x:c>
    </x:row>
    <x:row r="104" ht="51" customHeight="1">
      <x:c r="A104" s="40" t="str">
        <x:v>Not collected</x:v>
      </x:c>
      <x:c r="B104" s="41" t="n">
        <x:f>'Evaluation Plan'!B104</x:f>
        <x:v>102</x:v>
      </x:c>
      <x:c r="C104" s="40" t="str">
        <x:f>'Evaluation Plan'!C104</x:f>
        <x:v>Place the closed brown cup in the bowl.</x:v>
      </x:c>
      <x:c r="D104" s="40" t="str">
        <x:f>'Evaluation Plan'!D104</x:f>
        <x:v>brown cup A (C, RU); brown cup B (O, RU)</x:v>
      </x:c>
      <x:c r="E104" s="41" t="str">
        <x:f>'Evaluation Plan'!E104</x:f>
      </x:c>
      <x:c r="F104" s="41" t="str">
        <x:f>'Evaluation Plan'!F104</x:f>
        <x:v>102</x:v>
      </x:c>
      <x:c r="G104" s="40" t="str">
        <x:f>'Evaluation Plan'!G104</x:f>
        <x:v>Physical-state and manipulation-trajectory reference under a direct category prompt; the evaluated state word × object-category cell is intentionally absent from training.</x:v>
      </x:c>
      <x:c r="H104" s="40" t="str">
        <x:f>'Evaluation Plan'!H104</x:f>
        <x:v>brown cup A</x:v>
      </x:c>
      <x:c r="I104" s="40" t="str"/>
      <x:c r="J104" s="45" t="str">
        <x:f>'Evaluation Plan'!J104</x:f>
        <x:v>Concept/compositional transfer</x:v>
      </x:c>
      <x:c r="K104" s="41" t="str">
        <x:f>'Evaluation Plan'!K104</x:f>
        <x:v>SR-CT43</x:v>
      </x:c>
      <x:c r="L104" s="41" t="str">
        <x:f>'Evaluation Plan'!L104</x:f>
        <x:v>C</x:v>
      </x:c>
      <x:c r="M104" s="41" t="str">
        <x:f>'Evaluation Plan'!M104</x:f>
        <x:v>brown cup</x:v>
      </x:c>
      <x:c r="N104" s="41" t="n">
        <x:f>'Evaluation Plan'!N104</x:f>
        <x:v>2</x:v>
      </x:c>
      <x:c r="O104" s="41" t="n">
        <x:f>'Evaluation Plan'!O104</x:f>
        <x:v>1</x:v>
      </x:c>
      <x:c r="P104" s="41" t="str">
        <x:f>'Evaluation Plan'!P104</x:f>
        <x:v>Empty</x:v>
      </x:c>
      <x:c r="Q104" s="40" t="str">
        <x:f>'Evaluation Plan'!Q104</x:f>
        <x:v>Primary held-out state-object composition</x:v>
      </x:c>
      <x:c r="R104" s="41" t="n">
        <x:f>'Evaluation Plan'!R104</x:f>
        <x:v>4</x:v>
      </x:c>
      <x:c r="S104" s="40" t="str">
        <x:f>'Evaluation Plan'!S104</x:f>
        <x:v>Build the listed same-category discrimination scene with the bowl empty.</x:v>
      </x:c>
      <x:c r="T104" s="40" t="str">
        <x:f>'Evaluation Plan'!T104</x:f>
        <x:v>Two same-category candidates share the non-queried state axis; only the held-out state word identifies the target.</x:v>
      </x:c>
      <x:c r="U104" s="40" t="n">
        <x:f>'Evaluation Plan'!U104</x:f>
        <x:v>0</x:v>
      </x:c>
    </x:row>
    <x:row r="105" ht="51" customHeight="1">
      <x:c r="A105" s="43" t="str">
        <x:v>Not collected</x:v>
      </x:c>
      <x:c r="B105" s="44" t="n">
        <x:f>'Evaluation Plan'!B105</x:f>
        <x:v>103</x:v>
      </x:c>
      <x:c r="C105" s="43" t="str">
        <x:f>'Evaluation Plan'!C105</x:f>
        <x:v>Place the upright glass spice container in the bowl.</x:v>
      </x:c>
      <x:c r="D105" s="43" t="str">
        <x:f>'Evaluation Plan'!D105</x:f>
        <x:v>glass spice container B (C, RU); glass spice container A (C, UD); yellow-white striped cup B (O, UD)</x:v>
      </x:c>
      <x:c r="E105" s="44" t="str">
        <x:f>'Evaluation Plan'!E105</x:f>
      </x:c>
      <x:c r="F105" s="44" t="str">
        <x:f>'Evaluation Plan'!F105</x:f>
        <x:v>172</x:v>
      </x:c>
      <x:c r="G105" s="43" t="str">
        <x:f>'Evaluation Plan'!G105</x:f>
        <x:v>Physical-state and manipulation-trajectory reference under a direct category prompt; the evaluated state word × object-category cell is intentionally absent from training.</x:v>
      </x:c>
      <x:c r="H105" s="43" t="str">
        <x:f>'Evaluation Plan'!H105</x:f>
        <x:v>glass spice container B</x:v>
      </x:c>
      <x:c r="I105" s="43" t="str"/>
      <x:c r="J105" s="45" t="str">
        <x:f>'Evaluation Plan'!J105</x:f>
        <x:v>Concept/compositional transfer</x:v>
      </x:c>
      <x:c r="K105" s="44" t="str">
        <x:f>'Evaluation Plan'!K105</x:f>
        <x:v>SR-CT44</x:v>
      </x:c>
      <x:c r="L105" s="44" t="str">
        <x:f>'Evaluation Plan'!L105</x:f>
        <x:v>RU</x:v>
      </x:c>
      <x:c r="M105" s="44" t="str">
        <x:f>'Evaluation Plan'!M105</x:f>
        <x:v>glass spice container</x:v>
      </x:c>
      <x:c r="N105" s="44" t="n">
        <x:f>'Evaluation Plan'!N105</x:f>
        <x:v>3</x:v>
      </x:c>
      <x:c r="O105" s="44" t="n">
        <x:f>'Evaluation Plan'!O105</x:f>
        <x:v>1</x:v>
      </x:c>
      <x:c r="P105" s="44" t="str">
        <x:f>'Evaluation Plan'!P105</x:f>
        <x:v>Empty</x:v>
      </x:c>
      <x:c r="Q105" s="43" t="str">
        <x:f>'Evaluation Plan'!Q105</x:f>
        <x:v>Primary held-out state-object composition</x:v>
      </x:c>
      <x:c r="R105" s="44" t="n">
        <x:f>'Evaluation Plan'!R105</x:f>
        <x:v>4</x:v>
      </x:c>
      <x:c r="S105" s="43" t="str">
        <x:f>'Evaluation Plan'!S105</x:f>
        <x:v>Build the listed same-category discrimination scene with the bowl empty.</x:v>
      </x:c>
      <x:c r="T105" s="43" t="str">
        <x:f>'Evaluation Plan'!T105</x:f>
        <x:v>Two same-category candidates share the non-queried state axis; only the held-out state word identifies the target.</x:v>
      </x:c>
      <x:c r="U105" s="43" t="n">
        <x:f>'Evaluation Plan'!U105</x:f>
        <x:v>0</x:v>
      </x:c>
    </x:row>
    <x:row r="106" ht="51" customHeight="1">
      <x:c r="A106" s="40" t="str">
        <x:v>Not collected</x:v>
      </x:c>
      <x:c r="B106" s="41" t="n">
        <x:f>'Evaluation Plan'!B106</x:f>
        <x:v>104</x:v>
      </x:c>
      <x:c r="C106" s="40" t="str">
        <x:f>'Evaluation Plan'!C106</x:f>
        <x:v>Place the upside-down white cup in the bowl.</x:v>
      </x:c>
      <x:c r="D106" s="40" t="str">
        <x:f>'Evaluation Plan'!D106</x:f>
        <x:v>white cup A (O, UD); white cup B (O, RU); glass spice container A (C, RU); yellow-white striped cup B (O, RU)</x:v>
      </x:c>
      <x:c r="E106" s="41" t="str">
        <x:f>'Evaluation Plan'!E106</x:f>
      </x:c>
      <x:c r="F106" s="41" t="str">
        <x:f>'Evaluation Plan'!F106</x:f>
        <x:v>32</x:v>
      </x:c>
      <x:c r="G106" s="40" t="str">
        <x:f>'Evaluation Plan'!G106</x:f>
        <x:v>Physical-state and manipulation-trajectory reference under a direct category prompt; the evaluated state word × object-category cell is intentionally absent from training.</x:v>
      </x:c>
      <x:c r="H106" s="40" t="str">
        <x:f>'Evaluation Plan'!H106</x:f>
        <x:v>white cup A</x:v>
      </x:c>
      <x:c r="I106" s="40" t="str"/>
      <x:c r="J106" s="45" t="str">
        <x:f>'Evaluation Plan'!J106</x:f>
        <x:v>Concept/compositional transfer</x:v>
      </x:c>
      <x:c r="K106" s="41" t="str">
        <x:f>'Evaluation Plan'!K106</x:f>
        <x:v>SR-CT45</x:v>
      </x:c>
      <x:c r="L106" s="41" t="str">
        <x:f>'Evaluation Plan'!L106</x:f>
        <x:v>UD</x:v>
      </x:c>
      <x:c r="M106" s="41" t="str">
        <x:f>'Evaluation Plan'!M106</x:f>
        <x:v>white cup</x:v>
      </x:c>
      <x:c r="N106" s="41" t="n">
        <x:f>'Evaluation Plan'!N106</x:f>
        <x:v>4</x:v>
      </x:c>
      <x:c r="O106" s="41" t="n">
        <x:f>'Evaluation Plan'!O106</x:f>
        <x:v>1</x:v>
      </x:c>
      <x:c r="P106" s="41" t="str">
        <x:f>'Evaluation Plan'!P106</x:f>
        <x:v>Empty</x:v>
      </x:c>
      <x:c r="Q106" s="40" t="str">
        <x:f>'Evaluation Plan'!Q106</x:f>
        <x:v>Primary held-out state-object composition</x:v>
      </x:c>
      <x:c r="R106" s="41" t="n">
        <x:f>'Evaluation Plan'!R106</x:f>
        <x:v>4</x:v>
      </x:c>
      <x:c r="S106" s="40" t="str">
        <x:f>'Evaluation Plan'!S106</x:f>
        <x:v>Build the listed same-category discrimination scene with the bowl empty.</x:v>
      </x:c>
      <x:c r="T106" s="40" t="str">
        <x:f>'Evaluation Plan'!T106</x:f>
        <x:v>Two same-category candidates share the non-queried state axis; only the held-out state word identifies the target.</x:v>
      </x:c>
      <x:c r="U106" s="40" t="n">
        <x:f>'Evaluation Plan'!U106</x:f>
        <x:v>0</x:v>
      </x:c>
    </x:row>
    <x:row r="107" ht="51" customHeight="1">
      <x:c r="A107" s="43" t="str">
        <x:v>Not collected</x:v>
      </x:c>
      <x:c r="B107" s="44" t="n">
        <x:f>'Evaluation Plan'!B107</x:f>
        <x:v>105</x:v>
      </x:c>
      <x:c r="C107" s="43" t="str">
        <x:f>'Evaluation Plan'!C107</x:f>
        <x:v>Place the open yellow-white striped cup in the bowl.</x:v>
      </x:c>
      <x:c r="D107" s="43" t="str">
        <x:f>'Evaluation Plan'!D107</x:f>
        <x:v>yellow-white striped cup B (O, UD); yellow-white striped cup A (C, UD)</x:v>
      </x:c>
      <x:c r="E107" s="44" t="str">
        <x:f>'Evaluation Plan'!E107</x:f>
      </x:c>
      <x:c r="F107" s="44" t="str">
        <x:f>'Evaluation Plan'!F107</x:f>
        <x:v>53</x:v>
      </x:c>
      <x:c r="G107" s="43" t="str">
        <x:f>'Evaluation Plan'!G107</x:f>
        <x:v>Physical-state and manipulation-trajectory reference under a direct category prompt; the evaluated state word × object-category cell is intentionally absent from training.</x:v>
      </x:c>
      <x:c r="H107" s="43" t="str">
        <x:f>'Evaluation Plan'!H107</x:f>
        <x:v>yellow-white striped cup B</x:v>
      </x:c>
      <x:c r="I107" s="43" t="str"/>
      <x:c r="J107" s="45" t="str">
        <x:f>'Evaluation Plan'!J107</x:f>
        <x:v>Concept/compositional transfer</x:v>
      </x:c>
      <x:c r="K107" s="44" t="str">
        <x:f>'Evaluation Plan'!K107</x:f>
        <x:v>SR-CT46</x:v>
      </x:c>
      <x:c r="L107" s="44" t="str">
        <x:f>'Evaluation Plan'!L107</x:f>
        <x:v>O</x:v>
      </x:c>
      <x:c r="M107" s="44" t="str">
        <x:f>'Evaluation Plan'!M107</x:f>
        <x:v>yellow-white striped cup</x:v>
      </x:c>
      <x:c r="N107" s="44" t="n">
        <x:f>'Evaluation Plan'!N107</x:f>
        <x:v>2</x:v>
      </x:c>
      <x:c r="O107" s="44" t="n">
        <x:f>'Evaluation Plan'!O107</x:f>
        <x:v>1</x:v>
      </x:c>
      <x:c r="P107" s="44" t="str">
        <x:f>'Evaluation Plan'!P107</x:f>
        <x:v>Empty</x:v>
      </x:c>
      <x:c r="Q107" s="43" t="str">
        <x:f>'Evaluation Plan'!Q107</x:f>
        <x:v>Primary held-out state-object composition</x:v>
      </x:c>
      <x:c r="R107" s="44" t="n">
        <x:f>'Evaluation Plan'!R107</x:f>
        <x:v>4</x:v>
      </x:c>
      <x:c r="S107" s="43" t="str">
        <x:f>'Evaluation Plan'!S107</x:f>
        <x:v>Build the listed same-category discrimination scene with the bowl empty.</x:v>
      </x:c>
      <x:c r="T107" s="43" t="str">
        <x:f>'Evaluation Plan'!T107</x:f>
        <x:v>Two same-category candidates share the non-queried state axis; only the held-out state word identifies the target.</x:v>
      </x:c>
      <x:c r="U107" s="43" t="n">
        <x:f>'Evaluation Plan'!U107</x:f>
        <x:v>0</x:v>
      </x:c>
    </x:row>
    <x:row r="108" ht="51" customHeight="1">
      <x:c r="A108" s="40" t="str">
        <x:v>Not collected</x:v>
      </x:c>
      <x:c r="B108" s="41" t="n">
        <x:f>'Evaluation Plan'!B108</x:f>
        <x:v>106</x:v>
      </x:c>
      <x:c r="C108" s="40" t="str">
        <x:f>'Evaluation Plan'!C108</x:f>
        <x:v>Place the closed brown cup in the bowl.</x:v>
      </x:c>
      <x:c r="D108" s="40" t="str">
        <x:f>'Evaluation Plan'!D108</x:f>
        <x:v>brown cup A (C, UD); brown cup B (O, UD); yellow-white striped cup A (C, UD)</x:v>
      </x:c>
      <x:c r="E108" s="41" t="str">
        <x:f>'Evaluation Plan'!E108</x:f>
      </x:c>
      <x:c r="F108" s="41" t="str">
        <x:f>'Evaluation Plan'!F108</x:f>
        <x:v>129</x:v>
      </x:c>
      <x:c r="G108" s="40" t="str">
        <x:f>'Evaluation Plan'!G108</x:f>
        <x:v>Physical-state and manipulation-trajectory reference under a direct category prompt; the evaluated state word × object-category cell is intentionally absent from training.</x:v>
      </x:c>
      <x:c r="H108" s="40" t="str">
        <x:f>'Evaluation Plan'!H108</x:f>
        <x:v>brown cup A</x:v>
      </x:c>
      <x:c r="I108" s="40" t="str"/>
      <x:c r="J108" s="45" t="str">
        <x:f>'Evaluation Plan'!J108</x:f>
        <x:v>Concept/compositional transfer</x:v>
      </x:c>
      <x:c r="K108" s="41" t="str">
        <x:f>'Evaluation Plan'!K108</x:f>
        <x:v>SR-CT47</x:v>
      </x:c>
      <x:c r="L108" s="41" t="str">
        <x:f>'Evaluation Plan'!L108</x:f>
        <x:v>C</x:v>
      </x:c>
      <x:c r="M108" s="41" t="str">
        <x:f>'Evaluation Plan'!M108</x:f>
        <x:v>brown cup</x:v>
      </x:c>
      <x:c r="N108" s="41" t="n">
        <x:f>'Evaluation Plan'!N108</x:f>
        <x:v>3</x:v>
      </x:c>
      <x:c r="O108" s="41" t="n">
        <x:f>'Evaluation Plan'!O108</x:f>
        <x:v>1</x:v>
      </x:c>
      <x:c r="P108" s="41" t="str">
        <x:f>'Evaluation Plan'!P108</x:f>
        <x:v>Empty</x:v>
      </x:c>
      <x:c r="Q108" s="40" t="str">
        <x:f>'Evaluation Plan'!Q108</x:f>
        <x:v>Primary held-out state-object composition</x:v>
      </x:c>
      <x:c r="R108" s="41" t="n">
        <x:f>'Evaluation Plan'!R108</x:f>
        <x:v>4</x:v>
      </x:c>
      <x:c r="S108" s="40" t="str">
        <x:f>'Evaluation Plan'!S108</x:f>
        <x:v>Build the listed same-category discrimination scene with the bowl empty.</x:v>
      </x:c>
      <x:c r="T108" s="40" t="str">
        <x:f>'Evaluation Plan'!T108</x:f>
        <x:v>Two same-category candidates share the non-queried state axis; only the held-out state word identifies the target.</x:v>
      </x:c>
      <x:c r="U108" s="40" t="n">
        <x:f>'Evaluation Plan'!U108</x:f>
        <x:v>0</x:v>
      </x:c>
    </x:row>
    <x:row r="109" ht="51" customHeight="1">
      <x:c r="A109" s="43" t="str">
        <x:v>Not collected</x:v>
      </x:c>
      <x:c r="B109" s="44" t="n">
        <x:f>'Evaluation Plan'!B109</x:f>
        <x:v>107</x:v>
      </x:c>
      <x:c r="C109" s="43" t="str">
        <x:f>'Evaluation Plan'!C109</x:f>
        <x:v>Place the upright glass spice container in the bowl.</x:v>
      </x:c>
      <x:c r="D109" s="43" t="str">
        <x:f>'Evaluation Plan'!D109</x:f>
        <x:v>glass spice container B (O, RU); glass spice container A (O, UD); brown cup B (O, UD); white cup A (C, RU)</x:v>
      </x:c>
      <x:c r="E109" s="44" t="str">
        <x:f>'Evaluation Plan'!E109</x:f>
      </x:c>
      <x:c r="F109" s="44" t="str">
        <x:f>'Evaluation Plan'!F109</x:f>
        <x:v>157</x:v>
      </x:c>
      <x:c r="G109" s="43" t="str">
        <x:f>'Evaluation Plan'!G109</x:f>
        <x:v>Physical-state and manipulation-trajectory reference under a direct category prompt; the evaluated state word × object-category cell is intentionally absent from training.</x:v>
      </x:c>
      <x:c r="H109" s="43" t="str">
        <x:f>'Evaluation Plan'!H109</x:f>
        <x:v>glass spice container B</x:v>
      </x:c>
      <x:c r="I109" s="43" t="str"/>
      <x:c r="J109" s="45" t="str">
        <x:f>'Evaluation Plan'!J109</x:f>
        <x:v>Concept/compositional transfer</x:v>
      </x:c>
      <x:c r="K109" s="44" t="str">
        <x:f>'Evaluation Plan'!K109</x:f>
        <x:v>SR-CT48</x:v>
      </x:c>
      <x:c r="L109" s="44" t="str">
        <x:f>'Evaluation Plan'!L109</x:f>
        <x:v>RU</x:v>
      </x:c>
      <x:c r="M109" s="44" t="str">
        <x:f>'Evaluation Plan'!M109</x:f>
        <x:v>glass spice container</x:v>
      </x:c>
      <x:c r="N109" s="44" t="n">
        <x:f>'Evaluation Plan'!N109</x:f>
        <x:v>4</x:v>
      </x:c>
      <x:c r="O109" s="44" t="n">
        <x:f>'Evaluation Plan'!O109</x:f>
        <x:v>1</x:v>
      </x:c>
      <x:c r="P109" s="44" t="str">
        <x:f>'Evaluation Plan'!P109</x:f>
        <x:v>Empty</x:v>
      </x:c>
      <x:c r="Q109" s="43" t="str">
        <x:f>'Evaluation Plan'!Q109</x:f>
        <x:v>Primary held-out state-object composition</x:v>
      </x:c>
      <x:c r="R109" s="44" t="n">
        <x:f>'Evaluation Plan'!R109</x:f>
        <x:v>4</x:v>
      </x:c>
      <x:c r="S109" s="43" t="str">
        <x:f>'Evaluation Plan'!S109</x:f>
        <x:v>Build the listed same-category discrimination scene with the bowl empty.</x:v>
      </x:c>
      <x:c r="T109" s="43" t="str">
        <x:f>'Evaluation Plan'!T109</x:f>
        <x:v>Two same-category candidates share the non-queried state axis; only the held-out state word identifies the target.</x:v>
      </x:c>
      <x:c r="U109" s="43" t="n">
        <x:f>'Evaluation Plan'!U109</x:f>
        <x:v>0</x:v>
      </x:c>
    </x:row>
    <x:row r="110" ht="51" customHeight="1">
      <x:c r="A110" s="40" t="str">
        <x:v>Not collected</x:v>
      </x:c>
      <x:c r="B110" s="41" t="n">
        <x:f>'Evaluation Plan'!B110</x:f>
        <x:v>108</x:v>
      </x:c>
      <x:c r="C110" s="40" t="str">
        <x:f>'Evaluation Plan'!C110</x:f>
        <x:v>Place the upside-down white cup in the bowl.</x:v>
      </x:c>
      <x:c r="D110" s="40" t="str">
        <x:f>'Evaluation Plan'!D110</x:f>
        <x:v>white cup A (C, UD); white cup B (C, RU)</x:v>
      </x:c>
      <x:c r="E110" s="41" t="str">
        <x:f>'Evaluation Plan'!E110</x:f>
      </x:c>
      <x:c r="F110" s="41" t="str">
        <x:f>'Evaluation Plan'!F110</x:f>
        <x:v>35</x:v>
      </x:c>
      <x:c r="G110" s="40" t="str">
        <x:f>'Evaluation Plan'!G110</x:f>
        <x:v>Physical-state and manipulation-trajectory reference under a direct category prompt; the evaluated state word × object-category cell is intentionally absent from training.</x:v>
      </x:c>
      <x:c r="H110" s="40" t="str">
        <x:f>'Evaluation Plan'!H110</x:f>
        <x:v>white cup A</x:v>
      </x:c>
      <x:c r="I110" s="40" t="str"/>
      <x:c r="J110" s="45" t="str">
        <x:f>'Evaluation Plan'!J110</x:f>
        <x:v>Concept/compositional transfer</x:v>
      </x:c>
      <x:c r="K110" s="41" t="str">
        <x:f>'Evaluation Plan'!K110</x:f>
        <x:v>SR-CT49</x:v>
      </x:c>
      <x:c r="L110" s="41" t="str">
        <x:f>'Evaluation Plan'!L110</x:f>
        <x:v>UD</x:v>
      </x:c>
      <x:c r="M110" s="41" t="str">
        <x:f>'Evaluation Plan'!M110</x:f>
        <x:v>white cup</x:v>
      </x:c>
      <x:c r="N110" s="41" t="n">
        <x:f>'Evaluation Plan'!N110</x:f>
        <x:v>2</x:v>
      </x:c>
      <x:c r="O110" s="41" t="n">
        <x:f>'Evaluation Plan'!O110</x:f>
        <x:v>1</x:v>
      </x:c>
      <x:c r="P110" s="41" t="str">
        <x:f>'Evaluation Plan'!P110</x:f>
        <x:v>Empty</x:v>
      </x:c>
      <x:c r="Q110" s="40" t="str">
        <x:f>'Evaluation Plan'!Q110</x:f>
        <x:v>Primary held-out state-object composition</x:v>
      </x:c>
      <x:c r="R110" s="41" t="n">
        <x:f>'Evaluation Plan'!R110</x:f>
        <x:v>4</x:v>
      </x:c>
      <x:c r="S110" s="40" t="str">
        <x:f>'Evaluation Plan'!S110</x:f>
        <x:v>Build the listed same-category discrimination scene with the bowl empty.</x:v>
      </x:c>
      <x:c r="T110" s="40" t="str">
        <x:f>'Evaluation Plan'!T110</x:f>
        <x:v>Two same-category candidates share the non-queried state axis; only the held-out state word identifies the target.</x:v>
      </x:c>
      <x:c r="U110" s="40" t="n">
        <x:f>'Evaluation Plan'!U110</x:f>
        <x:v>0</x:v>
      </x:c>
    </x:row>
    <x:row r="111" ht="51" customHeight="1">
      <x:c r="A111" s="43" t="str">
        <x:v>Not collected</x:v>
      </x:c>
      <x:c r="B111" s="44" t="n">
        <x:f>'Evaluation Plan'!B111</x:f>
        <x:v>109</x:v>
      </x:c>
      <x:c r="C111" s="43" t="str">
        <x:f>'Evaluation Plan'!C111</x:f>
        <x:v>Place the open yellow-white striped cup in the bowl.</x:v>
      </x:c>
      <x:c r="D111" s="43" t="str">
        <x:f>'Evaluation Plan'!D111</x:f>
        <x:v>yellow-white striped cup B (O, RU); yellow-white striped cup A (C, RU); brown cup B (O, RU)</x:v>
      </x:c>
      <x:c r="E111" s="44" t="str">
        <x:f>'Evaluation Plan'!E111</x:f>
      </x:c>
      <x:c r="F111" s="44" t="str">
        <x:f>'Evaluation Plan'!F111</x:f>
        <x:v>64</x:v>
      </x:c>
      <x:c r="G111" s="43" t="str">
        <x:f>'Evaluation Plan'!G111</x:f>
        <x:v>Physical-state and manipulation-trajectory reference under a direct category prompt; the evaluated state word × object-category cell is intentionally absent from training.</x:v>
      </x:c>
      <x:c r="H111" s="43" t="str">
        <x:f>'Evaluation Plan'!H111</x:f>
        <x:v>yellow-white striped cup B</x:v>
      </x:c>
      <x:c r="I111" s="43" t="str"/>
      <x:c r="J111" s="45" t="str">
        <x:f>'Evaluation Plan'!J111</x:f>
        <x:v>Concept/compositional transfer</x:v>
      </x:c>
      <x:c r="K111" s="44" t="str">
        <x:f>'Evaluation Plan'!K111</x:f>
        <x:v>SR-CT50</x:v>
      </x:c>
      <x:c r="L111" s="44" t="str">
        <x:f>'Evaluation Plan'!L111</x:f>
        <x:v>O</x:v>
      </x:c>
      <x:c r="M111" s="44" t="str">
        <x:f>'Evaluation Plan'!M111</x:f>
        <x:v>yellow-white striped cup</x:v>
      </x:c>
      <x:c r="N111" s="44" t="n">
        <x:f>'Evaluation Plan'!N111</x:f>
        <x:v>3</x:v>
      </x:c>
      <x:c r="O111" s="44" t="n">
        <x:f>'Evaluation Plan'!O111</x:f>
        <x:v>1</x:v>
      </x:c>
      <x:c r="P111" s="44" t="str">
        <x:f>'Evaluation Plan'!P111</x:f>
        <x:v>Empty</x:v>
      </x:c>
      <x:c r="Q111" s="43" t="str">
        <x:f>'Evaluation Plan'!Q111</x:f>
        <x:v>Primary held-out state-object composition</x:v>
      </x:c>
      <x:c r="R111" s="44" t="n">
        <x:f>'Evaluation Plan'!R111</x:f>
        <x:v>4</x:v>
      </x:c>
      <x:c r="S111" s="43" t="str">
        <x:f>'Evaluation Plan'!S111</x:f>
        <x:v>Build the listed same-category discrimination scene with the bowl empty.</x:v>
      </x:c>
      <x:c r="T111" s="43" t="str">
        <x:f>'Evaluation Plan'!T111</x:f>
        <x:v>Two same-category candidates share the non-queried state axis; only the held-out state word identifies the target.</x:v>
      </x:c>
      <x:c r="U111" s="43" t="n">
        <x:f>'Evaluation Plan'!U111</x:f>
        <x:v>0</x:v>
      </x:c>
    </x:row>
    <x:row r="112" ht="51" customHeight="1">
      <x:c r="A112" s="40" t="str">
        <x:v>Not collected</x:v>
      </x:c>
      <x:c r="B112" s="41" t="n">
        <x:f>'Evaluation Plan'!B112</x:f>
        <x:v>110</x:v>
      </x:c>
      <x:c r="C112" s="40" t="str">
        <x:f>'Evaluation Plan'!C112</x:f>
        <x:v>Place the closed black cup in the bowl.</x:v>
      </x:c>
      <x:c r="D112" s="40" t="str">
        <x:f>'Evaluation Plan'!D112</x:f>
        <x:v>black cup A (C, RU); black cup B (O, RU)</x:v>
      </x:c>
      <x:c r="E112" s="41" t="str">
        <x:f>'Evaluation Plan'!E112</x:f>
      </x:c>
      <x:c r="F112" s="41" t="str">
        <x:f>'Evaluation Plan'!F112</x:f>
        <x:v>0</x:v>
      </x:c>
      <x:c r="G112" s="40" t="str">
        <x:f>'Evaluation Plan'!G112</x:f>
        <x:v>State-word concept reference only. The black cup is absent from fine-tuning, so no exact object-level training episode exists.</x:v>
      </x:c>
      <x:c r="H112" s="40" t="str">
        <x:f>'Evaluation Plan'!H112</x:f>
        <x:v>black cup A</x:v>
      </x:c>
      <x:c r="I112" s="40" t="str"/>
      <x:c r="J112" s="46" t="str">
        <x:f>'Evaluation Plan'!J112</x:f>
        <x:v>Novel-object state reasoning</x:v>
      </x:c>
      <x:c r="K112" s="41" t="str">
        <x:f>'Evaluation Plan'!K112</x:f>
        <x:v>SR-BLACK01</x:v>
      </x:c>
      <x:c r="L112" s="41" t="str">
        <x:f>'Evaluation Plan'!L112</x:f>
        <x:v>C</x:v>
      </x:c>
      <x:c r="M112" s="41" t="str">
        <x:f>'Evaluation Plan'!M112</x:f>
        <x:v>black cup</x:v>
      </x:c>
      <x:c r="N112" s="41" t="n">
        <x:f>'Evaluation Plan'!N112</x:f>
        <x:v>2</x:v>
      </x:c>
      <x:c r="O112" s="41" t="n">
        <x:f>'Evaluation Plan'!O112</x:f>
        <x:v>1</x:v>
      </x:c>
      <x:c r="P112" s="41" t="str">
        <x:f>'Evaluation Plan'!P112</x:f>
        <x:v>Empty</x:v>
      </x:c>
      <x:c r="Q112" s="40" t="str">
        <x:f>'Evaluation Plan'!Q112</x:f>
        <x:v>Reasoning-only globally unseen black-cup diagnostic</x:v>
      </x:c>
      <x:c r="R112" s="41" t="n">
        <x:f>'Evaluation Plan'!R112</x:f>
        <x:v>5</x:v>
      </x:c>
      <x:c r="S112" s="40" t="str">
        <x:f>'Evaluation Plan'!S112</x:f>
        <x:v>Build the listed two-black-cup discrimination scene with the bowl empty.</x:v>
      </x:c>
      <x:c r="T112" s="40" t="str">
        <x:f>'Evaluation Plan'!T112</x:f>
        <x:v>Every prompt contains a state term; no direct-name-only black-cup trial is used. Report separately from the 50 primary transfer trials.</x:v>
      </x:c>
      <x:c r="U112" s="40" t="n">
        <x:f>'Evaluation Plan'!U112</x:f>
        <x:v>0</x:v>
      </x:c>
    </x:row>
    <x:row r="113" ht="51" customHeight="1">
      <x:c r="A113" s="43" t="str">
        <x:v>Not collected</x:v>
      </x:c>
      <x:c r="B113" s="44" t="n">
        <x:f>'Evaluation Plan'!B113</x:f>
        <x:v>111</x:v>
      </x:c>
      <x:c r="C113" s="43" t="str">
        <x:f>'Evaluation Plan'!C113</x:f>
        <x:v>Place the open black cup in the bowl.</x:v>
      </x:c>
      <x:c r="D113" s="43" t="str">
        <x:f>'Evaluation Plan'!D113</x:f>
        <x:v>black cup B (O, UD); black cup A (C, UD); yellow-white striped cup B (O, RU)</x:v>
      </x:c>
      <x:c r="E113" s="44" t="str">
        <x:f>'Evaluation Plan'!E113</x:f>
      </x:c>
      <x:c r="F113" s="44" t="str">
        <x:f>'Evaluation Plan'!F113</x:f>
        <x:v>101</x:v>
      </x:c>
      <x:c r="G113" s="43" t="str">
        <x:f>'Evaluation Plan'!G113</x:f>
        <x:v>State-word concept reference only. The black cup is absent from fine-tuning, so no exact object-level training episode exists.</x:v>
      </x:c>
      <x:c r="H113" s="43" t="str">
        <x:f>'Evaluation Plan'!H113</x:f>
        <x:v>black cup B</x:v>
      </x:c>
      <x:c r="I113" s="43" t="str"/>
      <x:c r="J113" s="46" t="str">
        <x:f>'Evaluation Plan'!J113</x:f>
        <x:v>Novel-object state reasoning</x:v>
      </x:c>
      <x:c r="K113" s="44" t="str">
        <x:f>'Evaluation Plan'!K113</x:f>
        <x:v>SR-BLACK02</x:v>
      </x:c>
      <x:c r="L113" s="44" t="str">
        <x:f>'Evaluation Plan'!L113</x:f>
        <x:v>O</x:v>
      </x:c>
      <x:c r="M113" s="44" t="str">
        <x:f>'Evaluation Plan'!M113</x:f>
        <x:v>black cup</x:v>
      </x:c>
      <x:c r="N113" s="44" t="n">
        <x:f>'Evaluation Plan'!N113</x:f>
        <x:v>3</x:v>
      </x:c>
      <x:c r="O113" s="44" t="n">
        <x:f>'Evaluation Plan'!O113</x:f>
        <x:v>1</x:v>
      </x:c>
      <x:c r="P113" s="44" t="str">
        <x:f>'Evaluation Plan'!P113</x:f>
        <x:v>Empty</x:v>
      </x:c>
      <x:c r="Q113" s="43" t="str">
        <x:f>'Evaluation Plan'!Q113</x:f>
        <x:v>Reasoning-only globally unseen black-cup diagnostic</x:v>
      </x:c>
      <x:c r="R113" s="44" t="n">
        <x:f>'Evaluation Plan'!R113</x:f>
        <x:v>5</x:v>
      </x:c>
      <x:c r="S113" s="43" t="str">
        <x:f>'Evaluation Plan'!S113</x:f>
        <x:v>Build the listed two-black-cup discrimination scene with the bowl empty.</x:v>
      </x:c>
      <x:c r="T113" s="43" t="str">
        <x:f>'Evaluation Plan'!T113</x:f>
        <x:v>Every prompt contains a state term; no direct-name-only black-cup trial is used. Report separately from the 50 primary transfer trials.</x:v>
      </x:c>
      <x:c r="U113" s="43" t="n">
        <x:f>'Evaluation Plan'!U113</x:f>
        <x:v>0</x:v>
      </x:c>
    </x:row>
    <x:row r="114" ht="51" customHeight="1">
      <x:c r="A114" s="40" t="str">
        <x:v>Not collected</x:v>
      </x:c>
      <x:c r="B114" s="41" t="n">
        <x:f>'Evaluation Plan'!B114</x:f>
        <x:v>112</x:v>
      </x:c>
      <x:c r="C114" s="40" t="str">
        <x:f>'Evaluation Plan'!C114</x:f>
        <x:v>Place the upside-down black cup in the bowl.</x:v>
      </x:c>
      <x:c r="D114" s="40" t="str">
        <x:f>'Evaluation Plan'!D114</x:f>
        <x:v>black cup A (C, UD); black cup B (C, RU); brown cup A (C, UD); glass spice container B (O, UD)</x:v>
      </x:c>
      <x:c r="E114" s="41" t="str">
        <x:f>'Evaluation Plan'!E114</x:f>
      </x:c>
      <x:c r="F114" s="41" t="str">
        <x:f>'Evaluation Plan'!F114</x:f>
        <x:v>78</x:v>
      </x:c>
      <x:c r="G114" s="40" t="str">
        <x:f>'Evaluation Plan'!G114</x:f>
        <x:v>State-word concept reference only. The black cup is absent from fine-tuning, so no exact object-level training episode exists.</x:v>
      </x:c>
      <x:c r="H114" s="40" t="str">
        <x:f>'Evaluation Plan'!H114</x:f>
        <x:v>black cup A</x:v>
      </x:c>
      <x:c r="I114" s="40" t="str"/>
      <x:c r="J114" s="46" t="str">
        <x:f>'Evaluation Plan'!J114</x:f>
        <x:v>Novel-object state reasoning</x:v>
      </x:c>
      <x:c r="K114" s="41" t="str">
        <x:f>'Evaluation Plan'!K114</x:f>
        <x:v>SR-BLACK03</x:v>
      </x:c>
      <x:c r="L114" s="41" t="str">
        <x:f>'Evaluation Plan'!L114</x:f>
        <x:v>UD</x:v>
      </x:c>
      <x:c r="M114" s="41" t="str">
        <x:f>'Evaluation Plan'!M114</x:f>
        <x:v>black cup</x:v>
      </x:c>
      <x:c r="N114" s="41" t="n">
        <x:f>'Evaluation Plan'!N114</x:f>
        <x:v>4</x:v>
      </x:c>
      <x:c r="O114" s="41" t="n">
        <x:f>'Evaluation Plan'!O114</x:f>
        <x:v>1</x:v>
      </x:c>
      <x:c r="P114" s="41" t="str">
        <x:f>'Evaluation Plan'!P114</x:f>
        <x:v>Empty</x:v>
      </x:c>
      <x:c r="Q114" s="40" t="str">
        <x:f>'Evaluation Plan'!Q114</x:f>
        <x:v>Reasoning-only globally unseen black-cup diagnostic</x:v>
      </x:c>
      <x:c r="R114" s="41" t="n">
        <x:f>'Evaluation Plan'!R114</x:f>
        <x:v>5</x:v>
      </x:c>
      <x:c r="S114" s="40" t="str">
        <x:f>'Evaluation Plan'!S114</x:f>
        <x:v>Build the listed two-black-cup discrimination scene with the bowl empty.</x:v>
      </x:c>
      <x:c r="T114" s="40" t="str">
        <x:f>'Evaluation Plan'!T114</x:f>
        <x:v>Every prompt contains a state term; no direct-name-only black-cup trial is used. Report separately from the 50 primary transfer trials.</x:v>
      </x:c>
      <x:c r="U114" s="40" t="n">
        <x:f>'Evaluation Plan'!U114</x:f>
        <x:v>0</x:v>
      </x:c>
    </x:row>
    <x:row r="115" ht="51" customHeight="1">
      <x:c r="A115" s="43" t="str">
        <x:v>Not collected</x:v>
      </x:c>
      <x:c r="B115" s="44" t="n">
        <x:f>'Evaluation Plan'!B115</x:f>
        <x:v>113</x:v>
      </x:c>
      <x:c r="C115" s="43" t="str">
        <x:f>'Evaluation Plan'!C115</x:f>
        <x:v>Place the upright black cup in the bowl.</x:v>
      </x:c>
      <x:c r="D115" s="43" t="str">
        <x:f>'Evaluation Plan'!D115</x:f>
        <x:v>black cup B (O, RU); black cup A (O, UD)</x:v>
      </x:c>
      <x:c r="E115" s="44" t="str">
        <x:f>'Evaluation Plan'!E115</x:f>
      </x:c>
      <x:c r="F115" s="44" t="str">
        <x:f>'Evaluation Plan'!F115</x:f>
        <x:v>26</x:v>
      </x:c>
      <x:c r="G115" s="43" t="str">
        <x:f>'Evaluation Plan'!G115</x:f>
        <x:v>State-word concept reference only. The black cup is absent from fine-tuning, so no exact object-level training episode exists.</x:v>
      </x:c>
      <x:c r="H115" s="43" t="str">
        <x:f>'Evaluation Plan'!H115</x:f>
        <x:v>black cup B</x:v>
      </x:c>
      <x:c r="I115" s="43" t="str"/>
      <x:c r="J115" s="46" t="str">
        <x:f>'Evaluation Plan'!J115</x:f>
        <x:v>Novel-object state reasoning</x:v>
      </x:c>
      <x:c r="K115" s="44" t="str">
        <x:f>'Evaluation Plan'!K115</x:f>
        <x:v>SR-BLACK04</x:v>
      </x:c>
      <x:c r="L115" s="44" t="str">
        <x:f>'Evaluation Plan'!L115</x:f>
        <x:v>RU</x:v>
      </x:c>
      <x:c r="M115" s="44" t="str">
        <x:f>'Evaluation Plan'!M115</x:f>
        <x:v>black cup</x:v>
      </x:c>
      <x:c r="N115" s="44" t="n">
        <x:f>'Evaluation Plan'!N115</x:f>
        <x:v>2</x:v>
      </x:c>
      <x:c r="O115" s="44" t="n">
        <x:f>'Evaluation Plan'!O115</x:f>
        <x:v>1</x:v>
      </x:c>
      <x:c r="P115" s="44" t="str">
        <x:f>'Evaluation Plan'!P115</x:f>
        <x:v>Empty</x:v>
      </x:c>
      <x:c r="Q115" s="43" t="str">
        <x:f>'Evaluation Plan'!Q115</x:f>
        <x:v>Reasoning-only globally unseen black-cup diagnostic</x:v>
      </x:c>
      <x:c r="R115" s="44" t="n">
        <x:f>'Evaluation Plan'!R115</x:f>
        <x:v>5</x:v>
      </x:c>
      <x:c r="S115" s="43" t="str">
        <x:f>'Evaluation Plan'!S115</x:f>
        <x:v>Build the listed two-black-cup discrimination scene with the bowl empty.</x:v>
      </x:c>
      <x:c r="T115" s="43" t="str">
        <x:f>'Evaluation Plan'!T115</x:f>
        <x:v>Every prompt contains a state term; no direct-name-only black-cup trial is used. Report separately from the 50 primary transfer trials.</x:v>
      </x:c>
      <x:c r="U115" s="43" t="n">
        <x:f>'Evaluation Plan'!U115</x:f>
        <x:v>0</x:v>
      </x:c>
    </x:row>
    <x:row r="116" ht="51" customHeight="1">
      <x:c r="A116" s="40" t="str">
        <x:v>Not collected</x:v>
      </x:c>
      <x:c r="B116" s="41" t="n">
        <x:f>'Evaluation Plan'!B116</x:f>
        <x:v>114</x:v>
      </x:c>
      <x:c r="C116" s="40" t="str">
        <x:f>'Evaluation Plan'!C116</x:f>
        <x:v>Place the closed black cup in the bowl.</x:v>
      </x:c>
      <x:c r="D116" s="40" t="str">
        <x:f>'Evaluation Plan'!D116</x:f>
        <x:v>black cup A (C, RU); black cup B (O, RU); white cup A (C, RU)</x:v>
      </x:c>
      <x:c r="E116" s="41" t="str">
        <x:f>'Evaluation Plan'!E116</x:f>
      </x:c>
      <x:c r="F116" s="41" t="str">
        <x:f>'Evaluation Plan'!F116</x:f>
        <x:v>0</x:v>
      </x:c>
      <x:c r="G116" s="40" t="str">
        <x:f>'Evaluation Plan'!G116</x:f>
        <x:v>State-word concept reference only. The black cup is absent from fine-tuning, so no exact object-level training episode exists.</x:v>
      </x:c>
      <x:c r="H116" s="40" t="str">
        <x:f>'Evaluation Plan'!H116</x:f>
        <x:v>black cup A</x:v>
      </x:c>
      <x:c r="I116" s="40" t="str"/>
      <x:c r="J116" s="46" t="str">
        <x:f>'Evaluation Plan'!J116</x:f>
        <x:v>Novel-object state reasoning</x:v>
      </x:c>
      <x:c r="K116" s="41" t="str">
        <x:f>'Evaluation Plan'!K116</x:f>
        <x:v>SR-BLACK05</x:v>
      </x:c>
      <x:c r="L116" s="41" t="str">
        <x:f>'Evaluation Plan'!L116</x:f>
        <x:v>C</x:v>
      </x:c>
      <x:c r="M116" s="41" t="str">
        <x:f>'Evaluation Plan'!M116</x:f>
        <x:v>black cup</x:v>
      </x:c>
      <x:c r="N116" s="41" t="n">
        <x:f>'Evaluation Plan'!N116</x:f>
        <x:v>3</x:v>
      </x:c>
      <x:c r="O116" s="41" t="n">
        <x:f>'Evaluation Plan'!O116</x:f>
        <x:v>1</x:v>
      </x:c>
      <x:c r="P116" s="41" t="str">
        <x:f>'Evaluation Plan'!P116</x:f>
        <x:v>Empty</x:v>
      </x:c>
      <x:c r="Q116" s="40" t="str">
        <x:f>'Evaluation Plan'!Q116</x:f>
        <x:v>Reasoning-only globally unseen black-cup diagnostic</x:v>
      </x:c>
      <x:c r="R116" s="41" t="n">
        <x:f>'Evaluation Plan'!R116</x:f>
        <x:v>5</x:v>
      </x:c>
      <x:c r="S116" s="40" t="str">
        <x:f>'Evaluation Plan'!S116</x:f>
        <x:v>Build the listed two-black-cup discrimination scene with the bowl empty.</x:v>
      </x:c>
      <x:c r="T116" s="40" t="str">
        <x:f>'Evaluation Plan'!T116</x:f>
        <x:v>Every prompt contains a state term; no direct-name-only black-cup trial is used. Report separately from the 50 primary transfer trials.</x:v>
      </x:c>
      <x:c r="U116" s="40" t="n">
        <x:f>'Evaluation Plan'!U116</x:f>
        <x:v>0</x:v>
      </x:c>
    </x:row>
    <x:row r="117" ht="51" customHeight="1">
      <x:c r="A117" s="43" t="str">
        <x:v>Not collected</x:v>
      </x:c>
      <x:c r="B117" s="44" t="n">
        <x:f>'Evaluation Plan'!B117</x:f>
        <x:v>115</x:v>
      </x:c>
      <x:c r="C117" s="43" t="str">
        <x:f>'Evaluation Plan'!C117</x:f>
        <x:v>Place the open black cup in the bowl.</x:v>
      </x:c>
      <x:c r="D117" s="43" t="str">
        <x:f>'Evaluation Plan'!D117</x:f>
        <x:v>black cup B (O, UD); black cup A (C, UD); yellow-white striped cup B (O, RU); brown cup A (C, UD)</x:v>
      </x:c>
      <x:c r="E117" s="44" t="str">
        <x:f>'Evaluation Plan'!E117</x:f>
      </x:c>
      <x:c r="F117" s="44" t="str">
        <x:f>'Evaluation Plan'!F117</x:f>
        <x:v>101</x:v>
      </x:c>
      <x:c r="G117" s="43" t="str">
        <x:f>'Evaluation Plan'!G117</x:f>
        <x:v>State-word concept reference only. The black cup is absent from fine-tuning, so no exact object-level training episode exists.</x:v>
      </x:c>
      <x:c r="H117" s="43" t="str">
        <x:f>'Evaluation Plan'!H117</x:f>
        <x:v>black cup B</x:v>
      </x:c>
      <x:c r="I117" s="43" t="str"/>
      <x:c r="J117" s="46" t="str">
        <x:f>'Evaluation Plan'!J117</x:f>
        <x:v>Novel-object state reasoning</x:v>
      </x:c>
      <x:c r="K117" s="44" t="str">
        <x:f>'Evaluation Plan'!K117</x:f>
        <x:v>SR-BLACK06</x:v>
      </x:c>
      <x:c r="L117" s="44" t="str">
        <x:f>'Evaluation Plan'!L117</x:f>
        <x:v>O</x:v>
      </x:c>
      <x:c r="M117" s="44" t="str">
        <x:f>'Evaluation Plan'!M117</x:f>
        <x:v>black cup</x:v>
      </x:c>
      <x:c r="N117" s="44" t="n">
        <x:f>'Evaluation Plan'!N117</x:f>
        <x:v>4</x:v>
      </x:c>
      <x:c r="O117" s="44" t="n">
        <x:f>'Evaluation Plan'!O117</x:f>
        <x:v>1</x:v>
      </x:c>
      <x:c r="P117" s="44" t="str">
        <x:f>'Evaluation Plan'!P117</x:f>
        <x:v>Empty</x:v>
      </x:c>
      <x:c r="Q117" s="43" t="str">
        <x:f>'Evaluation Plan'!Q117</x:f>
        <x:v>Reasoning-only globally unseen black-cup diagnostic</x:v>
      </x:c>
      <x:c r="R117" s="44" t="n">
        <x:f>'Evaluation Plan'!R117</x:f>
        <x:v>5</x:v>
      </x:c>
      <x:c r="S117" s="43" t="str">
        <x:f>'Evaluation Plan'!S117</x:f>
        <x:v>Build the listed two-black-cup discrimination scene with the bowl empty.</x:v>
      </x:c>
      <x:c r="T117" s="43" t="str">
        <x:f>'Evaluation Plan'!T117</x:f>
        <x:v>Every prompt contains a state term; no direct-name-only black-cup trial is used. Report separately from the 50 primary transfer trials.</x:v>
      </x:c>
      <x:c r="U117" s="43" t="n">
        <x:f>'Evaluation Plan'!U117</x:f>
        <x:v>0</x:v>
      </x:c>
    </x:row>
    <x:row r="118" ht="51" customHeight="1">
      <x:c r="A118" s="40" t="str">
        <x:v>Not collected</x:v>
      </x:c>
      <x:c r="B118" s="41" t="n">
        <x:f>'Evaluation Plan'!B118</x:f>
        <x:v>116</x:v>
      </x:c>
      <x:c r="C118" s="40" t="str">
        <x:f>'Evaluation Plan'!C118</x:f>
        <x:v>Place the upside-down black cup in the bowl.</x:v>
      </x:c>
      <x:c r="D118" s="40" t="str">
        <x:f>'Evaluation Plan'!D118</x:f>
        <x:v>black cup A (C, UD); black cup B (C, RU)</x:v>
      </x:c>
      <x:c r="E118" s="41" t="str">
        <x:f>'Evaluation Plan'!E118</x:f>
      </x:c>
      <x:c r="F118" s="41" t="str">
        <x:f>'Evaluation Plan'!F118</x:f>
        <x:v>78</x:v>
      </x:c>
      <x:c r="G118" s="40" t="str">
        <x:f>'Evaluation Plan'!G118</x:f>
        <x:v>State-word concept reference only. The black cup is absent from fine-tuning, so no exact object-level training episode exists.</x:v>
      </x:c>
      <x:c r="H118" s="40" t="str">
        <x:f>'Evaluation Plan'!H118</x:f>
        <x:v>black cup A</x:v>
      </x:c>
      <x:c r="I118" s="40" t="str"/>
      <x:c r="J118" s="46" t="str">
        <x:f>'Evaluation Plan'!J118</x:f>
        <x:v>Novel-object state reasoning</x:v>
      </x:c>
      <x:c r="K118" s="41" t="str">
        <x:f>'Evaluation Plan'!K118</x:f>
        <x:v>SR-BLACK07</x:v>
      </x:c>
      <x:c r="L118" s="41" t="str">
        <x:f>'Evaluation Plan'!L118</x:f>
        <x:v>UD</x:v>
      </x:c>
      <x:c r="M118" s="41" t="str">
        <x:f>'Evaluation Plan'!M118</x:f>
        <x:v>black cup</x:v>
      </x:c>
      <x:c r="N118" s="41" t="n">
        <x:f>'Evaluation Plan'!N118</x:f>
        <x:v>2</x:v>
      </x:c>
      <x:c r="O118" s="41" t="n">
        <x:f>'Evaluation Plan'!O118</x:f>
        <x:v>1</x:v>
      </x:c>
      <x:c r="P118" s="41" t="str">
        <x:f>'Evaluation Plan'!P118</x:f>
        <x:v>Empty</x:v>
      </x:c>
      <x:c r="Q118" s="40" t="str">
        <x:f>'Evaluation Plan'!Q118</x:f>
        <x:v>Reasoning-only globally unseen black-cup diagnostic</x:v>
      </x:c>
      <x:c r="R118" s="41" t="n">
        <x:f>'Evaluation Plan'!R118</x:f>
        <x:v>5</x:v>
      </x:c>
      <x:c r="S118" s="40" t="str">
        <x:f>'Evaluation Plan'!S118</x:f>
        <x:v>Build the listed two-black-cup discrimination scene with the bowl empty.</x:v>
      </x:c>
      <x:c r="T118" s="40" t="str">
        <x:f>'Evaluation Plan'!T118</x:f>
        <x:v>Every prompt contains a state term; no direct-name-only black-cup trial is used. Report separately from the 50 primary transfer trials.</x:v>
      </x:c>
      <x:c r="U118" s="40" t="n">
        <x:f>'Evaluation Plan'!U118</x:f>
        <x:v>0</x:v>
      </x:c>
    </x:row>
    <x:row r="119" ht="51" customHeight="1">
      <x:c r="A119" s="43" t="str">
        <x:v>Not collected</x:v>
      </x:c>
      <x:c r="B119" s="44" t="n">
        <x:f>'Evaluation Plan'!B119</x:f>
        <x:v>117</x:v>
      </x:c>
      <x:c r="C119" s="43" t="str">
        <x:f>'Evaluation Plan'!C119</x:f>
        <x:v>Place the upright black cup in the bowl.</x:v>
      </x:c>
      <x:c r="D119" s="43" t="str">
        <x:f>'Evaluation Plan'!D119</x:f>
        <x:v>black cup B (O, RU); black cup A (O, UD); glass spice container B (O, UD)</x:v>
      </x:c>
      <x:c r="E119" s="44" t="str">
        <x:f>'Evaluation Plan'!E119</x:f>
      </x:c>
      <x:c r="F119" s="44" t="str">
        <x:f>'Evaluation Plan'!F119</x:f>
        <x:v>26</x:v>
      </x:c>
      <x:c r="G119" s="43" t="str">
        <x:f>'Evaluation Plan'!G119</x:f>
        <x:v>State-word concept reference only. The black cup is absent from fine-tuning, so no exact object-level training episode exists.</x:v>
      </x:c>
      <x:c r="H119" s="43" t="str">
        <x:f>'Evaluation Plan'!H119</x:f>
        <x:v>black cup B</x:v>
      </x:c>
      <x:c r="I119" s="43" t="str"/>
      <x:c r="J119" s="46" t="str">
        <x:f>'Evaluation Plan'!J119</x:f>
        <x:v>Novel-object state reasoning</x:v>
      </x:c>
      <x:c r="K119" s="44" t="str">
        <x:f>'Evaluation Plan'!K119</x:f>
        <x:v>SR-BLACK08</x:v>
      </x:c>
      <x:c r="L119" s="44" t="str">
        <x:f>'Evaluation Plan'!L119</x:f>
        <x:v>RU</x:v>
      </x:c>
      <x:c r="M119" s="44" t="str">
        <x:f>'Evaluation Plan'!M119</x:f>
        <x:v>black cup</x:v>
      </x:c>
      <x:c r="N119" s="44" t="n">
        <x:f>'Evaluation Plan'!N119</x:f>
        <x:v>3</x:v>
      </x:c>
      <x:c r="O119" s="44" t="n">
        <x:f>'Evaluation Plan'!O119</x:f>
        <x:v>1</x:v>
      </x:c>
      <x:c r="P119" s="44" t="str">
        <x:f>'Evaluation Plan'!P119</x:f>
        <x:v>Empty</x:v>
      </x:c>
      <x:c r="Q119" s="43" t="str">
        <x:f>'Evaluation Plan'!Q119</x:f>
        <x:v>Reasoning-only globally unseen black-cup diagnostic</x:v>
      </x:c>
      <x:c r="R119" s="44" t="n">
        <x:f>'Evaluation Plan'!R119</x:f>
        <x:v>5</x:v>
      </x:c>
      <x:c r="S119" s="43" t="str">
        <x:f>'Evaluation Plan'!S119</x:f>
        <x:v>Build the listed two-black-cup discrimination scene with the bowl empty.</x:v>
      </x:c>
      <x:c r="T119" s="43" t="str">
        <x:f>'Evaluation Plan'!T119</x:f>
        <x:v>Every prompt contains a state term; no direct-name-only black-cup trial is used. Report separately from the 50 primary transfer trials.</x:v>
      </x:c>
      <x:c r="U119" s="43" t="n">
        <x:f>'Evaluation Plan'!U119</x:f>
        <x:v>0</x:v>
      </x:c>
    </x:row>
    <x:row r="120" ht="51" customHeight="1">
      <x:c r="A120" s="40" t="str">
        <x:v>Not collected</x:v>
      </x:c>
      <x:c r="B120" s="41" t="n">
        <x:f>'Evaluation Plan'!B120</x:f>
        <x:v>118</x:v>
      </x:c>
      <x:c r="C120" s="40" t="str">
        <x:f>'Evaluation Plan'!C120</x:f>
        <x:v>Place the closed black cup in the bowl.</x:v>
      </x:c>
      <x:c r="D120" s="40" t="str">
        <x:f>'Evaluation Plan'!D120</x:f>
        <x:v>black cup A (C, RU); black cup B (O, RU); white cup A (C, RU); yellow-white striped cup B (O, RU)</x:v>
      </x:c>
      <x:c r="E120" s="41" t="str">
        <x:f>'Evaluation Plan'!E120</x:f>
      </x:c>
      <x:c r="F120" s="41" t="str">
        <x:f>'Evaluation Plan'!F120</x:f>
        <x:v>0</x:v>
      </x:c>
      <x:c r="G120" s="40" t="str">
        <x:f>'Evaluation Plan'!G120</x:f>
        <x:v>State-word concept reference only. The black cup is absent from fine-tuning, so no exact object-level training episode exists.</x:v>
      </x:c>
      <x:c r="H120" s="40" t="str">
        <x:f>'Evaluation Plan'!H120</x:f>
        <x:v>black cup A</x:v>
      </x:c>
      <x:c r="I120" s="40" t="str"/>
      <x:c r="J120" s="46" t="str">
        <x:f>'Evaluation Plan'!J120</x:f>
        <x:v>Novel-object state reasoning</x:v>
      </x:c>
      <x:c r="K120" s="41" t="str">
        <x:f>'Evaluation Plan'!K120</x:f>
        <x:v>SR-BLACK09</x:v>
      </x:c>
      <x:c r="L120" s="41" t="str">
        <x:f>'Evaluation Plan'!L120</x:f>
        <x:v>C</x:v>
      </x:c>
      <x:c r="M120" s="41" t="str">
        <x:f>'Evaluation Plan'!M120</x:f>
        <x:v>black cup</x:v>
      </x:c>
      <x:c r="N120" s="41" t="n">
        <x:f>'Evaluation Plan'!N120</x:f>
        <x:v>4</x:v>
      </x:c>
      <x:c r="O120" s="41" t="n">
        <x:f>'Evaluation Plan'!O120</x:f>
        <x:v>1</x:v>
      </x:c>
      <x:c r="P120" s="41" t="str">
        <x:f>'Evaluation Plan'!P120</x:f>
        <x:v>Empty</x:v>
      </x:c>
      <x:c r="Q120" s="40" t="str">
        <x:f>'Evaluation Plan'!Q120</x:f>
        <x:v>Reasoning-only globally unseen black-cup diagnostic</x:v>
      </x:c>
      <x:c r="R120" s="41" t="n">
        <x:f>'Evaluation Plan'!R120</x:f>
        <x:v>5</x:v>
      </x:c>
      <x:c r="S120" s="40" t="str">
        <x:f>'Evaluation Plan'!S120</x:f>
        <x:v>Build the listed two-black-cup discrimination scene with the bowl empty.</x:v>
      </x:c>
      <x:c r="T120" s="40" t="str">
        <x:f>'Evaluation Plan'!T120</x:f>
        <x:v>Every prompt contains a state term; no direct-name-only black-cup trial is used. Report separately from the 50 primary transfer trials.</x:v>
      </x:c>
      <x:c r="U120" s="40" t="n">
        <x:f>'Evaluation Plan'!U120</x:f>
        <x:v>0</x:v>
      </x:c>
    </x:row>
    <x:row r="121" ht="51" customHeight="1">
      <x:c r="A121" s="43" t="str">
        <x:v>Not collected</x:v>
      </x:c>
      <x:c r="B121" s="44" t="n">
        <x:f>'Evaluation Plan'!B121</x:f>
        <x:v>119</x:v>
      </x:c>
      <x:c r="C121" s="43" t="str">
        <x:f>'Evaluation Plan'!C121</x:f>
        <x:v>Place the open black cup in the bowl.</x:v>
      </x:c>
      <x:c r="D121" s="43" t="str">
        <x:f>'Evaluation Plan'!D121</x:f>
        <x:v>black cup B (O, UD); black cup A (C, UD)</x:v>
      </x:c>
      <x:c r="E121" s="44" t="str">
        <x:f>'Evaluation Plan'!E121</x:f>
      </x:c>
      <x:c r="F121" s="44" t="str">
        <x:f>'Evaluation Plan'!F121</x:f>
        <x:v>101</x:v>
      </x:c>
      <x:c r="G121" s="43" t="str">
        <x:f>'Evaluation Plan'!G121</x:f>
        <x:v>State-word concept reference only. The black cup is absent from fine-tuning, so no exact object-level training episode exists.</x:v>
      </x:c>
      <x:c r="H121" s="43" t="str">
        <x:f>'Evaluation Plan'!H121</x:f>
        <x:v>black cup B</x:v>
      </x:c>
      <x:c r="I121" s="43" t="str"/>
      <x:c r="J121" s="46" t="str">
        <x:f>'Evaluation Plan'!J121</x:f>
        <x:v>Novel-object state reasoning</x:v>
      </x:c>
      <x:c r="K121" s="44" t="str">
        <x:f>'Evaluation Plan'!K121</x:f>
        <x:v>SR-BLACK10</x:v>
      </x:c>
      <x:c r="L121" s="44" t="str">
        <x:f>'Evaluation Plan'!L121</x:f>
        <x:v>O</x:v>
      </x:c>
      <x:c r="M121" s="44" t="str">
        <x:f>'Evaluation Plan'!M121</x:f>
        <x:v>black cup</x:v>
      </x:c>
      <x:c r="N121" s="44" t="n">
        <x:f>'Evaluation Plan'!N121</x:f>
        <x:v>2</x:v>
      </x:c>
      <x:c r="O121" s="44" t="n">
        <x:f>'Evaluation Plan'!O121</x:f>
        <x:v>1</x:v>
      </x:c>
      <x:c r="P121" s="44" t="str">
        <x:f>'Evaluation Plan'!P121</x:f>
        <x:v>Empty</x:v>
      </x:c>
      <x:c r="Q121" s="43" t="str">
        <x:f>'Evaluation Plan'!Q121</x:f>
        <x:v>Reasoning-only globally unseen black-cup diagnostic</x:v>
      </x:c>
      <x:c r="R121" s="44" t="n">
        <x:f>'Evaluation Plan'!R121</x:f>
        <x:v>5</x:v>
      </x:c>
      <x:c r="S121" s="43" t="str">
        <x:f>'Evaluation Plan'!S121</x:f>
        <x:v>Build the listed two-black-cup discrimination scene with the bowl empty.</x:v>
      </x:c>
      <x:c r="T121" s="43" t="str">
        <x:f>'Evaluation Plan'!T121</x:f>
        <x:v>Every prompt contains a state term; no direct-name-only black-cup trial is used. Report separately from the 50 primary transfer trials.</x:v>
      </x:c>
      <x:c r="U121" s="43" t="n">
        <x:f>'Evaluation Plan'!U121</x:f>
        <x:v>0</x:v>
      </x:c>
    </x:row>
    <x:row r="122" ht="51" customHeight="1">
      <x:c r="A122" s="40" t="str">
        <x:v>Not collected</x:v>
      </x:c>
      <x:c r="B122" s="41" t="n">
        <x:f>'Evaluation Plan'!B122</x:f>
        <x:v>120</x:v>
      </x:c>
      <x:c r="C122" s="40" t="str">
        <x:f>'Evaluation Plan'!C122</x:f>
        <x:v>Place the upside-down black cup in the bowl.</x:v>
      </x:c>
      <x:c r="D122" s="40" t="str">
        <x:f>'Evaluation Plan'!D122</x:f>
        <x:v>black cup A (C, UD); black cup B (C, RU); brown cup A (C, UD)</x:v>
      </x:c>
      <x:c r="E122" s="41" t="str">
        <x:f>'Evaluation Plan'!E122</x:f>
      </x:c>
      <x:c r="F122" s="41" t="str">
        <x:f>'Evaluation Plan'!F122</x:f>
        <x:v>78</x:v>
      </x:c>
      <x:c r="G122" s="40" t="str">
        <x:f>'Evaluation Plan'!G122</x:f>
        <x:v>State-word concept reference only. The black cup is absent from fine-tuning, so no exact object-level training episode exists.</x:v>
      </x:c>
      <x:c r="H122" s="40" t="str">
        <x:f>'Evaluation Plan'!H122</x:f>
        <x:v>black cup A</x:v>
      </x:c>
      <x:c r="I122" s="40" t="str"/>
      <x:c r="J122" s="46" t="str">
        <x:f>'Evaluation Plan'!J122</x:f>
        <x:v>Novel-object state reasoning</x:v>
      </x:c>
      <x:c r="K122" s="41" t="str">
        <x:f>'Evaluation Plan'!K122</x:f>
        <x:v>SR-BLACK11</x:v>
      </x:c>
      <x:c r="L122" s="41" t="str">
        <x:f>'Evaluation Plan'!L122</x:f>
        <x:v>UD</x:v>
      </x:c>
      <x:c r="M122" s="41" t="str">
        <x:f>'Evaluation Plan'!M122</x:f>
        <x:v>black cup</x:v>
      </x:c>
      <x:c r="N122" s="41" t="n">
        <x:f>'Evaluation Plan'!N122</x:f>
        <x:v>3</x:v>
      </x:c>
      <x:c r="O122" s="41" t="n">
        <x:f>'Evaluation Plan'!O122</x:f>
        <x:v>1</x:v>
      </x:c>
      <x:c r="P122" s="41" t="str">
        <x:f>'Evaluation Plan'!P122</x:f>
        <x:v>Empty</x:v>
      </x:c>
      <x:c r="Q122" s="40" t="str">
        <x:f>'Evaluation Plan'!Q122</x:f>
        <x:v>Reasoning-only globally unseen black-cup diagnostic</x:v>
      </x:c>
      <x:c r="R122" s="41" t="n">
        <x:f>'Evaluation Plan'!R122</x:f>
        <x:v>5</x:v>
      </x:c>
      <x:c r="S122" s="40" t="str">
        <x:f>'Evaluation Plan'!S122</x:f>
        <x:v>Build the listed two-black-cup discrimination scene with the bowl empty.</x:v>
      </x:c>
      <x:c r="T122" s="40" t="str">
        <x:f>'Evaluation Plan'!T122</x:f>
        <x:v>Every prompt contains a state term; no direct-name-only black-cup trial is used. Report separately from the 50 primary transfer trials.</x:v>
      </x:c>
      <x:c r="U122" s="40" t="n">
        <x:f>'Evaluation Plan'!U122</x:f>
        <x:v>0</x:v>
      </x:c>
    </x:row>
    <x:row r="123" ht="51" customHeight="1">
      <x:c r="A123" s="43" t="str">
        <x:v>Not collected</x:v>
      </x:c>
      <x:c r="B123" s="44" t="n">
        <x:f>'Evaluation Plan'!B123</x:f>
        <x:v>121</x:v>
      </x:c>
      <x:c r="C123" s="43" t="str">
        <x:f>'Evaluation Plan'!C123</x:f>
        <x:v>Place the upright black cup in the bowl.</x:v>
      </x:c>
      <x:c r="D123" s="43" t="str">
        <x:f>'Evaluation Plan'!D123</x:f>
        <x:v>black cup B (O, RU); black cup A (O, UD); glass spice container B (O, UD); white cup A (C, RU)</x:v>
      </x:c>
      <x:c r="E123" s="44" t="str">
        <x:f>'Evaluation Plan'!E123</x:f>
      </x:c>
      <x:c r="F123" s="44" t="str">
        <x:f>'Evaluation Plan'!F123</x:f>
        <x:v>26</x:v>
      </x:c>
      <x:c r="G123" s="43" t="str">
        <x:f>'Evaluation Plan'!G123</x:f>
        <x:v>State-word concept reference only. The black cup is absent from fine-tuning, so no exact object-level training episode exists.</x:v>
      </x:c>
      <x:c r="H123" s="43" t="str">
        <x:f>'Evaluation Plan'!H123</x:f>
        <x:v>black cup B</x:v>
      </x:c>
      <x:c r="I123" s="43" t="str"/>
      <x:c r="J123" s="46" t="str">
        <x:f>'Evaluation Plan'!J123</x:f>
        <x:v>Novel-object state reasoning</x:v>
      </x:c>
      <x:c r="K123" s="44" t="str">
        <x:f>'Evaluation Plan'!K123</x:f>
        <x:v>SR-BLACK12</x:v>
      </x:c>
      <x:c r="L123" s="44" t="str">
        <x:f>'Evaluation Plan'!L123</x:f>
        <x:v>RU</x:v>
      </x:c>
      <x:c r="M123" s="44" t="str">
        <x:f>'Evaluation Plan'!M123</x:f>
        <x:v>black cup</x:v>
      </x:c>
      <x:c r="N123" s="44" t="n">
        <x:f>'Evaluation Plan'!N123</x:f>
        <x:v>4</x:v>
      </x:c>
      <x:c r="O123" s="44" t="n">
        <x:f>'Evaluation Plan'!O123</x:f>
        <x:v>1</x:v>
      </x:c>
      <x:c r="P123" s="44" t="str">
        <x:f>'Evaluation Plan'!P123</x:f>
        <x:v>Empty</x:v>
      </x:c>
      <x:c r="Q123" s="43" t="str">
        <x:f>'Evaluation Plan'!Q123</x:f>
        <x:v>Reasoning-only globally unseen black-cup diagnostic</x:v>
      </x:c>
      <x:c r="R123" s="44" t="n">
        <x:f>'Evaluation Plan'!R123</x:f>
        <x:v>5</x:v>
      </x:c>
      <x:c r="S123" s="43" t="str">
        <x:f>'Evaluation Plan'!S123</x:f>
        <x:v>Build the listed two-black-cup discrimination scene with the bowl empty.</x:v>
      </x:c>
      <x:c r="T123" s="43" t="str">
        <x:f>'Evaluation Plan'!T123</x:f>
        <x:v>Every prompt contains a state term; no direct-name-only black-cup trial is used. Report separately from the 50 primary transfer trials.</x:v>
      </x:c>
      <x:c r="U123" s="43" t="n">
        <x:f>'Evaluation Plan'!U123</x:f>
        <x:v>0</x:v>
      </x:c>
    </x:row>
    <x:row r="124" ht="51" customHeight="1">
      <x:c r="A124" s="40" t="str">
        <x:v>Not collected</x:v>
      </x:c>
      <x:c r="B124" s="41" t="n">
        <x:f>'Evaluation Plan'!B124</x:f>
        <x:v>122</x:v>
      </x:c>
      <x:c r="C124" s="40" t="str">
        <x:f>'Evaluation Plan'!C124</x:f>
        <x:v>Place the closed black cup in the bowl.</x:v>
      </x:c>
      <x:c r="D124" s="40" t="str">
        <x:f>'Evaluation Plan'!D124</x:f>
        <x:v>black cup A (C, RU); black cup B (O, RU)</x:v>
      </x:c>
      <x:c r="E124" s="41" t="str">
        <x:f>'Evaluation Plan'!E124</x:f>
      </x:c>
      <x:c r="F124" s="41" t="str">
        <x:f>'Evaluation Plan'!F124</x:f>
        <x:v>0</x:v>
      </x:c>
      <x:c r="G124" s="40" t="str">
        <x:f>'Evaluation Plan'!G124</x:f>
        <x:v>State-word concept reference only. The black cup is absent from fine-tuning, so no exact object-level training episode exists.</x:v>
      </x:c>
      <x:c r="H124" s="40" t="str">
        <x:f>'Evaluation Plan'!H124</x:f>
        <x:v>black cup A</x:v>
      </x:c>
      <x:c r="I124" s="40" t="str"/>
      <x:c r="J124" s="46" t="str">
        <x:f>'Evaluation Plan'!J124</x:f>
        <x:v>Novel-object state reasoning</x:v>
      </x:c>
      <x:c r="K124" s="41" t="str">
        <x:f>'Evaluation Plan'!K124</x:f>
        <x:v>SR-BLACK13</x:v>
      </x:c>
      <x:c r="L124" s="41" t="str">
        <x:f>'Evaluation Plan'!L124</x:f>
        <x:v>C</x:v>
      </x:c>
      <x:c r="M124" s="41" t="str">
        <x:f>'Evaluation Plan'!M124</x:f>
        <x:v>black cup</x:v>
      </x:c>
      <x:c r="N124" s="41" t="n">
        <x:f>'Evaluation Plan'!N124</x:f>
        <x:v>2</x:v>
      </x:c>
      <x:c r="O124" s="41" t="n">
        <x:f>'Evaluation Plan'!O124</x:f>
        <x:v>1</x:v>
      </x:c>
      <x:c r="P124" s="41" t="str">
        <x:f>'Evaluation Plan'!P124</x:f>
        <x:v>Empty</x:v>
      </x:c>
      <x:c r="Q124" s="40" t="str">
        <x:f>'Evaluation Plan'!Q124</x:f>
        <x:v>Reasoning-only globally unseen black-cup diagnostic</x:v>
      </x:c>
      <x:c r="R124" s="41" t="n">
        <x:f>'Evaluation Plan'!R124</x:f>
        <x:v>5</x:v>
      </x:c>
      <x:c r="S124" s="40" t="str">
        <x:f>'Evaluation Plan'!S124</x:f>
        <x:v>Build the listed two-black-cup discrimination scene with the bowl empty.</x:v>
      </x:c>
      <x:c r="T124" s="40" t="str">
        <x:f>'Evaluation Plan'!T124</x:f>
        <x:v>Every prompt contains a state term; no direct-name-only black-cup trial is used. Report separately from the 50 primary transfer trials.</x:v>
      </x:c>
      <x:c r="U124" s="40" t="n">
        <x:f>'Evaluation Plan'!U124</x:f>
        <x:v>0</x:v>
      </x:c>
    </x:row>
    <x:row r="125" ht="51" customHeight="1">
      <x:c r="A125" s="43" t="str">
        <x:v>Not collected</x:v>
      </x:c>
      <x:c r="B125" s="44" t="n">
        <x:f>'Evaluation Plan'!B125</x:f>
        <x:v>123</x:v>
      </x:c>
      <x:c r="C125" s="43" t="str">
        <x:f>'Evaluation Plan'!C125</x:f>
        <x:v>Place the open black cup in the bowl.</x:v>
      </x:c>
      <x:c r="D125" s="43" t="str">
        <x:f>'Evaluation Plan'!D125</x:f>
        <x:v>black cup B (O, UD); black cup A (C, UD); yellow-white striped cup B (O, RU)</x:v>
      </x:c>
      <x:c r="E125" s="44" t="str">
        <x:f>'Evaluation Plan'!E125</x:f>
      </x:c>
      <x:c r="F125" s="44" t="str">
        <x:f>'Evaluation Plan'!F125</x:f>
        <x:v>101</x:v>
      </x:c>
      <x:c r="G125" s="43" t="str">
        <x:f>'Evaluation Plan'!G125</x:f>
        <x:v>State-word concept reference only. The black cup is absent from fine-tuning, so no exact object-level training episode exists.</x:v>
      </x:c>
      <x:c r="H125" s="43" t="str">
        <x:f>'Evaluation Plan'!H125</x:f>
        <x:v>black cup B</x:v>
      </x:c>
      <x:c r="I125" s="43" t="str"/>
      <x:c r="J125" s="46" t="str">
        <x:f>'Evaluation Plan'!J125</x:f>
        <x:v>Novel-object state reasoning</x:v>
      </x:c>
      <x:c r="K125" s="44" t="str">
        <x:f>'Evaluation Plan'!K125</x:f>
        <x:v>SR-BLACK14</x:v>
      </x:c>
      <x:c r="L125" s="44" t="str">
        <x:f>'Evaluation Plan'!L125</x:f>
        <x:v>O</x:v>
      </x:c>
      <x:c r="M125" s="44" t="str">
        <x:f>'Evaluation Plan'!M125</x:f>
        <x:v>black cup</x:v>
      </x:c>
      <x:c r="N125" s="44" t="n">
        <x:f>'Evaluation Plan'!N125</x:f>
        <x:v>3</x:v>
      </x:c>
      <x:c r="O125" s="44" t="n">
        <x:f>'Evaluation Plan'!O125</x:f>
        <x:v>1</x:v>
      </x:c>
      <x:c r="P125" s="44" t="str">
        <x:f>'Evaluation Plan'!P125</x:f>
        <x:v>Empty</x:v>
      </x:c>
      <x:c r="Q125" s="43" t="str">
        <x:f>'Evaluation Plan'!Q125</x:f>
        <x:v>Reasoning-only globally unseen black-cup diagnostic</x:v>
      </x:c>
      <x:c r="R125" s="44" t="n">
        <x:f>'Evaluation Plan'!R125</x:f>
        <x:v>5</x:v>
      </x:c>
      <x:c r="S125" s="43" t="str">
        <x:f>'Evaluation Plan'!S125</x:f>
        <x:v>Build the listed two-black-cup discrimination scene with the bowl empty.</x:v>
      </x:c>
      <x:c r="T125" s="43" t="str">
        <x:f>'Evaluation Plan'!T125</x:f>
        <x:v>Every prompt contains a state term; no direct-name-only black-cup trial is used. Report separately from the 50 primary transfer trials.</x:v>
      </x:c>
      <x:c r="U125" s="43" t="n">
        <x:f>'Evaluation Plan'!U125</x:f>
        <x:v>0</x:v>
      </x:c>
    </x:row>
    <x:row r="126" ht="51" customHeight="1">
      <x:c r="A126" s="40" t="str">
        <x:v>Not collected</x:v>
      </x:c>
      <x:c r="B126" s="41" t="n">
        <x:f>'Evaluation Plan'!B126</x:f>
        <x:v>124</x:v>
      </x:c>
      <x:c r="C126" s="40" t="str">
        <x:f>'Evaluation Plan'!C126</x:f>
        <x:v>Place the upside-down black cup in the bowl.</x:v>
      </x:c>
      <x:c r="D126" s="40" t="str">
        <x:f>'Evaluation Plan'!D126</x:f>
        <x:v>black cup A (C, UD); black cup B (C, RU); brown cup A (C, UD); glass spice container B (O, UD)</x:v>
      </x:c>
      <x:c r="E126" s="41" t="str">
        <x:f>'Evaluation Plan'!E126</x:f>
      </x:c>
      <x:c r="F126" s="41" t="str">
        <x:f>'Evaluation Plan'!F126</x:f>
        <x:v>78</x:v>
      </x:c>
      <x:c r="G126" s="40" t="str">
        <x:f>'Evaluation Plan'!G126</x:f>
        <x:v>State-word concept reference only. The black cup is absent from fine-tuning, so no exact object-level training episode exists.</x:v>
      </x:c>
      <x:c r="H126" s="40" t="str">
        <x:f>'Evaluation Plan'!H126</x:f>
        <x:v>black cup A</x:v>
      </x:c>
      <x:c r="I126" s="40" t="str"/>
      <x:c r="J126" s="46" t="str">
        <x:f>'Evaluation Plan'!J126</x:f>
        <x:v>Novel-object state reasoning</x:v>
      </x:c>
      <x:c r="K126" s="41" t="str">
        <x:f>'Evaluation Plan'!K126</x:f>
        <x:v>SR-BLACK15</x:v>
      </x:c>
      <x:c r="L126" s="41" t="str">
        <x:f>'Evaluation Plan'!L126</x:f>
        <x:v>UD</x:v>
      </x:c>
      <x:c r="M126" s="41" t="str">
        <x:f>'Evaluation Plan'!M126</x:f>
        <x:v>black cup</x:v>
      </x:c>
      <x:c r="N126" s="41" t="n">
        <x:f>'Evaluation Plan'!N126</x:f>
        <x:v>4</x:v>
      </x:c>
      <x:c r="O126" s="41" t="n">
        <x:f>'Evaluation Plan'!O126</x:f>
        <x:v>1</x:v>
      </x:c>
      <x:c r="P126" s="41" t="str">
        <x:f>'Evaluation Plan'!P126</x:f>
        <x:v>Empty</x:v>
      </x:c>
      <x:c r="Q126" s="40" t="str">
        <x:f>'Evaluation Plan'!Q126</x:f>
        <x:v>Reasoning-only globally unseen black-cup diagnostic</x:v>
      </x:c>
      <x:c r="R126" s="41" t="n">
        <x:f>'Evaluation Plan'!R126</x:f>
        <x:v>5</x:v>
      </x:c>
      <x:c r="S126" s="40" t="str">
        <x:f>'Evaluation Plan'!S126</x:f>
        <x:v>Build the listed two-black-cup discrimination scene with the bowl empty.</x:v>
      </x:c>
      <x:c r="T126" s="40" t="str">
        <x:f>'Evaluation Plan'!T126</x:f>
        <x:v>Every prompt contains a state term; no direct-name-only black-cup trial is used. Report separately from the 50 primary transfer trials.</x:v>
      </x:c>
      <x:c r="U126" s="40" t="n">
        <x:f>'Evaluation Plan'!U126</x:f>
        <x:v>0</x:v>
      </x:c>
    </x:row>
    <x:row r="127" ht="51" customHeight="1">
      <x:c r="A127" s="43" t="str">
        <x:v>Not collected</x:v>
      </x:c>
      <x:c r="B127" s="44" t="n">
        <x:f>'Evaluation Plan'!B127</x:f>
        <x:v>125</x:v>
      </x:c>
      <x:c r="C127" s="43" t="str">
        <x:f>'Evaluation Plan'!C127</x:f>
        <x:v>Place the upright black cup in the bowl.</x:v>
      </x:c>
      <x:c r="D127" s="43" t="str">
        <x:f>'Evaluation Plan'!D127</x:f>
        <x:v>black cup B (O, RU); black cup A (O, UD)</x:v>
      </x:c>
      <x:c r="E127" s="44" t="str">
        <x:f>'Evaluation Plan'!E127</x:f>
      </x:c>
      <x:c r="F127" s="44" t="str">
        <x:f>'Evaluation Plan'!F127</x:f>
        <x:v>26</x:v>
      </x:c>
      <x:c r="G127" s="43" t="str">
        <x:f>'Evaluation Plan'!G127</x:f>
        <x:v>State-word concept reference only. The black cup is absent from fine-tuning, so no exact object-level training episode exists.</x:v>
      </x:c>
      <x:c r="H127" s="43" t="str">
        <x:f>'Evaluation Plan'!H127</x:f>
        <x:v>black cup B</x:v>
      </x:c>
      <x:c r="I127" s="43" t="str"/>
      <x:c r="J127" s="46" t="str">
        <x:f>'Evaluation Plan'!J127</x:f>
        <x:v>Novel-object state reasoning</x:v>
      </x:c>
      <x:c r="K127" s="44" t="str">
        <x:f>'Evaluation Plan'!K127</x:f>
        <x:v>SR-BLACK16</x:v>
      </x:c>
      <x:c r="L127" s="44" t="str">
        <x:f>'Evaluation Plan'!L127</x:f>
        <x:v>RU</x:v>
      </x:c>
      <x:c r="M127" s="44" t="str">
        <x:f>'Evaluation Plan'!M127</x:f>
        <x:v>black cup</x:v>
      </x:c>
      <x:c r="N127" s="44" t="n">
        <x:f>'Evaluation Plan'!N127</x:f>
        <x:v>2</x:v>
      </x:c>
      <x:c r="O127" s="44" t="n">
        <x:f>'Evaluation Plan'!O127</x:f>
        <x:v>1</x:v>
      </x:c>
      <x:c r="P127" s="44" t="str">
        <x:f>'Evaluation Plan'!P127</x:f>
        <x:v>Empty</x:v>
      </x:c>
      <x:c r="Q127" s="43" t="str">
        <x:f>'Evaluation Plan'!Q127</x:f>
        <x:v>Reasoning-only globally unseen black-cup diagnostic</x:v>
      </x:c>
      <x:c r="R127" s="44" t="n">
        <x:f>'Evaluation Plan'!R127</x:f>
        <x:v>5</x:v>
      </x:c>
      <x:c r="S127" s="43" t="str">
        <x:f>'Evaluation Plan'!S127</x:f>
        <x:v>Build the listed two-black-cup discrimination scene with the bowl empty.</x:v>
      </x:c>
      <x:c r="T127" s="43" t="str">
        <x:f>'Evaluation Plan'!T127</x:f>
        <x:v>Every prompt contains a state term; no direct-name-only black-cup trial is used. Report separately from the 50 primary transfer trials.</x:v>
      </x:c>
      <x:c r="U127" s="43" t="n">
        <x:f>'Evaluation Plan'!U127</x:f>
        <x:v>0</x:v>
      </x:c>
    </x:row>
    <x:row r="128" ht="51" customHeight="1">
      <x:c r="A128" s="40" t="str">
        <x:v>Not collected</x:v>
      </x:c>
      <x:c r="B128" s="41" t="n">
        <x:f>'Evaluation Plan'!B128</x:f>
        <x:v>126</x:v>
      </x:c>
      <x:c r="C128" s="40" t="str">
        <x:f>'Evaluation Plan'!C128</x:f>
        <x:v>Place the closed black cup in the bowl.</x:v>
      </x:c>
      <x:c r="D128" s="40" t="str">
        <x:f>'Evaluation Plan'!D128</x:f>
        <x:v>black cup A (C, RU); black cup B (O, RU); white cup A (C, RU)</x:v>
      </x:c>
      <x:c r="E128" s="41" t="str">
        <x:f>'Evaluation Plan'!E128</x:f>
      </x:c>
      <x:c r="F128" s="41" t="str">
        <x:f>'Evaluation Plan'!F128</x:f>
        <x:v>0</x:v>
      </x:c>
      <x:c r="G128" s="40" t="str">
        <x:f>'Evaluation Plan'!G128</x:f>
        <x:v>State-word concept reference only. The black cup is absent from fine-tuning, so no exact object-level training episode exists.</x:v>
      </x:c>
      <x:c r="H128" s="40" t="str">
        <x:f>'Evaluation Plan'!H128</x:f>
        <x:v>black cup A</x:v>
      </x:c>
      <x:c r="I128" s="40" t="str"/>
      <x:c r="J128" s="46" t="str">
        <x:f>'Evaluation Plan'!J128</x:f>
        <x:v>Novel-object state reasoning</x:v>
      </x:c>
      <x:c r="K128" s="41" t="str">
        <x:f>'Evaluation Plan'!K128</x:f>
        <x:v>SR-BLACK17</x:v>
      </x:c>
      <x:c r="L128" s="41" t="str">
        <x:f>'Evaluation Plan'!L128</x:f>
        <x:v>C</x:v>
      </x:c>
      <x:c r="M128" s="41" t="str">
        <x:f>'Evaluation Plan'!M128</x:f>
        <x:v>black cup</x:v>
      </x:c>
      <x:c r="N128" s="41" t="n">
        <x:f>'Evaluation Plan'!N128</x:f>
        <x:v>3</x:v>
      </x:c>
      <x:c r="O128" s="41" t="n">
        <x:f>'Evaluation Plan'!O128</x:f>
        <x:v>1</x:v>
      </x:c>
      <x:c r="P128" s="41" t="str">
        <x:f>'Evaluation Plan'!P128</x:f>
        <x:v>Empty</x:v>
      </x:c>
      <x:c r="Q128" s="40" t="str">
        <x:f>'Evaluation Plan'!Q128</x:f>
        <x:v>Reasoning-only globally unseen black-cup diagnostic</x:v>
      </x:c>
      <x:c r="R128" s="41" t="n">
        <x:f>'Evaluation Plan'!R128</x:f>
        <x:v>5</x:v>
      </x:c>
      <x:c r="S128" s="40" t="str">
        <x:f>'Evaluation Plan'!S128</x:f>
        <x:v>Build the listed two-black-cup discrimination scene with the bowl empty.</x:v>
      </x:c>
      <x:c r="T128" s="40" t="str">
        <x:f>'Evaluation Plan'!T128</x:f>
        <x:v>Every prompt contains a state term; no direct-name-only black-cup trial is used. Report separately from the 50 primary transfer trials.</x:v>
      </x:c>
      <x:c r="U128" s="40" t="n">
        <x:f>'Evaluation Plan'!U128</x:f>
        <x:v>0</x:v>
      </x:c>
    </x:row>
    <x:row r="129" ht="51" customHeight="1">
      <x:c r="A129" s="43" t="str">
        <x:v>Not collected</x:v>
      </x:c>
      <x:c r="B129" s="44" t="n">
        <x:f>'Evaluation Plan'!B129</x:f>
        <x:v>127</x:v>
      </x:c>
      <x:c r="C129" s="43" t="str">
        <x:f>'Evaluation Plan'!C129</x:f>
        <x:v>Place the open black cup in the bowl.</x:v>
      </x:c>
      <x:c r="D129" s="43" t="str">
        <x:f>'Evaluation Plan'!D129</x:f>
        <x:v>black cup B (O, UD); black cup A (C, UD); yellow-white striped cup B (O, RU); brown cup A (C, UD)</x:v>
      </x:c>
      <x:c r="E129" s="44" t="str">
        <x:f>'Evaluation Plan'!E129</x:f>
      </x:c>
      <x:c r="F129" s="44" t="str">
        <x:f>'Evaluation Plan'!F129</x:f>
        <x:v>101</x:v>
      </x:c>
      <x:c r="G129" s="43" t="str">
        <x:f>'Evaluation Plan'!G129</x:f>
        <x:v>State-word concept reference only. The black cup is absent from fine-tuning, so no exact object-level training episode exists.</x:v>
      </x:c>
      <x:c r="H129" s="43" t="str">
        <x:f>'Evaluation Plan'!H129</x:f>
        <x:v>black cup B</x:v>
      </x:c>
      <x:c r="I129" s="43" t="str"/>
      <x:c r="J129" s="46" t="str">
        <x:f>'Evaluation Plan'!J129</x:f>
        <x:v>Novel-object state reasoning</x:v>
      </x:c>
      <x:c r="K129" s="44" t="str">
        <x:f>'Evaluation Plan'!K129</x:f>
        <x:v>SR-BLACK18</x:v>
      </x:c>
      <x:c r="L129" s="44" t="str">
        <x:f>'Evaluation Plan'!L129</x:f>
        <x:v>O</x:v>
      </x:c>
      <x:c r="M129" s="44" t="str">
        <x:f>'Evaluation Plan'!M129</x:f>
        <x:v>black cup</x:v>
      </x:c>
      <x:c r="N129" s="44" t="n">
        <x:f>'Evaluation Plan'!N129</x:f>
        <x:v>4</x:v>
      </x:c>
      <x:c r="O129" s="44" t="n">
        <x:f>'Evaluation Plan'!O129</x:f>
        <x:v>1</x:v>
      </x:c>
      <x:c r="P129" s="44" t="str">
        <x:f>'Evaluation Plan'!P129</x:f>
        <x:v>Empty</x:v>
      </x:c>
      <x:c r="Q129" s="43" t="str">
        <x:f>'Evaluation Plan'!Q129</x:f>
        <x:v>Reasoning-only globally unseen black-cup diagnostic</x:v>
      </x:c>
      <x:c r="R129" s="44" t="n">
        <x:f>'Evaluation Plan'!R129</x:f>
        <x:v>5</x:v>
      </x:c>
      <x:c r="S129" s="43" t="str">
        <x:f>'Evaluation Plan'!S129</x:f>
        <x:v>Build the listed two-black-cup discrimination scene with the bowl empty.</x:v>
      </x:c>
      <x:c r="T129" s="43" t="str">
        <x:f>'Evaluation Plan'!T129</x:f>
        <x:v>Every prompt contains a state term; no direct-name-only black-cup trial is used. Report separately from the 50 primary transfer trials.</x:v>
      </x:c>
      <x:c r="U129" s="43" t="n">
        <x:f>'Evaluation Plan'!U129</x:f>
        <x:v>0</x:v>
      </x:c>
    </x:row>
    <x:row r="130" ht="51" customHeight="1">
      <x:c r="A130" s="40" t="str">
        <x:v>Not collected</x:v>
      </x:c>
      <x:c r="B130" s="41" t="n">
        <x:f>'Evaluation Plan'!B130</x:f>
        <x:v>128</x:v>
      </x:c>
      <x:c r="C130" s="40" t="str">
        <x:f>'Evaluation Plan'!C130</x:f>
        <x:v>Place the upside-down black cup in the bowl.</x:v>
      </x:c>
      <x:c r="D130" s="40" t="str">
        <x:f>'Evaluation Plan'!D130</x:f>
        <x:v>black cup A (C, UD); black cup B (C, RU)</x:v>
      </x:c>
      <x:c r="E130" s="41" t="str">
        <x:f>'Evaluation Plan'!E130</x:f>
      </x:c>
      <x:c r="F130" s="41" t="str">
        <x:f>'Evaluation Plan'!F130</x:f>
        <x:v>78</x:v>
      </x:c>
      <x:c r="G130" s="40" t="str">
        <x:f>'Evaluation Plan'!G130</x:f>
        <x:v>State-word concept reference only. The black cup is absent from fine-tuning, so no exact object-level training episode exists.</x:v>
      </x:c>
      <x:c r="H130" s="40" t="str">
        <x:f>'Evaluation Plan'!H130</x:f>
        <x:v>black cup A</x:v>
      </x:c>
      <x:c r="I130" s="40" t="str"/>
      <x:c r="J130" s="46" t="str">
        <x:f>'Evaluation Plan'!J130</x:f>
        <x:v>Novel-object state reasoning</x:v>
      </x:c>
      <x:c r="K130" s="41" t="str">
        <x:f>'Evaluation Plan'!K130</x:f>
        <x:v>SR-BLACK19</x:v>
      </x:c>
      <x:c r="L130" s="41" t="str">
        <x:f>'Evaluation Plan'!L130</x:f>
        <x:v>UD</x:v>
      </x:c>
      <x:c r="M130" s="41" t="str">
        <x:f>'Evaluation Plan'!M130</x:f>
        <x:v>black cup</x:v>
      </x:c>
      <x:c r="N130" s="41" t="n">
        <x:f>'Evaluation Plan'!N130</x:f>
        <x:v>2</x:v>
      </x:c>
      <x:c r="O130" s="41" t="n">
        <x:f>'Evaluation Plan'!O130</x:f>
        <x:v>1</x:v>
      </x:c>
      <x:c r="P130" s="41" t="str">
        <x:f>'Evaluation Plan'!P130</x:f>
        <x:v>Empty</x:v>
      </x:c>
      <x:c r="Q130" s="40" t="str">
        <x:f>'Evaluation Plan'!Q130</x:f>
        <x:v>Reasoning-only globally unseen black-cup diagnostic</x:v>
      </x:c>
      <x:c r="R130" s="41" t="n">
        <x:f>'Evaluation Plan'!R130</x:f>
        <x:v>5</x:v>
      </x:c>
      <x:c r="S130" s="40" t="str">
        <x:f>'Evaluation Plan'!S130</x:f>
        <x:v>Build the listed two-black-cup discrimination scene with the bowl empty.</x:v>
      </x:c>
      <x:c r="T130" s="40" t="str">
        <x:f>'Evaluation Plan'!T130</x:f>
        <x:v>Every prompt contains a state term; no direct-name-only black-cup trial is used. Report separately from the 50 primary transfer trials.</x:v>
      </x:c>
      <x:c r="U130" s="40" t="n">
        <x:f>'Evaluation Plan'!U130</x:f>
        <x:v>0</x:v>
      </x:c>
    </x:row>
    <x:row r="131" ht="51" customHeight="1">
      <x:c r="A131" s="43" t="str">
        <x:v>Not collected</x:v>
      </x:c>
      <x:c r="B131" s="44" t="n">
        <x:f>'Evaluation Plan'!B131</x:f>
        <x:v>129</x:v>
      </x:c>
      <x:c r="C131" s="43" t="str">
        <x:f>'Evaluation Plan'!C131</x:f>
        <x:v>Place the upright black cup in the bowl.</x:v>
      </x:c>
      <x:c r="D131" s="43" t="str">
        <x:f>'Evaluation Plan'!D131</x:f>
        <x:v>black cup B (O, RU); black cup A (O, UD); glass spice container B (O, UD)</x:v>
      </x:c>
      <x:c r="E131" s="44" t="str">
        <x:f>'Evaluation Plan'!E131</x:f>
      </x:c>
      <x:c r="F131" s="44" t="str">
        <x:f>'Evaluation Plan'!F131</x:f>
        <x:v>26</x:v>
      </x:c>
      <x:c r="G131" s="43" t="str">
        <x:f>'Evaluation Plan'!G131</x:f>
        <x:v>State-word concept reference only. The black cup is absent from fine-tuning, so no exact object-level training episode exists.</x:v>
      </x:c>
      <x:c r="H131" s="43" t="str">
        <x:f>'Evaluation Plan'!H131</x:f>
        <x:v>black cup B</x:v>
      </x:c>
      <x:c r="I131" s="43" t="str"/>
      <x:c r="J131" s="46" t="str">
        <x:f>'Evaluation Plan'!J131</x:f>
        <x:v>Novel-object state reasoning</x:v>
      </x:c>
      <x:c r="K131" s="44" t="str">
        <x:f>'Evaluation Plan'!K131</x:f>
        <x:v>SR-BLACK20</x:v>
      </x:c>
      <x:c r="L131" s="44" t="str">
        <x:f>'Evaluation Plan'!L131</x:f>
        <x:v>RU</x:v>
      </x:c>
      <x:c r="M131" s="44" t="str">
        <x:f>'Evaluation Plan'!M131</x:f>
        <x:v>black cup</x:v>
      </x:c>
      <x:c r="N131" s="44" t="n">
        <x:f>'Evaluation Plan'!N131</x:f>
        <x:v>3</x:v>
      </x:c>
      <x:c r="O131" s="44" t="n">
        <x:f>'Evaluation Plan'!O131</x:f>
        <x:v>1</x:v>
      </x:c>
      <x:c r="P131" s="44" t="str">
        <x:f>'Evaluation Plan'!P131</x:f>
        <x:v>Empty</x:v>
      </x:c>
      <x:c r="Q131" s="43" t="str">
        <x:f>'Evaluation Plan'!Q131</x:f>
        <x:v>Reasoning-only globally unseen black-cup diagnostic</x:v>
      </x:c>
      <x:c r="R131" s="44" t="n">
        <x:f>'Evaluation Plan'!R131</x:f>
        <x:v>5</x:v>
      </x:c>
      <x:c r="S131" s="43" t="str">
        <x:f>'Evaluation Plan'!S131</x:f>
        <x:v>Build the listed two-black-cup discrimination scene with the bowl empty.</x:v>
      </x:c>
      <x:c r="T131" s="43" t="str">
        <x:f>'Evaluation Plan'!T131</x:f>
        <x:v>Every prompt contains a state term; no direct-name-only black-cup trial is used. Report separately from the 50 primary transfer trials.</x:v>
      </x:c>
      <x:c r="U131" s="43" t="n">
        <x:f>'Evaluation Plan'!U131</x:f>
        <x:v>0</x:v>
      </x:c>
    </x:row>
    <x:row r="132" ht="51" customHeight="1">
      <x:c r="A132" s="40" t="str">
        <x:v>Not collected</x:v>
      </x:c>
      <x:c r="B132" s="41" t="n">
        <x:f>'Evaluation Plan'!B132</x:f>
        <x:v>130</x:v>
      </x:c>
      <x:c r="C132" s="40" t="str">
        <x:f>'Evaluation Plan'!C132</x:f>
        <x:v>Place the closed white cup in the bowl.</x:v>
      </x:c>
      <x:c r="D132" s="40" t="str">
        <x:f>'Evaluation Plan'!D132</x:f>
        <x:v>white cup A (O, RU); white cup B (O, UD)</x:v>
      </x:c>
      <x:c r="E132" s="41" t="str">
        <x:f>'Evaluation Plan'!E132</x:f>
      </x:c>
      <x:c r="F132" s="41" t="str">
        <x:f>'Evaluation Plan'!F132</x:f>
        <x:v>0</x:v>
      </x:c>
      <x:c r="G132" s="40" t="str">
        <x:f>'Evaluation Plan'!G132</x:f>
        <x:v>The state-object concept is explicitly trained, but training does not contain a no-satisfying-target abstention trajectory.</x:v>
      </x:c>
      <x:c r="H132" s="40" t="str">
        <x:f>'Evaluation Plan'!H132</x:f>
        <x:v>NO-OP; no object has state C, so nothing should be picked up</x:v>
      </x:c>
      <x:c r="I132" s="40" t="str"/>
      <x:c r="J132" s="42" t="str">
        <x:f>'Evaluation Plan'!J132</x:f>
        <x:v>No valid target / no movement</x:v>
      </x:c>
      <x:c r="K132" s="41" t="str">
        <x:f>'Evaluation Plan'!K132</x:f>
        <x:v>SR-NOOP01</x:v>
      </x:c>
      <x:c r="L132" s="41" t="str">
        <x:f>'Evaluation Plan'!L132</x:f>
        <x:v>C</x:v>
      </x:c>
      <x:c r="M132" s="41" t="str">
        <x:f>'Evaluation Plan'!M132</x:f>
        <x:v>white cup</x:v>
      </x:c>
      <x:c r="N132" s="41" t="n">
        <x:f>'Evaluation Plan'!N132</x:f>
        <x:v>2</x:v>
      </x:c>
      <x:c r="O132" s="41" t="n">
        <x:f>'Evaluation Plan'!O132</x:f>
        <x:v>0</x:v>
      </x:c>
      <x:c r="P132" s="41" t="str">
        <x:f>'Evaluation Plan'!P132</x:f>
        <x:v>Empty</x:v>
      </x:c>
      <x:c r="Q132" s="40" t="str">
        <x:f>'Evaluation Plan'!Q132</x:f>
        <x:v>No satisfying state present; bowl remains empty</x:v>
      </x:c>
      <x:c r="R132" s="41" t="n">
        <x:f>'Evaluation Plan'!R132</x:f>
        <x:v>6</x:v>
      </x:c>
      <x:c r="S132" s="40" t="str">
        <x:f>'Evaluation Plan'!S132</x:f>
        <x:v>Build the listed no-match scene and confirm the bowl is empty.</x:v>
      </x:c>
      <x:c r="T132" s="40" t="str">
        <x:f>'Evaluation Plan'!T132</x:f>
        <x:v>No object in the entire scene has the queried state. The prompt uses the same canonical frame as active trials, and the queried state-object cell is training-supported.</x:v>
      </x:c>
      <x:c r="U132" s="40" t="n">
        <x:f>'Evaluation Plan'!U132</x:f>
        <x:v>0</x:v>
      </x:c>
    </x:row>
    <x:row r="133" ht="51" customHeight="1">
      <x:c r="A133" s="43" t="str">
        <x:v>Not collected</x:v>
      </x:c>
      <x:c r="B133" s="44" t="n">
        <x:f>'Evaluation Plan'!B133</x:f>
        <x:v>131</x:v>
      </x:c>
      <x:c r="C133" s="43" t="str">
        <x:f>'Evaluation Plan'!C133</x:f>
        <x:v>Place the upside-down yellow-white striped cup in the bowl.</x:v>
      </x:c>
      <x:c r="D133" s="43" t="str">
        <x:f>'Evaluation Plan'!D133</x:f>
        <x:v>yellow-white striped cup A (C, RU); yellow-white striped cup B (O, RU); brown cup B (O, RU)</x:v>
      </x:c>
      <x:c r="E133" s="44" t="str">
        <x:f>'Evaluation Plan'!E133</x:f>
      </x:c>
      <x:c r="F133" s="44" t="str">
        <x:f>'Evaluation Plan'!F133</x:f>
        <x:v>78</x:v>
      </x:c>
      <x:c r="G133" s="43" t="str">
        <x:f>'Evaluation Plan'!G133</x:f>
        <x:v>The state-object concept is explicitly trained, but training does not contain a no-satisfying-target abstention trajectory.</x:v>
      </x:c>
      <x:c r="H133" s="43" t="str">
        <x:f>'Evaluation Plan'!H133</x:f>
        <x:v>NO-OP; no object has state UD, so nothing should be picked up</x:v>
      </x:c>
      <x:c r="I133" s="43" t="str"/>
      <x:c r="J133" s="42" t="str">
        <x:f>'Evaluation Plan'!J133</x:f>
        <x:v>No valid target / no movement</x:v>
      </x:c>
      <x:c r="K133" s="44" t="str">
        <x:f>'Evaluation Plan'!K133</x:f>
        <x:v>SR-NOOP02</x:v>
      </x:c>
      <x:c r="L133" s="44" t="str">
        <x:f>'Evaluation Plan'!L133</x:f>
        <x:v>UD</x:v>
      </x:c>
      <x:c r="M133" s="44" t="str">
        <x:f>'Evaluation Plan'!M133</x:f>
        <x:v>yellow-white striped cup</x:v>
      </x:c>
      <x:c r="N133" s="44" t="n">
        <x:f>'Evaluation Plan'!N133</x:f>
        <x:v>3</x:v>
      </x:c>
      <x:c r="O133" s="44" t="n">
        <x:f>'Evaluation Plan'!O133</x:f>
        <x:v>0</x:v>
      </x:c>
      <x:c r="P133" s="44" t="str">
        <x:f>'Evaluation Plan'!P133</x:f>
        <x:v>Empty</x:v>
      </x:c>
      <x:c r="Q133" s="43" t="str">
        <x:f>'Evaluation Plan'!Q133</x:f>
        <x:v>No satisfying state present; bowl remains empty</x:v>
      </x:c>
      <x:c r="R133" s="44" t="n">
        <x:f>'Evaluation Plan'!R133</x:f>
        <x:v>6</x:v>
      </x:c>
      <x:c r="S133" s="43" t="str">
        <x:f>'Evaluation Plan'!S133</x:f>
        <x:v>Build the listed no-match scene and confirm the bowl is empty.</x:v>
      </x:c>
      <x:c r="T133" s="43" t="str">
        <x:f>'Evaluation Plan'!T133</x:f>
        <x:v>No object in the entire scene has the queried state. The prompt uses the same canonical frame as active trials, and the queried state-object cell is training-supported.</x:v>
      </x:c>
      <x:c r="U133" s="43" t="n">
        <x:f>'Evaluation Plan'!U133</x:f>
        <x:v>0</x:v>
      </x:c>
    </x:row>
    <x:row r="134" ht="51" customHeight="1">
      <x:c r="A134" s="40" t="str">
        <x:v>Not collected</x:v>
      </x:c>
      <x:c r="B134" s="41" t="n">
        <x:f>'Evaluation Plan'!B134</x:f>
        <x:v>132</x:v>
      </x:c>
      <x:c r="C134" s="40" t="str">
        <x:f>'Evaluation Plan'!C134</x:f>
        <x:v>Place the open brown cup in the bowl.</x:v>
      </x:c>
      <x:c r="D134" s="40" t="str">
        <x:f>'Evaluation Plan'!D134</x:f>
        <x:v>brown cup A (C, RU); brown cup B (C, UD); glass spice container A (C, UD); white cup B (C, UD)</x:v>
      </x:c>
      <x:c r="E134" s="41" t="str">
        <x:f>'Evaluation Plan'!E134</x:f>
      </x:c>
      <x:c r="F134" s="41" t="str">
        <x:f>'Evaluation Plan'!F134</x:f>
        <x:v>101</x:v>
      </x:c>
      <x:c r="G134" s="40" t="str">
        <x:f>'Evaluation Plan'!G134</x:f>
        <x:v>The state-object concept is explicitly trained, but training does not contain a no-satisfying-target abstention trajectory.</x:v>
      </x:c>
      <x:c r="H134" s="40" t="str">
        <x:f>'Evaluation Plan'!H134</x:f>
        <x:v>NO-OP; no object has state O, so nothing should be picked up</x:v>
      </x:c>
      <x:c r="I134" s="40" t="str"/>
      <x:c r="J134" s="42" t="str">
        <x:f>'Evaluation Plan'!J134</x:f>
        <x:v>No valid target / no movement</x:v>
      </x:c>
      <x:c r="K134" s="41" t="str">
        <x:f>'Evaluation Plan'!K134</x:f>
        <x:v>SR-NOOP03</x:v>
      </x:c>
      <x:c r="L134" s="41" t="str">
        <x:f>'Evaluation Plan'!L134</x:f>
        <x:v>O</x:v>
      </x:c>
      <x:c r="M134" s="41" t="str">
        <x:f>'Evaluation Plan'!M134</x:f>
        <x:v>brown cup</x:v>
      </x:c>
      <x:c r="N134" s="41" t="n">
        <x:f>'Evaluation Plan'!N134</x:f>
        <x:v>4</x:v>
      </x:c>
      <x:c r="O134" s="41" t="n">
        <x:f>'Evaluation Plan'!O134</x:f>
        <x:v>0</x:v>
      </x:c>
      <x:c r="P134" s="41" t="str">
        <x:f>'Evaluation Plan'!P134</x:f>
        <x:v>Empty</x:v>
      </x:c>
      <x:c r="Q134" s="40" t="str">
        <x:f>'Evaluation Plan'!Q134</x:f>
        <x:v>No satisfying state present; bowl remains empty</x:v>
      </x:c>
      <x:c r="R134" s="41" t="n">
        <x:f>'Evaluation Plan'!R134</x:f>
        <x:v>6</x:v>
      </x:c>
      <x:c r="S134" s="40" t="str">
        <x:f>'Evaluation Plan'!S134</x:f>
        <x:v>Build the listed no-match scene and confirm the bowl is empty.</x:v>
      </x:c>
      <x:c r="T134" s="40" t="str">
        <x:f>'Evaluation Plan'!T134</x:f>
        <x:v>No object in the entire scene has the queried state. The prompt uses the same canonical frame as active trials, and the queried state-object cell is training-supported.</x:v>
      </x:c>
      <x:c r="U134" s="40" t="n">
        <x:f>'Evaluation Plan'!U134</x:f>
        <x:v>0</x:v>
      </x:c>
    </x:row>
    <x:row r="135" ht="51" customHeight="1">
      <x:c r="A135" s="43" t="str">
        <x:v>Not collected</x:v>
      </x:c>
      <x:c r="B135" s="44" t="n">
        <x:f>'Evaluation Plan'!B135</x:f>
        <x:v>133</x:v>
      </x:c>
      <x:c r="C135" s="43" t="str">
        <x:f>'Evaluation Plan'!C135</x:f>
        <x:v>Place the closed glass spice container in the bowl.</x:v>
      </x:c>
      <x:c r="D135" s="43" t="str">
        <x:f>'Evaluation Plan'!D135</x:f>
        <x:v>glass spice container A (O, RU); glass spice container B (O, UD)</x:v>
      </x:c>
      <x:c r="E135" s="44" t="str">
        <x:f>'Evaluation Plan'!E135</x:f>
      </x:c>
      <x:c r="F135" s="44" t="str">
        <x:f>'Evaluation Plan'!F135</x:f>
        <x:v>151</x:v>
      </x:c>
      <x:c r="G135" s="43" t="str">
        <x:f>'Evaluation Plan'!G135</x:f>
        <x:v>The state-object concept is explicitly trained, but training does not contain a no-satisfying-target abstention trajectory.</x:v>
      </x:c>
      <x:c r="H135" s="43" t="str">
        <x:f>'Evaluation Plan'!H135</x:f>
        <x:v>NO-OP; no object has state C, so nothing should be picked up</x:v>
      </x:c>
      <x:c r="I135" s="43" t="str"/>
      <x:c r="J135" s="42" t="str">
        <x:f>'Evaluation Plan'!J135</x:f>
        <x:v>No valid target / no movement</x:v>
      </x:c>
      <x:c r="K135" s="44" t="str">
        <x:f>'Evaluation Plan'!K135</x:f>
        <x:v>SR-NOOP04</x:v>
      </x:c>
      <x:c r="L135" s="44" t="str">
        <x:f>'Evaluation Plan'!L135</x:f>
        <x:v>C</x:v>
      </x:c>
      <x:c r="M135" s="44" t="str">
        <x:f>'Evaluation Plan'!M135</x:f>
        <x:v>glass spice container</x:v>
      </x:c>
      <x:c r="N135" s="44" t="n">
        <x:f>'Evaluation Plan'!N135</x:f>
        <x:v>2</x:v>
      </x:c>
      <x:c r="O135" s="44" t="n">
        <x:f>'Evaluation Plan'!O135</x:f>
        <x:v>0</x:v>
      </x:c>
      <x:c r="P135" s="44" t="str">
        <x:f>'Evaluation Plan'!P135</x:f>
        <x:v>Empty</x:v>
      </x:c>
      <x:c r="Q135" s="43" t="str">
        <x:f>'Evaluation Plan'!Q135</x:f>
        <x:v>No satisfying state present; bowl remains empty</x:v>
      </x:c>
      <x:c r="R135" s="44" t="n">
        <x:f>'Evaluation Plan'!R135</x:f>
        <x:v>6</x:v>
      </x:c>
      <x:c r="S135" s="43" t="str">
        <x:f>'Evaluation Plan'!S135</x:f>
        <x:v>Build the listed no-match scene and confirm the bowl is empty.</x:v>
      </x:c>
      <x:c r="T135" s="43" t="str">
        <x:f>'Evaluation Plan'!T135</x:f>
        <x:v>No object in the entire scene has the queried state. The prompt uses the same canonical frame as active trials, and the queried state-object cell is training-supported.</x:v>
      </x:c>
      <x:c r="U135" s="43" t="n">
        <x:f>'Evaluation Plan'!U135</x:f>
        <x:v>0</x:v>
      </x:c>
    </x:row>
    <x:row r="136" ht="51" customHeight="1">
      <x:c r="A136" s="40" t="str">
        <x:v>Not collected</x:v>
      </x:c>
      <x:c r="B136" s="41" t="n">
        <x:f>'Evaluation Plan'!B136</x:f>
        <x:v>134</x:v>
      </x:c>
      <x:c r="C136" s="40" t="str">
        <x:f>'Evaluation Plan'!C136</x:f>
        <x:v>Place the open white cup in the bowl.</x:v>
      </x:c>
      <x:c r="D136" s="40" t="str">
        <x:f>'Evaluation Plan'!D136</x:f>
        <x:v>white cup A (C, UD); white cup B (C, RU); glass spice container B (C, RU)</x:v>
      </x:c>
      <x:c r="E136" s="41" t="str">
        <x:f>'Evaluation Plan'!E136</x:f>
      </x:c>
      <x:c r="F136" s="41" t="str">
        <x:f>'Evaluation Plan'!F136</x:f>
        <x:v>1</x:v>
      </x:c>
      <x:c r="G136" s="40" t="str">
        <x:f>'Evaluation Plan'!G136</x:f>
        <x:v>The state-object concept is explicitly trained, but training does not contain a no-satisfying-target abstention trajectory.</x:v>
      </x:c>
      <x:c r="H136" s="40" t="str">
        <x:f>'Evaluation Plan'!H136</x:f>
        <x:v>NO-OP; no object has state O, so nothing should be picked up</x:v>
      </x:c>
      <x:c r="I136" s="40" t="str"/>
      <x:c r="J136" s="42" t="str">
        <x:f>'Evaluation Plan'!J136</x:f>
        <x:v>No valid target / no movement</x:v>
      </x:c>
      <x:c r="K136" s="41" t="str">
        <x:f>'Evaluation Plan'!K136</x:f>
        <x:v>SR-NOOP05</x:v>
      </x:c>
      <x:c r="L136" s="41" t="str">
        <x:f>'Evaluation Plan'!L136</x:f>
        <x:v>O</x:v>
      </x:c>
      <x:c r="M136" s="41" t="str">
        <x:f>'Evaluation Plan'!M136</x:f>
        <x:v>white cup</x:v>
      </x:c>
      <x:c r="N136" s="41" t="n">
        <x:f>'Evaluation Plan'!N136</x:f>
        <x:v>3</x:v>
      </x:c>
      <x:c r="O136" s="41" t="n">
        <x:f>'Evaluation Plan'!O136</x:f>
        <x:v>0</x:v>
      </x:c>
      <x:c r="P136" s="41" t="str">
        <x:f>'Evaluation Plan'!P136</x:f>
        <x:v>Empty</x:v>
      </x:c>
      <x:c r="Q136" s="40" t="str">
        <x:f>'Evaluation Plan'!Q136</x:f>
        <x:v>No satisfying state present; bowl remains empty</x:v>
      </x:c>
      <x:c r="R136" s="41" t="n">
        <x:f>'Evaluation Plan'!R136</x:f>
        <x:v>6</x:v>
      </x:c>
      <x:c r="S136" s="40" t="str">
        <x:f>'Evaluation Plan'!S136</x:f>
        <x:v>Build the listed no-match scene and confirm the bowl is empty.</x:v>
      </x:c>
      <x:c r="T136" s="40" t="str">
        <x:f>'Evaluation Plan'!T136</x:f>
        <x:v>No object in the entire scene has the queried state. The prompt uses the same canonical frame as active trials, and the queried state-object cell is training-supported.</x:v>
      </x:c>
      <x:c r="U136" s="40" t="n">
        <x:f>'Evaluation Plan'!U136</x:f>
        <x:v>0</x:v>
      </x:c>
    </x:row>
    <x:row r="137" ht="51" customHeight="1">
      <x:c r="A137" s="43" t="str">
        <x:v>Not collected</x:v>
      </x:c>
      <x:c r="B137" s="44" t="n">
        <x:f>'Evaluation Plan'!B137</x:f>
        <x:v>135</x:v>
      </x:c>
      <x:c r="C137" s="43" t="str">
        <x:f>'Evaluation Plan'!C137</x:f>
        <x:v>Place the upright yellow-white striped cup in the bowl.</x:v>
      </x:c>
      <x:c r="D137" s="43" t="str">
        <x:f>'Evaluation Plan'!D137</x:f>
        <x:v>yellow-white striped cup A (O, UD); yellow-white striped cup B (C, UD); white cup A (C, UD); brown cup B (O, UD)</x:v>
      </x:c>
      <x:c r="E137" s="44" t="str">
        <x:f>'Evaluation Plan'!E137</x:f>
      </x:c>
      <x:c r="F137" s="44" t="str">
        <x:f>'Evaluation Plan'!F137</x:f>
        <x:v>75</x:v>
      </x:c>
      <x:c r="G137" s="43" t="str">
        <x:f>'Evaluation Plan'!G137</x:f>
        <x:v>The state-object concept is explicitly trained, but training does not contain a no-satisfying-target abstention trajectory.</x:v>
      </x:c>
      <x:c r="H137" s="43" t="str">
        <x:f>'Evaluation Plan'!H137</x:f>
        <x:v>NO-OP; no object has state RU, so nothing should be picked up</x:v>
      </x:c>
      <x:c r="I137" s="43" t="str"/>
      <x:c r="J137" s="42" t="str">
        <x:f>'Evaluation Plan'!J137</x:f>
        <x:v>No valid target / no movement</x:v>
      </x:c>
      <x:c r="K137" s="44" t="str">
        <x:f>'Evaluation Plan'!K137</x:f>
        <x:v>SR-NOOP06</x:v>
      </x:c>
      <x:c r="L137" s="44" t="str">
        <x:f>'Evaluation Plan'!L137</x:f>
        <x:v>RU</x:v>
      </x:c>
      <x:c r="M137" s="44" t="str">
        <x:f>'Evaluation Plan'!M137</x:f>
        <x:v>yellow-white striped cup</x:v>
      </x:c>
      <x:c r="N137" s="44" t="n">
        <x:f>'Evaluation Plan'!N137</x:f>
        <x:v>4</x:v>
      </x:c>
      <x:c r="O137" s="44" t="n">
        <x:f>'Evaluation Plan'!O137</x:f>
        <x:v>0</x:v>
      </x:c>
      <x:c r="P137" s="44" t="str">
        <x:f>'Evaluation Plan'!P137</x:f>
        <x:v>Empty</x:v>
      </x:c>
      <x:c r="Q137" s="43" t="str">
        <x:f>'Evaluation Plan'!Q137</x:f>
        <x:v>No satisfying state present; bowl remains empty</x:v>
      </x:c>
      <x:c r="R137" s="44" t="n">
        <x:f>'Evaluation Plan'!R137</x:f>
        <x:v>6</x:v>
      </x:c>
      <x:c r="S137" s="43" t="str">
        <x:f>'Evaluation Plan'!S137</x:f>
        <x:v>Build the listed no-match scene and confirm the bowl is empty.</x:v>
      </x:c>
      <x:c r="T137" s="43" t="str">
        <x:f>'Evaluation Plan'!T137</x:f>
        <x:v>No object in the entire scene has the queried state. The prompt uses the same canonical frame as active trials, and the queried state-object cell is training-supported.</x:v>
      </x:c>
      <x:c r="U137" s="43" t="n">
        <x:f>'Evaluation Plan'!U137</x:f>
        <x:v>0</x:v>
      </x:c>
    </x:row>
    <x:row r="138" ht="51" customHeight="1">
      <x:c r="A138" s="40" t="str">
        <x:v>Not collected</x:v>
      </x:c>
      <x:c r="B138" s="41" t="n">
        <x:f>'Evaluation Plan'!B138</x:f>
        <x:v>136</x:v>
      </x:c>
      <x:c r="C138" s="40" t="str">
        <x:f>'Evaluation Plan'!C138</x:f>
        <x:v>Place the upside-down brown cup in the bowl.</x:v>
      </x:c>
      <x:c r="D138" s="40" t="str">
        <x:f>'Evaluation Plan'!D138</x:f>
        <x:v>brown cup A (O, RU); brown cup B (C, RU)</x:v>
      </x:c>
      <x:c r="E138" s="41" t="str">
        <x:f>'Evaluation Plan'!E138</x:f>
      </x:c>
      <x:c r="F138" s="41" t="str">
        <x:f>'Evaluation Plan'!F138</x:f>
        <x:v>125</x:v>
      </x:c>
      <x:c r="G138" s="40" t="str">
        <x:f>'Evaluation Plan'!G138</x:f>
        <x:v>The state-object concept is explicitly trained, but training does not contain a no-satisfying-target abstention trajectory.</x:v>
      </x:c>
      <x:c r="H138" s="40" t="str">
        <x:f>'Evaluation Plan'!H138</x:f>
        <x:v>NO-OP; no object has state UD, so nothing should be picked up</x:v>
      </x:c>
      <x:c r="I138" s="40" t="str"/>
      <x:c r="J138" s="42" t="str">
        <x:f>'Evaluation Plan'!J138</x:f>
        <x:v>No valid target / no movement</x:v>
      </x:c>
      <x:c r="K138" s="41" t="str">
        <x:f>'Evaluation Plan'!K138</x:f>
        <x:v>SR-NOOP07</x:v>
      </x:c>
      <x:c r="L138" s="41" t="str">
        <x:f>'Evaluation Plan'!L138</x:f>
        <x:v>UD</x:v>
      </x:c>
      <x:c r="M138" s="41" t="str">
        <x:f>'Evaluation Plan'!M138</x:f>
        <x:v>brown cup</x:v>
      </x:c>
      <x:c r="N138" s="41" t="n">
        <x:f>'Evaluation Plan'!N138</x:f>
        <x:v>2</x:v>
      </x:c>
      <x:c r="O138" s="41" t="n">
        <x:f>'Evaluation Plan'!O138</x:f>
        <x:v>0</x:v>
      </x:c>
      <x:c r="P138" s="41" t="str">
        <x:f>'Evaluation Plan'!P138</x:f>
        <x:v>Empty</x:v>
      </x:c>
      <x:c r="Q138" s="40" t="str">
        <x:f>'Evaluation Plan'!Q138</x:f>
        <x:v>No satisfying state present; bowl remains empty</x:v>
      </x:c>
      <x:c r="R138" s="41" t="n">
        <x:f>'Evaluation Plan'!R138</x:f>
        <x:v>6</x:v>
      </x:c>
      <x:c r="S138" s="40" t="str">
        <x:f>'Evaluation Plan'!S138</x:f>
        <x:v>Build the listed no-match scene and confirm the bowl is empty.</x:v>
      </x:c>
      <x:c r="T138" s="40" t="str">
        <x:f>'Evaluation Plan'!T138</x:f>
        <x:v>No object in the entire scene has the queried state. The prompt uses the same canonical frame as active trials, and the queried state-object cell is training-supported.</x:v>
      </x:c>
      <x:c r="U138" s="40" t="n">
        <x:f>'Evaluation Plan'!U138</x:f>
        <x:v>0</x:v>
      </x:c>
    </x:row>
    <x:row r="139" ht="51" customHeight="1">
      <x:c r="A139" s="43" t="str">
        <x:v>Not collected</x:v>
      </x:c>
      <x:c r="B139" s="44" t="n">
        <x:f>'Evaluation Plan'!B139</x:f>
        <x:v>137</x:v>
      </x:c>
      <x:c r="C139" s="43" t="str">
        <x:f>'Evaluation Plan'!C139</x:f>
        <x:v>Place the open glass spice container in the bowl.</x:v>
      </x:c>
      <x:c r="D139" s="43" t="str">
        <x:f>'Evaluation Plan'!D139</x:f>
        <x:v>glass spice container A (C, UD); glass spice container B (C, RU); brown cup A (C, RU)</x:v>
      </x:c>
      <x:c r="E139" s="44" t="str">
        <x:f>'Evaluation Plan'!E139</x:f>
      </x:c>
      <x:c r="F139" s="44" t="str">
        <x:f>'Evaluation Plan'!F139</x:f>
        <x:v>150</x:v>
      </x:c>
      <x:c r="G139" s="43" t="str">
        <x:f>'Evaluation Plan'!G139</x:f>
        <x:v>The state-object concept is explicitly trained, but training does not contain a no-satisfying-target abstention trajectory.</x:v>
      </x:c>
      <x:c r="H139" s="43" t="str">
        <x:f>'Evaluation Plan'!H139</x:f>
        <x:v>NO-OP; no object has state O, so nothing should be picked up</x:v>
      </x:c>
      <x:c r="I139" s="43" t="str"/>
      <x:c r="J139" s="42" t="str">
        <x:f>'Evaluation Plan'!J139</x:f>
        <x:v>No valid target / no movement</x:v>
      </x:c>
      <x:c r="K139" s="44" t="str">
        <x:f>'Evaluation Plan'!K139</x:f>
        <x:v>SR-NOOP08</x:v>
      </x:c>
      <x:c r="L139" s="44" t="str">
        <x:f>'Evaluation Plan'!L139</x:f>
        <x:v>O</x:v>
      </x:c>
      <x:c r="M139" s="44" t="str">
        <x:f>'Evaluation Plan'!M139</x:f>
        <x:v>glass spice container</x:v>
      </x:c>
      <x:c r="N139" s="44" t="n">
        <x:f>'Evaluation Plan'!N139</x:f>
        <x:v>3</x:v>
      </x:c>
      <x:c r="O139" s="44" t="n">
        <x:f>'Evaluation Plan'!O139</x:f>
        <x:v>0</x:v>
      </x:c>
      <x:c r="P139" s="44" t="str">
        <x:f>'Evaluation Plan'!P139</x:f>
        <x:v>Empty</x:v>
      </x:c>
      <x:c r="Q139" s="43" t="str">
        <x:f>'Evaluation Plan'!Q139</x:f>
        <x:v>No satisfying state present; bowl remains empty</x:v>
      </x:c>
      <x:c r="R139" s="44" t="n">
        <x:f>'Evaluation Plan'!R139</x:f>
        <x:v>6</x:v>
      </x:c>
      <x:c r="S139" s="43" t="str">
        <x:f>'Evaluation Plan'!S139</x:f>
        <x:v>Build the listed no-match scene and confirm the bowl is empty.</x:v>
      </x:c>
      <x:c r="T139" s="43" t="str">
        <x:f>'Evaluation Plan'!T139</x:f>
        <x:v>No object in the entire scene has the queried state. The prompt uses the same canonical frame as active trials, and the queried state-object cell is training-supported.</x:v>
      </x:c>
      <x:c r="U139" s="43" t="n">
        <x:f>'Evaluation Plan'!U139</x:f>
        <x:v>0</x:v>
      </x:c>
    </x:row>
    <x:row r="140" ht="51" customHeight="1">
      <x:c r="A140" s="40" t="str">
        <x:v>Not collected</x:v>
      </x:c>
      <x:c r="B140" s="41" t="n">
        <x:f>'Evaluation Plan'!B140</x:f>
        <x:v>138</x:v>
      </x:c>
      <x:c r="C140" s="40" t="str">
        <x:f>'Evaluation Plan'!C140</x:f>
        <x:v>Place the upright white cup in the bowl.</x:v>
      </x:c>
      <x:c r="D140" s="40" t="str">
        <x:f>'Evaluation Plan'!D140</x:f>
        <x:v>white cup A (C, UD); white cup B (O, UD); brown cup A (C, UD); glass spice container B (O, UD)</x:v>
      </x:c>
      <x:c r="E140" s="41" t="str">
        <x:f>'Evaluation Plan'!E140</x:f>
      </x:c>
      <x:c r="F140" s="41" t="str">
        <x:f>'Evaluation Plan'!F140</x:f>
        <x:v>26</x:v>
      </x:c>
      <x:c r="G140" s="40" t="str">
        <x:f>'Evaluation Plan'!G140</x:f>
        <x:v>The state-object concept is explicitly trained, but training does not contain a no-satisfying-target abstention trajectory.</x:v>
      </x:c>
      <x:c r="H140" s="40" t="str">
        <x:f>'Evaluation Plan'!H140</x:f>
        <x:v>NO-OP; no object has state RU, so nothing should be picked up</x:v>
      </x:c>
      <x:c r="I140" s="40" t="str"/>
      <x:c r="J140" s="42" t="str">
        <x:f>'Evaluation Plan'!J140</x:f>
        <x:v>No valid target / no movement</x:v>
      </x:c>
      <x:c r="K140" s="41" t="str">
        <x:f>'Evaluation Plan'!K140</x:f>
        <x:v>SR-NOOP09</x:v>
      </x:c>
      <x:c r="L140" s="41" t="str">
        <x:f>'Evaluation Plan'!L140</x:f>
        <x:v>RU</x:v>
      </x:c>
      <x:c r="M140" s="41" t="str">
        <x:f>'Evaluation Plan'!M140</x:f>
        <x:v>white cup</x:v>
      </x:c>
      <x:c r="N140" s="41" t="n">
        <x:f>'Evaluation Plan'!N140</x:f>
        <x:v>4</x:v>
      </x:c>
      <x:c r="O140" s="41" t="n">
        <x:f>'Evaluation Plan'!O140</x:f>
        <x:v>0</x:v>
      </x:c>
      <x:c r="P140" s="41" t="str">
        <x:f>'Evaluation Plan'!P140</x:f>
        <x:v>Empty</x:v>
      </x:c>
      <x:c r="Q140" s="40" t="str">
        <x:f>'Evaluation Plan'!Q140</x:f>
        <x:v>No satisfying state present; bowl remains empty</x:v>
      </x:c>
      <x:c r="R140" s="41" t="n">
        <x:f>'Evaluation Plan'!R140</x:f>
        <x:v>6</x:v>
      </x:c>
      <x:c r="S140" s="40" t="str">
        <x:f>'Evaluation Plan'!S140</x:f>
        <x:v>Build the listed no-match scene and confirm the bowl is empty.</x:v>
      </x:c>
      <x:c r="T140" s="40" t="str">
        <x:f>'Evaluation Plan'!T140</x:f>
        <x:v>No object in the entire scene has the queried state. The prompt uses the same canonical frame as active trials, and the queried state-object cell is training-supported.</x:v>
      </x:c>
      <x:c r="U140" s="40" t="n">
        <x:f>'Evaluation Plan'!U140</x:f>
        <x:v>0</x:v>
      </x:c>
    </x:row>
    <x:row r="141" ht="51" customHeight="1">
      <x:c r="A141" s="43" t="str">
        <x:v>Not collected</x:v>
      </x:c>
      <x:c r="B141" s="44" t="n">
        <x:f>'Evaluation Plan'!B141</x:f>
        <x:v>139</x:v>
      </x:c>
      <x:c r="C141" s="43" t="str">
        <x:f>'Evaluation Plan'!C141</x:f>
        <x:v>Place the closed yellow-white striped cup in the bowl.</x:v>
      </x:c>
      <x:c r="D141" s="43" t="str">
        <x:f>'Evaluation Plan'!D141</x:f>
        <x:v>yellow-white striped cup A (O, RU); yellow-white striped cup B (O, UD)</x:v>
      </x:c>
      <x:c r="E141" s="44" t="str">
        <x:f>'Evaluation Plan'!E141</x:f>
      </x:c>
      <x:c r="F141" s="44" t="str">
        <x:f>'Evaluation Plan'!F141</x:f>
        <x:v>51</x:v>
      </x:c>
      <x:c r="G141" s="43" t="str">
        <x:f>'Evaluation Plan'!G141</x:f>
        <x:v>The state-object concept is explicitly trained, but training does not contain a no-satisfying-target abstention trajectory.</x:v>
      </x:c>
      <x:c r="H141" s="43" t="str">
        <x:f>'Evaluation Plan'!H141</x:f>
        <x:v>NO-OP; no object has state C, so nothing should be picked up</x:v>
      </x:c>
      <x:c r="I141" s="43" t="str"/>
      <x:c r="J141" s="42" t="str">
        <x:f>'Evaluation Plan'!J141</x:f>
        <x:v>No valid target / no movement</x:v>
      </x:c>
      <x:c r="K141" s="44" t="str">
        <x:f>'Evaluation Plan'!K141</x:f>
        <x:v>SR-NOOP10</x:v>
      </x:c>
      <x:c r="L141" s="44" t="str">
        <x:f>'Evaluation Plan'!L141</x:f>
        <x:v>C</x:v>
      </x:c>
      <x:c r="M141" s="44" t="str">
        <x:f>'Evaluation Plan'!M141</x:f>
        <x:v>yellow-white striped cup</x:v>
      </x:c>
      <x:c r="N141" s="44" t="n">
        <x:f>'Evaluation Plan'!N141</x:f>
        <x:v>2</x:v>
      </x:c>
      <x:c r="O141" s="44" t="n">
        <x:f>'Evaluation Plan'!O141</x:f>
        <x:v>0</x:v>
      </x:c>
      <x:c r="P141" s="44" t="str">
        <x:f>'Evaluation Plan'!P141</x:f>
        <x:v>Empty</x:v>
      </x:c>
      <x:c r="Q141" s="43" t="str">
        <x:f>'Evaluation Plan'!Q141</x:f>
        <x:v>No satisfying state present; bowl remains empty</x:v>
      </x:c>
      <x:c r="R141" s="44" t="n">
        <x:f>'Evaluation Plan'!R141</x:f>
        <x:v>6</x:v>
      </x:c>
      <x:c r="S141" s="43" t="str">
        <x:f>'Evaluation Plan'!S141</x:f>
        <x:v>Build the listed no-match scene and confirm the bowl is empty.</x:v>
      </x:c>
      <x:c r="T141" s="43" t="str">
        <x:f>'Evaluation Plan'!T141</x:f>
        <x:v>No object in the entire scene has the queried state. The prompt uses the same canonical frame as active trials, and the queried state-object cell is training-supported.</x:v>
      </x:c>
      <x:c r="U141" s="43" t="n">
        <x:f>'Evaluation Plan'!U141</x:f>
        <x:v>0</x:v>
      </x:c>
    </x:row>
    <x:row r="142" ht="51" customHeight="1">
      <x:c r="A142" s="40" t="str">
        <x:v>Not collected</x:v>
      </x:c>
      <x:c r="B142" s="41" t="n">
        <x:f>'Evaluation Plan'!B142</x:f>
        <x:v>140</x:v>
      </x:c>
      <x:c r="C142" s="40" t="str">
        <x:f>'Evaluation Plan'!C142</x:f>
        <x:v>Place the upright brown cup in the bowl.</x:v>
      </x:c>
      <x:c r="D142" s="40" t="str">
        <x:f>'Evaluation Plan'!D142</x:f>
        <x:v>brown cup A (C, UD); brown cup B (O, UD); white cup A (C, UD)</x:v>
      </x:c>
      <x:c r="E142" s="41" t="str">
        <x:f>'Evaluation Plan'!E142</x:f>
      </x:c>
      <x:c r="F142" s="41" t="str">
        <x:f>'Evaluation Plan'!F142</x:f>
        <x:v>128</x:v>
      </x:c>
      <x:c r="G142" s="40" t="str">
        <x:f>'Evaluation Plan'!G142</x:f>
        <x:v>The state-object concept is explicitly trained, but training does not contain a no-satisfying-target abstention trajectory.</x:v>
      </x:c>
      <x:c r="H142" s="40" t="str">
        <x:f>'Evaluation Plan'!H142</x:f>
        <x:v>NO-OP; no object has state RU, so nothing should be picked up</x:v>
      </x:c>
      <x:c r="I142" s="40" t="str"/>
      <x:c r="J142" s="42" t="str">
        <x:f>'Evaluation Plan'!J142</x:f>
        <x:v>No valid target / no movement</x:v>
      </x:c>
      <x:c r="K142" s="41" t="str">
        <x:f>'Evaluation Plan'!K142</x:f>
        <x:v>SR-NOOP11</x:v>
      </x:c>
      <x:c r="L142" s="41" t="str">
        <x:f>'Evaluation Plan'!L142</x:f>
        <x:v>RU</x:v>
      </x:c>
      <x:c r="M142" s="41" t="str">
        <x:f>'Evaluation Plan'!M142</x:f>
        <x:v>brown cup</x:v>
      </x:c>
      <x:c r="N142" s="41" t="n">
        <x:f>'Evaluation Plan'!N142</x:f>
        <x:v>3</x:v>
      </x:c>
      <x:c r="O142" s="41" t="n">
        <x:f>'Evaluation Plan'!O142</x:f>
        <x:v>0</x:v>
      </x:c>
      <x:c r="P142" s="41" t="str">
        <x:f>'Evaluation Plan'!P142</x:f>
        <x:v>Empty</x:v>
      </x:c>
      <x:c r="Q142" s="40" t="str">
        <x:f>'Evaluation Plan'!Q142</x:f>
        <x:v>No satisfying state present; bowl remains empty</x:v>
      </x:c>
      <x:c r="R142" s="41" t="n">
        <x:f>'Evaluation Plan'!R142</x:f>
        <x:v>6</x:v>
      </x:c>
      <x:c r="S142" s="40" t="str">
        <x:f>'Evaluation Plan'!S142</x:f>
        <x:v>Build the listed no-match scene and confirm the bowl is empty.</x:v>
      </x:c>
      <x:c r="T142" s="40" t="str">
        <x:f>'Evaluation Plan'!T142</x:f>
        <x:v>No object in the entire scene has the queried state. The prompt uses the same canonical frame as active trials, and the queried state-object cell is training-supported.</x:v>
      </x:c>
      <x:c r="U142" s="40" t="n">
        <x:f>'Evaluation Plan'!U142</x:f>
        <x:v>0</x:v>
      </x:c>
    </x:row>
    <x:row r="143" ht="51" customHeight="1">
      <x:c r="A143" s="43" t="str">
        <x:v>Not collected</x:v>
      </x:c>
      <x:c r="B143" s="44" t="n">
        <x:f>'Evaluation Plan'!B143</x:f>
        <x:v>141</x:v>
      </x:c>
      <x:c r="C143" s="43" t="str">
        <x:f>'Evaluation Plan'!C143</x:f>
        <x:v>Place the upside-down glass spice container in the bowl.</x:v>
      </x:c>
      <x:c r="D143" s="43" t="str">
        <x:f>'Evaluation Plan'!D143</x:f>
        <x:v>glass spice container A (C, RU); glass spice container B (O, RU); yellow-white striped cup B (O, RU); brown cup A (C, RU)</x:v>
      </x:c>
      <x:c r="E143" s="44" t="str">
        <x:f>'Evaluation Plan'!E143</x:f>
      </x:c>
      <x:c r="F143" s="44" t="str">
        <x:f>'Evaluation Plan'!F143</x:f>
        <x:v>176</x:v>
      </x:c>
      <x:c r="G143" s="43" t="str">
        <x:f>'Evaluation Plan'!G143</x:f>
        <x:v>The state-object concept is explicitly trained, but training does not contain a no-satisfying-target abstention trajectory.</x:v>
      </x:c>
      <x:c r="H143" s="43" t="str">
        <x:f>'Evaluation Plan'!H143</x:f>
        <x:v>NO-OP; no object has state UD, so nothing should be picked up</x:v>
      </x:c>
      <x:c r="I143" s="43" t="str"/>
      <x:c r="J143" s="42" t="str">
        <x:f>'Evaluation Plan'!J143</x:f>
        <x:v>No valid target / no movement</x:v>
      </x:c>
      <x:c r="K143" s="44" t="str">
        <x:f>'Evaluation Plan'!K143</x:f>
        <x:v>SR-NOOP12</x:v>
      </x:c>
      <x:c r="L143" s="44" t="str">
        <x:f>'Evaluation Plan'!L143</x:f>
        <x:v>UD</x:v>
      </x:c>
      <x:c r="M143" s="44" t="str">
        <x:f>'Evaluation Plan'!M143</x:f>
        <x:v>glass spice container</x:v>
      </x:c>
      <x:c r="N143" s="44" t="n">
        <x:f>'Evaluation Plan'!N143</x:f>
        <x:v>4</x:v>
      </x:c>
      <x:c r="O143" s="44" t="n">
        <x:f>'Evaluation Plan'!O143</x:f>
        <x:v>0</x:v>
      </x:c>
      <x:c r="P143" s="44" t="str">
        <x:f>'Evaluation Plan'!P143</x:f>
        <x:v>Empty</x:v>
      </x:c>
      <x:c r="Q143" s="43" t="str">
        <x:f>'Evaluation Plan'!Q143</x:f>
        <x:v>No satisfying state present; bowl remains empty</x:v>
      </x:c>
      <x:c r="R143" s="44" t="n">
        <x:f>'Evaluation Plan'!R143</x:f>
        <x:v>6</x:v>
      </x:c>
      <x:c r="S143" s="43" t="str">
        <x:f>'Evaluation Plan'!S143</x:f>
        <x:v>Build the listed no-match scene and confirm the bowl is empty.</x:v>
      </x:c>
      <x:c r="T143" s="43" t="str">
        <x:f>'Evaluation Plan'!T143</x:f>
        <x:v>No object in the entire scene has the queried state. The prompt uses the same canonical frame as active trials, and the queried state-object cell is training-supported.</x:v>
      </x:c>
      <x:c r="U143" s="43" t="n">
        <x:f>'Evaluation Plan'!U143</x:f>
        <x:v>0</x:v>
      </x:c>
    </x:row>
    <x:row r="144" ht="51" customHeight="1">
      <x:c r="A144" s="40" t="str">
        <x:v>Not collected</x:v>
      </x:c>
      <x:c r="B144" s="41" t="n">
        <x:f>'Evaluation Plan'!B144</x:f>
        <x:v>142</x:v>
      </x:c>
      <x:c r="C144" s="40" t="str">
        <x:f>'Evaluation Plan'!C144</x:f>
        <x:v>Place the closed white cup in the bowl.</x:v>
      </x:c>
      <x:c r="D144" s="40" t="str">
        <x:f>'Evaluation Plan'!D144</x:f>
        <x:v>white cup A (O, UD); white cup B (O, RU)</x:v>
      </x:c>
      <x:c r="E144" s="41" t="str">
        <x:f>'Evaluation Plan'!E144</x:f>
      </x:c>
      <x:c r="F144" s="41" t="str">
        <x:f>'Evaluation Plan'!F144</x:f>
        <x:v>3</x:v>
      </x:c>
      <x:c r="G144" s="40" t="str">
        <x:f>'Evaluation Plan'!G144</x:f>
        <x:v>The state-object concept is explicitly trained, but training does not contain a no-satisfying-target abstention trajectory.</x:v>
      </x:c>
      <x:c r="H144" s="40" t="str">
        <x:f>'Evaluation Plan'!H144</x:f>
        <x:v>NO-OP; no object has state C, so nothing should be picked up</x:v>
      </x:c>
      <x:c r="I144" s="40" t="str"/>
      <x:c r="J144" s="42" t="str">
        <x:f>'Evaluation Plan'!J144</x:f>
        <x:v>No valid target / no movement</x:v>
      </x:c>
      <x:c r="K144" s="41" t="str">
        <x:f>'Evaluation Plan'!K144</x:f>
        <x:v>SR-NOOP13</x:v>
      </x:c>
      <x:c r="L144" s="41" t="str">
        <x:f>'Evaluation Plan'!L144</x:f>
        <x:v>C</x:v>
      </x:c>
      <x:c r="M144" s="41" t="str">
        <x:f>'Evaluation Plan'!M144</x:f>
        <x:v>white cup</x:v>
      </x:c>
      <x:c r="N144" s="41" t="n">
        <x:f>'Evaluation Plan'!N144</x:f>
        <x:v>2</x:v>
      </x:c>
      <x:c r="O144" s="41" t="n">
        <x:f>'Evaluation Plan'!O144</x:f>
        <x:v>0</x:v>
      </x:c>
      <x:c r="P144" s="41" t="str">
        <x:f>'Evaluation Plan'!P144</x:f>
        <x:v>Empty</x:v>
      </x:c>
      <x:c r="Q144" s="40" t="str">
        <x:f>'Evaluation Plan'!Q144</x:f>
        <x:v>No satisfying state present; bowl remains empty</x:v>
      </x:c>
      <x:c r="R144" s="41" t="n">
        <x:f>'Evaluation Plan'!R144</x:f>
        <x:v>6</x:v>
      </x:c>
      <x:c r="S144" s="40" t="str">
        <x:f>'Evaluation Plan'!S144</x:f>
        <x:v>Build the listed no-match scene and confirm the bowl is empty.</x:v>
      </x:c>
      <x:c r="T144" s="40" t="str">
        <x:f>'Evaluation Plan'!T144</x:f>
        <x:v>No object in the entire scene has the queried state. The prompt uses the same canonical frame as active trials, and the queried state-object cell is training-supported.</x:v>
      </x:c>
      <x:c r="U144" s="40" t="n">
        <x:f>'Evaluation Plan'!U144</x:f>
        <x:v>0</x:v>
      </x:c>
    </x:row>
    <x:row r="145" ht="51" customHeight="1">
      <x:c r="A145" s="43" t="str">
        <x:v>Not collected</x:v>
      </x:c>
      <x:c r="B145" s="44" t="n">
        <x:f>'Evaluation Plan'!B145</x:f>
        <x:v>143</x:v>
      </x:c>
      <x:c r="C145" s="43" t="str">
        <x:f>'Evaluation Plan'!C145</x:f>
        <x:v>Place the upside-down yellow-white striped cup in the bowl.</x:v>
      </x:c>
      <x:c r="D145" s="43" t="str">
        <x:f>'Evaluation Plan'!D145</x:f>
        <x:v>yellow-white striped cup A (O, RU); yellow-white striped cup B (C, RU); brown cup A (C, RU)</x:v>
      </x:c>
      <x:c r="E145" s="44" t="str">
        <x:f>'Evaluation Plan'!E145</x:f>
      </x:c>
      <x:c r="F145" s="44" t="str">
        <x:f>'Evaluation Plan'!F145</x:f>
        <x:v>83</x:v>
      </x:c>
      <x:c r="G145" s="43" t="str">
        <x:f>'Evaluation Plan'!G145</x:f>
        <x:v>The state-object concept is explicitly trained, but training does not contain a no-satisfying-target abstention trajectory.</x:v>
      </x:c>
      <x:c r="H145" s="43" t="str">
        <x:f>'Evaluation Plan'!H145</x:f>
        <x:v>NO-OP; no object has state UD, so nothing should be picked up</x:v>
      </x:c>
      <x:c r="I145" s="43" t="str"/>
      <x:c r="J145" s="42" t="str">
        <x:f>'Evaluation Plan'!J145</x:f>
        <x:v>No valid target / no movement</x:v>
      </x:c>
      <x:c r="K145" s="44" t="str">
        <x:f>'Evaluation Plan'!K145</x:f>
        <x:v>SR-NOOP14</x:v>
      </x:c>
      <x:c r="L145" s="44" t="str">
        <x:f>'Evaluation Plan'!L145</x:f>
        <x:v>UD</x:v>
      </x:c>
      <x:c r="M145" s="44" t="str">
        <x:f>'Evaluation Plan'!M145</x:f>
        <x:v>yellow-white striped cup</x:v>
      </x:c>
      <x:c r="N145" s="44" t="n">
        <x:f>'Evaluation Plan'!N145</x:f>
        <x:v>3</x:v>
      </x:c>
      <x:c r="O145" s="44" t="n">
        <x:f>'Evaluation Plan'!O145</x:f>
        <x:v>0</x:v>
      </x:c>
      <x:c r="P145" s="44" t="str">
        <x:f>'Evaluation Plan'!P145</x:f>
        <x:v>Empty</x:v>
      </x:c>
      <x:c r="Q145" s="43" t="str">
        <x:f>'Evaluation Plan'!Q145</x:f>
        <x:v>No satisfying state present; bowl remains empty</x:v>
      </x:c>
      <x:c r="R145" s="44" t="n">
        <x:f>'Evaluation Plan'!R145</x:f>
        <x:v>6</x:v>
      </x:c>
      <x:c r="S145" s="43" t="str">
        <x:f>'Evaluation Plan'!S145</x:f>
        <x:v>Build the listed no-match scene and confirm the bowl is empty.</x:v>
      </x:c>
      <x:c r="T145" s="43" t="str">
        <x:f>'Evaluation Plan'!T145</x:f>
        <x:v>No object in the entire scene has the queried state. The prompt uses the same canonical frame as active trials, and the queried state-object cell is training-supported.</x:v>
      </x:c>
      <x:c r="U145" s="43" t="n">
        <x:f>'Evaluation Plan'!U145</x:f>
        <x:v>0</x:v>
      </x:c>
    </x:row>
    <x:row r="146" ht="51" customHeight="1">
      <x:c r="A146" s="40" t="str">
        <x:v>Not collected</x:v>
      </x:c>
      <x:c r="B146" s="41" t="n">
        <x:f>'Evaluation Plan'!B146</x:f>
        <x:v>144</x:v>
      </x:c>
      <x:c r="C146" s="40" t="str">
        <x:f>'Evaluation Plan'!C146</x:f>
        <x:v>Place the upside-down brown cup in the bowl.</x:v>
      </x:c>
      <x:c r="D146" s="40" t="str">
        <x:f>'Evaluation Plan'!D146</x:f>
        <x:v>brown cup A (O, RU); brown cup B (C, RU); glass spice container B (O, RU); white cup A (C, RU)</x:v>
      </x:c>
      <x:c r="E146" s="41" t="str">
        <x:f>'Evaluation Plan'!E146</x:f>
      </x:c>
      <x:c r="F146" s="41" t="str">
        <x:f>'Evaluation Plan'!F146</x:f>
        <x:v>127</x:v>
      </x:c>
      <x:c r="G146" s="40" t="str">
        <x:f>'Evaluation Plan'!G146</x:f>
        <x:v>The state-object concept is explicitly trained, but training does not contain a no-satisfying-target abstention trajectory.</x:v>
      </x:c>
      <x:c r="H146" s="40" t="str">
        <x:f>'Evaluation Plan'!H146</x:f>
        <x:v>NO-OP; no object has state UD, so nothing should be picked up</x:v>
      </x:c>
      <x:c r="I146" s="40" t="str"/>
      <x:c r="J146" s="42" t="str">
        <x:f>'Evaluation Plan'!J146</x:f>
        <x:v>No valid target / no movement</x:v>
      </x:c>
      <x:c r="K146" s="41" t="str">
        <x:f>'Evaluation Plan'!K146</x:f>
        <x:v>SR-NOOP15</x:v>
      </x:c>
      <x:c r="L146" s="41" t="str">
        <x:f>'Evaluation Plan'!L146</x:f>
        <x:v>UD</x:v>
      </x:c>
      <x:c r="M146" s="41" t="str">
        <x:f>'Evaluation Plan'!M146</x:f>
        <x:v>brown cup</x:v>
      </x:c>
      <x:c r="N146" s="41" t="n">
        <x:f>'Evaluation Plan'!N146</x:f>
        <x:v>4</x:v>
      </x:c>
      <x:c r="O146" s="41" t="n">
        <x:f>'Evaluation Plan'!O146</x:f>
        <x:v>0</x:v>
      </x:c>
      <x:c r="P146" s="41" t="str">
        <x:f>'Evaluation Plan'!P146</x:f>
        <x:v>Empty</x:v>
      </x:c>
      <x:c r="Q146" s="40" t="str">
        <x:f>'Evaluation Plan'!Q146</x:f>
        <x:v>No satisfying state present; bowl remains empty</x:v>
      </x:c>
      <x:c r="R146" s="41" t="n">
        <x:f>'Evaluation Plan'!R146</x:f>
        <x:v>6</x:v>
      </x:c>
      <x:c r="S146" s="40" t="str">
        <x:f>'Evaluation Plan'!S146</x:f>
        <x:v>Build the listed no-match scene and confirm the bowl is empty.</x:v>
      </x:c>
      <x:c r="T146" s="40" t="str">
        <x:f>'Evaluation Plan'!T146</x:f>
        <x:v>No object in the entire scene has the queried state. The prompt uses the same canonical frame as active trials, and the queried state-object cell is training-supported.</x:v>
      </x:c>
      <x:c r="U146" s="40" t="n">
        <x:f>'Evaluation Plan'!U146</x:f>
        <x:v>0</x:v>
      </x:c>
    </x:row>
    <x:row r="147" ht="51" customHeight="1">
      <x:c r="A147" s="43" t="str">
        <x:v>Not collected</x:v>
      </x:c>
      <x:c r="B147" s="44" t="n">
        <x:f>'Evaluation Plan'!B147</x:f>
        <x:v>145</x:v>
      </x:c>
      <x:c r="C147" s="43" t="str">
        <x:f>'Evaluation Plan'!C147</x:f>
        <x:v>Place the closed glass spice container in the bowl.</x:v>
      </x:c>
      <x:c r="D147" s="43" t="str">
        <x:f>'Evaluation Plan'!D147</x:f>
        <x:v>glass spice container A (O, UD); glass spice container B (O, RU)</x:v>
      </x:c>
      <x:c r="E147" s="44" t="str">
        <x:f>'Evaluation Plan'!E147</x:f>
      </x:c>
      <x:c r="F147" s="44" t="str">
        <x:f>'Evaluation Plan'!F147</x:f>
        <x:v>152</x:v>
      </x:c>
      <x:c r="G147" s="43" t="str">
        <x:f>'Evaluation Plan'!G147</x:f>
        <x:v>The state-object concept is explicitly trained, but training does not contain a no-satisfying-target abstention trajectory.</x:v>
      </x:c>
      <x:c r="H147" s="43" t="str">
        <x:f>'Evaluation Plan'!H147</x:f>
        <x:v>NO-OP; no object has state C, so nothing should be picked up</x:v>
      </x:c>
      <x:c r="I147" s="43" t="str"/>
      <x:c r="J147" s="42" t="str">
        <x:f>'Evaluation Plan'!J147</x:f>
        <x:v>No valid target / no movement</x:v>
      </x:c>
      <x:c r="K147" s="44" t="str">
        <x:f>'Evaluation Plan'!K147</x:f>
        <x:v>SR-NOOP16</x:v>
      </x:c>
      <x:c r="L147" s="44" t="str">
        <x:f>'Evaluation Plan'!L147</x:f>
        <x:v>C</x:v>
      </x:c>
      <x:c r="M147" s="44" t="str">
        <x:f>'Evaluation Plan'!M147</x:f>
        <x:v>glass spice container</x:v>
      </x:c>
      <x:c r="N147" s="44" t="n">
        <x:f>'Evaluation Plan'!N147</x:f>
        <x:v>2</x:v>
      </x:c>
      <x:c r="O147" s="44" t="n">
        <x:f>'Evaluation Plan'!O147</x:f>
        <x:v>0</x:v>
      </x:c>
      <x:c r="P147" s="44" t="str">
        <x:f>'Evaluation Plan'!P147</x:f>
        <x:v>Empty</x:v>
      </x:c>
      <x:c r="Q147" s="43" t="str">
        <x:f>'Evaluation Plan'!Q147</x:f>
        <x:v>No satisfying state present; bowl remains empty</x:v>
      </x:c>
      <x:c r="R147" s="44" t="n">
        <x:f>'Evaluation Plan'!R147</x:f>
        <x:v>6</x:v>
      </x:c>
      <x:c r="S147" s="43" t="str">
        <x:f>'Evaluation Plan'!S147</x:f>
        <x:v>Build the listed no-match scene and confirm the bowl is empty.</x:v>
      </x:c>
      <x:c r="T147" s="43" t="str">
        <x:f>'Evaluation Plan'!T147</x:f>
        <x:v>No object in the entire scene has the queried state. The prompt uses the same canonical frame as active trials, and the queried state-object cell is training-supported.</x:v>
      </x:c>
      <x:c r="U147" s="43" t="n">
        <x:f>'Evaluation Plan'!U147</x:f>
        <x:v>0</x:v>
      </x:c>
    </x:row>
    <x:row r="148" ht="51" customHeight="1">
      <x:c r="A148" s="40" t="str">
        <x:v>Not collected</x:v>
      </x:c>
      <x:c r="B148" s="41" t="n">
        <x:f>'Evaluation Plan'!B148</x:f>
        <x:v>146</x:v>
      </x:c>
      <x:c r="C148" s="40" t="str">
        <x:f>'Evaluation Plan'!C148</x:f>
        <x:v>Place the open white cup in the bowl.</x:v>
      </x:c>
      <x:c r="D148" s="40" t="str">
        <x:f>'Evaluation Plan'!D148</x:f>
        <x:v>white cup A (C, RU); white cup B (C, UD); glass spice container A (C, RU)</x:v>
      </x:c>
      <x:c r="E148" s="41" t="str">
        <x:f>'Evaluation Plan'!E148</x:f>
      </x:c>
      <x:c r="F148" s="41" t="str">
        <x:f>'Evaluation Plan'!F148</x:f>
        <x:v>2</x:v>
      </x:c>
      <x:c r="G148" s="40" t="str">
        <x:f>'Evaluation Plan'!G148</x:f>
        <x:v>The state-object concept is explicitly trained, but training does not contain a no-satisfying-target abstention trajectory.</x:v>
      </x:c>
      <x:c r="H148" s="40" t="str">
        <x:f>'Evaluation Plan'!H148</x:f>
        <x:v>NO-OP; no object has state O, so nothing should be picked up</x:v>
      </x:c>
      <x:c r="I148" s="40" t="str"/>
      <x:c r="J148" s="42" t="str">
        <x:f>'Evaluation Plan'!J148</x:f>
        <x:v>No valid target / no movement</x:v>
      </x:c>
      <x:c r="K148" s="41" t="str">
        <x:f>'Evaluation Plan'!K148</x:f>
        <x:v>SR-NOOP17</x:v>
      </x:c>
      <x:c r="L148" s="41" t="str">
        <x:f>'Evaluation Plan'!L148</x:f>
        <x:v>O</x:v>
      </x:c>
      <x:c r="M148" s="41" t="str">
        <x:f>'Evaluation Plan'!M148</x:f>
        <x:v>white cup</x:v>
      </x:c>
      <x:c r="N148" s="41" t="n">
        <x:f>'Evaluation Plan'!N148</x:f>
        <x:v>3</x:v>
      </x:c>
      <x:c r="O148" s="41" t="n">
        <x:f>'Evaluation Plan'!O148</x:f>
        <x:v>0</x:v>
      </x:c>
      <x:c r="P148" s="41" t="str">
        <x:f>'Evaluation Plan'!P148</x:f>
        <x:v>Empty</x:v>
      </x:c>
      <x:c r="Q148" s="40" t="str">
        <x:f>'Evaluation Plan'!Q148</x:f>
        <x:v>No satisfying state present; bowl remains empty</x:v>
      </x:c>
      <x:c r="R148" s="41" t="n">
        <x:f>'Evaluation Plan'!R148</x:f>
        <x:v>6</x:v>
      </x:c>
      <x:c r="S148" s="40" t="str">
        <x:f>'Evaluation Plan'!S148</x:f>
        <x:v>Build the listed no-match scene and confirm the bowl is empty.</x:v>
      </x:c>
      <x:c r="T148" s="40" t="str">
        <x:f>'Evaluation Plan'!T148</x:f>
        <x:v>No object in the entire scene has the queried state. The prompt uses the same canonical frame as active trials, and the queried state-object cell is training-supported.</x:v>
      </x:c>
      <x:c r="U148" s="40" t="n">
        <x:f>'Evaluation Plan'!U148</x:f>
        <x:v>0</x:v>
      </x:c>
    </x:row>
    <x:row r="149" ht="51" customHeight="1">
      <x:c r="A149" s="43" t="str">
        <x:v>Not collected</x:v>
      </x:c>
      <x:c r="B149" s="44" t="n">
        <x:f>'Evaluation Plan'!B149</x:f>
        <x:v>147</x:v>
      </x:c>
      <x:c r="C149" s="43" t="str">
        <x:f>'Evaluation Plan'!C149</x:f>
        <x:v>Place the upright yellow-white striped cup in the bowl.</x:v>
      </x:c>
      <x:c r="D149" s="43" t="str">
        <x:f>'Evaluation Plan'!D149</x:f>
        <x:v>yellow-white striped cup A (C, UD); yellow-white striped cup B (O, UD); white cup B (O, UD); brown cup A (C, UD)</x:v>
      </x:c>
      <x:c r="E149" s="44" t="str">
        <x:f>'Evaluation Plan'!E149</x:f>
      </x:c>
      <x:c r="F149" s="44" t="str">
        <x:f>'Evaluation Plan'!F149</x:f>
        <x:v>76</x:v>
      </x:c>
      <x:c r="G149" s="43" t="str">
        <x:f>'Evaluation Plan'!G149</x:f>
        <x:v>The state-object concept is explicitly trained, but training does not contain a no-satisfying-target abstention trajectory.</x:v>
      </x:c>
      <x:c r="H149" s="43" t="str">
        <x:f>'Evaluation Plan'!H149</x:f>
        <x:v>NO-OP; no object has state RU, so nothing should be picked up</x:v>
      </x:c>
      <x:c r="I149" s="43" t="str"/>
      <x:c r="J149" s="42" t="str">
        <x:f>'Evaluation Plan'!J149</x:f>
        <x:v>No valid target / no movement</x:v>
      </x:c>
      <x:c r="K149" s="44" t="str">
        <x:f>'Evaluation Plan'!K149</x:f>
        <x:v>SR-NOOP18</x:v>
      </x:c>
      <x:c r="L149" s="44" t="str">
        <x:f>'Evaluation Plan'!L149</x:f>
        <x:v>RU</x:v>
      </x:c>
      <x:c r="M149" s="44" t="str">
        <x:f>'Evaluation Plan'!M149</x:f>
        <x:v>yellow-white striped cup</x:v>
      </x:c>
      <x:c r="N149" s="44" t="n">
        <x:f>'Evaluation Plan'!N149</x:f>
        <x:v>4</x:v>
      </x:c>
      <x:c r="O149" s="44" t="n">
        <x:f>'Evaluation Plan'!O149</x:f>
        <x:v>0</x:v>
      </x:c>
      <x:c r="P149" s="44" t="str">
        <x:f>'Evaluation Plan'!P149</x:f>
        <x:v>Empty</x:v>
      </x:c>
      <x:c r="Q149" s="43" t="str">
        <x:f>'Evaluation Plan'!Q149</x:f>
        <x:v>No satisfying state present; bowl remains empty</x:v>
      </x:c>
      <x:c r="R149" s="44" t="n">
        <x:f>'Evaluation Plan'!R149</x:f>
        <x:v>6</x:v>
      </x:c>
      <x:c r="S149" s="43" t="str">
        <x:f>'Evaluation Plan'!S149</x:f>
        <x:v>Build the listed no-match scene and confirm the bowl is empty.</x:v>
      </x:c>
      <x:c r="T149" s="43" t="str">
        <x:f>'Evaluation Plan'!T149</x:f>
        <x:v>No object in the entire scene has the queried state. The prompt uses the same canonical frame as active trials, and the queried state-object cell is training-supported.</x:v>
      </x:c>
      <x:c r="U149" s="43" t="n">
        <x:f>'Evaluation Plan'!U149</x:f>
        <x:v>0</x:v>
      </x:c>
    </x:row>
    <x:row r="150" ht="51" customHeight="1">
      <x:c r="A150" s="40" t="str">
        <x:v>Not collected</x:v>
      </x:c>
      <x:c r="B150" s="41" t="n">
        <x:f>'Evaluation Plan'!B150</x:f>
        <x:v>148</x:v>
      </x:c>
      <x:c r="C150" s="40" t="str">
        <x:f>'Evaluation Plan'!C150</x:f>
        <x:v>Place the upright brown cup in the bowl.</x:v>
      </x:c>
      <x:c r="D150" s="40" t="str">
        <x:f>'Evaluation Plan'!D150</x:f>
        <x:v>brown cup A (C, UD); brown cup B (O, UD)</x:v>
      </x:c>
      <x:c r="E150" s="41" t="str">
        <x:f>'Evaluation Plan'!E150</x:f>
      </x:c>
      <x:c r="F150" s="41" t="str">
        <x:f>'Evaluation Plan'!F150</x:f>
        <x:v>130</x:v>
      </x:c>
      <x:c r="G150" s="40" t="str">
        <x:f>'Evaluation Plan'!G150</x:f>
        <x:v>The state-object concept is explicitly trained, but training does not contain a no-satisfying-target abstention trajectory.</x:v>
      </x:c>
      <x:c r="H150" s="40" t="str">
        <x:f>'Evaluation Plan'!H150</x:f>
        <x:v>NO-OP; no object has state RU, so nothing should be picked up</x:v>
      </x:c>
      <x:c r="I150" s="40" t="str"/>
      <x:c r="J150" s="42" t="str">
        <x:f>'Evaluation Plan'!J150</x:f>
        <x:v>No valid target / no movement</x:v>
      </x:c>
      <x:c r="K150" s="41" t="str">
        <x:f>'Evaluation Plan'!K150</x:f>
        <x:v>SR-NOOP19</x:v>
      </x:c>
      <x:c r="L150" s="41" t="str">
        <x:f>'Evaluation Plan'!L150</x:f>
        <x:v>RU</x:v>
      </x:c>
      <x:c r="M150" s="41" t="str">
        <x:f>'Evaluation Plan'!M150</x:f>
        <x:v>brown cup</x:v>
      </x:c>
      <x:c r="N150" s="41" t="n">
        <x:f>'Evaluation Plan'!N150</x:f>
        <x:v>2</x:v>
      </x:c>
      <x:c r="O150" s="41" t="n">
        <x:f>'Evaluation Plan'!O150</x:f>
        <x:v>0</x:v>
      </x:c>
      <x:c r="P150" s="41" t="str">
        <x:f>'Evaluation Plan'!P150</x:f>
        <x:v>Empty</x:v>
      </x:c>
      <x:c r="Q150" s="40" t="str">
        <x:f>'Evaluation Plan'!Q150</x:f>
        <x:v>No satisfying state present; bowl remains empty</x:v>
      </x:c>
      <x:c r="R150" s="41" t="n">
        <x:f>'Evaluation Plan'!R150</x:f>
        <x:v>6</x:v>
      </x:c>
      <x:c r="S150" s="40" t="str">
        <x:f>'Evaluation Plan'!S150</x:f>
        <x:v>Build the listed no-match scene and confirm the bowl is empty.</x:v>
      </x:c>
      <x:c r="T150" s="40" t="str">
        <x:f>'Evaluation Plan'!T150</x:f>
        <x:v>No object in the entire scene has the queried state. The prompt uses the same canonical frame as active trials, and the queried state-object cell is training-supported.</x:v>
      </x:c>
      <x:c r="U150" s="40" t="n">
        <x:f>'Evaluation Plan'!U150</x:f>
        <x:v>0</x:v>
      </x:c>
    </x:row>
    <x:row r="151" ht="51" customHeight="1">
      <x:c r="A151" s="43" t="str">
        <x:v>Not collected</x:v>
      </x:c>
      <x:c r="B151" s="44" t="n">
        <x:f>'Evaluation Plan'!B151</x:f>
        <x:v>149</x:v>
      </x:c>
      <x:c r="C151" s="43" t="str">
        <x:f>'Evaluation Plan'!C151</x:f>
        <x:v>Place the open glass spice container in the bowl.</x:v>
      </x:c>
      <x:c r="D151" s="43" t="str">
        <x:f>'Evaluation Plan'!D151</x:f>
        <x:v>glass spice container A (C, RU); glass spice container B (C, UD); brown cup B (C, UD)</x:v>
      </x:c>
      <x:c r="E151" s="44" t="n">
        <x:f>'Evaluation Plan'!E151</x:f>
        <x:v>0</x:v>
      </x:c>
      <x:c r="F151" s="44" t="str">
        <x:f>'Evaluation Plan'!F151</x:f>
        <x:v>154</x:v>
      </x:c>
      <x:c r="G151" s="43" t="str">
        <x:f>'Evaluation Plan'!G151</x:f>
        <x:v>The state-object concept is explicitly trained, but training does not contain a no-satisfying-target abstention trajectory.</x:v>
      </x:c>
      <x:c r="H151" s="43" t="str">
        <x:f>'Evaluation Plan'!H151</x:f>
        <x:v>NO-OP; no object has state O, so nothing should be picked up</x:v>
      </x:c>
      <x:c r="I151" s="43" t="str"/>
      <x:c r="J151" s="42" t="str">
        <x:f>'Evaluation Plan'!J151</x:f>
        <x:v>No valid target / no movement</x:v>
      </x:c>
      <x:c r="K151" s="44" t="str">
        <x:f>'Evaluation Plan'!K151</x:f>
        <x:v>SR-NOOP20</x:v>
      </x:c>
      <x:c r="L151" s="44" t="str">
        <x:f>'Evaluation Plan'!L151</x:f>
        <x:v>O</x:v>
      </x:c>
      <x:c r="M151" s="44" t="str">
        <x:f>'Evaluation Plan'!M151</x:f>
        <x:v>glass spice container</x:v>
      </x:c>
      <x:c r="N151" s="44" t="n">
        <x:f>'Evaluation Plan'!N151</x:f>
        <x:v>3</x:v>
      </x:c>
      <x:c r="O151" s="44" t="n">
        <x:f>'Evaluation Plan'!O151</x:f>
        <x:v>0</x:v>
      </x:c>
      <x:c r="P151" s="44" t="str">
        <x:f>'Evaluation Plan'!P151</x:f>
        <x:v>Empty</x:v>
      </x:c>
      <x:c r="Q151" s="43" t="str">
        <x:f>'Evaluation Plan'!Q151</x:f>
        <x:v>No satisfying state present; bowl remains empty</x:v>
      </x:c>
      <x:c r="R151" s="44" t="n">
        <x:f>'Evaluation Plan'!R151</x:f>
        <x:v>6</x:v>
      </x:c>
      <x:c r="S151" s="43" t="str">
        <x:f>'Evaluation Plan'!S151</x:f>
        <x:v>Build the listed no-match scene and confirm the bowl is empty.</x:v>
      </x:c>
      <x:c r="T151" s="43" t="str">
        <x:f>'Evaluation Plan'!T151</x:f>
        <x:v>No object in the entire scene has the queried state. The prompt uses the same canonical frame as active trials, and the queried state-object cell is training-supported.</x:v>
      </x:c>
      <x:c r="U151" s="43" t="n">
        <x:f>'Evaluation Plan'!U151</x:f>
        <x:v>0</x:v>
      </x:c>
    </x:row>
  </x:sheetData>
  <x:conditionalFormatting sqref="A2:P131">
    <x:cfRule type="expression" dxfId="9" priority="1">
      <x:formula>$A2="Success"</x:formula>
    </x:cfRule>
    <x:cfRule type="expression" dxfId="10" priority="2">
      <x:formula>$A2="Failure"</x:formula>
    </x:cfRule>
  </x:conditionalFormatting>
  <x:conditionalFormatting sqref="H2:H131">
    <x:cfRule type="containsText" dxfId="11" priority="3" operator="containsText" text="Exact-scene opposite-state contrast"/>
  </x:conditionalFormatting>
  <x:conditionalFormatting sqref="A2:U151">
    <x:cfRule type="expression" dxfId="20" priority="4">
      <x:formula>$A2="Success"</x:formula>
    </x:cfRule>
    <x:cfRule type="expression" dxfId="21" priority="5">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0" hidden="0" customWidth="1"/>
    <x:col min="4" max="4" width="48.88999938964844" hidden="0" customWidth="1"/>
    <x:col min="5" max="5" width="9.4399995803833" hidden="0" customWidth="1"/>
    <x:col min="6" max="6" width="12.779999732971191" hidden="0" customWidth="1"/>
    <x:col min="7" max="7" width="40" hidden="0" customWidth="1"/>
    <x:col min="8" max="8" width="25.559999465942383" hidden="0" customWidth="1"/>
    <x:col min="9" max="9" width="28.889999389648438" hidden="0" customWidth="1"/>
    <x:col min="10" max="10" width="23.889999389648438" hidden="0" customWidth="1"/>
    <x:col min="11" max="11" width="10.5600004196167" hidden="0" customWidth="1"/>
    <x:col min="12" max="12" width="8.890000343322754" hidden="0" customWidth="1"/>
    <x:col min="13" max="13" width="20" hidden="0" customWidth="1"/>
    <x:col min="14" max="14" width="8.329999923706055" hidden="0" customWidth="1"/>
    <x:col min="15" max="15" width="10" hidden="0" customWidth="1"/>
    <x:col min="16" max="16" width="8.890000343322754" hidden="0" customWidth="1"/>
    <x:col min="17" max="17" width="30.559999465942383" hidden="0" customWidth="1"/>
    <x:col min="18" max="18" width="9.4399995803833" hidden="0" customWidth="1"/>
    <x:col min="19" max="19" width="27.780000686645508" hidden="0" customWidth="1"/>
    <x:col min="20" max="20" width="36.66999816894531" hidden="0" customWidth="1"/>
    <x:col min="21" max="21" width="20.559999465942383" hidden="0" customWidth="1"/>
  </x:cols>
  <x:sheetData>
    <x:row r="1" ht="30" customHeight="1">
      <x:c r="A1" s="30" t="str">
        <x:v>Status</x:v>
      </x:c>
      <x:c r="B1" s="30" t="str">
        <x:v>Episode</x:v>
      </x:c>
      <x:c r="C1" s="30" t="str">
        <x:v>Prompt</x:v>
      </x:c>
      <x:c r="D1" s="30" t="str">
        <x:v>Objects and States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Queried State</x:v>
      </x:c>
      <x:c r="M1" s="30" t="str">
        <x:v>Queried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0" t="str">
        <x:v>Not collected</x:v>
      </x:c>
      <x:c r="B2" s="41" t="n">
        <x:f>'Evaluation Plan'!B2</x:f>
        <x:v>0</x:v>
      </x:c>
      <x:c r="C2" s="40" t="str">
        <x:f>'Evaluation Plan'!C2</x:f>
        <x:v>Put the open white cup in the bowl.</x:v>
      </x:c>
      <x:c r="D2" s="40" t="str">
        <x:f>'Evaluation Plan'!D2</x:f>
        <x:v>white cup A (O, RU); white cup B (C, RU); glass spice container A (O, RU); yellow-white striped cup B (O, RU)</x:v>
      </x:c>
      <x:c r="E2" s="41" t="str">
        <x:f>'Evaluation Plan'!E2</x:f>
      </x:c>
      <x:c r="F2" s="41" t="str">
        <x:f>'Evaluation Plan'!F2</x:f>
        <x:v>2</x:v>
      </x:c>
      <x:c r="G2" s="40" t="str">
        <x:f>'Evaluation Plan'!G2</x:f>
        <x:v>Exact manifest episode: trained state-object cell, prompt, same-category candidate structure, and object membership match; physical layout is manually recreated.</x:v>
      </x:c>
      <x:c r="H2" s="40" t="str">
        <x:f>'Evaluation Plan'!H2</x:f>
        <x:v>white cup A</x:v>
      </x:c>
      <x:c r="I2" s="40" t="str"/>
      <x:c r="J2" s="42" t="str">
        <x:f>'Evaluation Plan'!J2</x:f>
        <x:v>In-distribution concept baseline</x:v>
      </x:c>
      <x:c r="K2" s="41" t="str">
        <x:f>'Evaluation Plan'!K2</x:f>
        <x:v>SR-ID01</x:v>
      </x:c>
      <x:c r="L2" s="41" t="str">
        <x:f>'Evaluation Plan'!L2</x:f>
        <x:v>O</x:v>
      </x:c>
      <x:c r="M2" s="41" t="str">
        <x:f>'Evaluation Plan'!M2</x:f>
        <x:v>white cup</x:v>
      </x:c>
      <x:c r="N2" s="41" t="n">
        <x:f>'Evaluation Plan'!N2</x:f>
        <x:v>4</x:v>
      </x:c>
      <x:c r="O2" s="41" t="n">
        <x:f>'Evaluation Plan'!O2</x:f>
        <x:v>1</x:v>
      </x:c>
      <x:c r="P2" s="41" t="str">
        <x:f>'Evaluation Plan'!P2</x:f>
        <x:v>Empty</x:v>
      </x:c>
      <x:c r="Q2" s="40" t="str">
        <x:f>'Evaluation Plan'!Q2</x:f>
        <x:v>Exact training-supported state-object baseline</x:v>
      </x:c>
      <x:c r="R2" s="41" t="n">
        <x:f>'Evaluation Plan'!R2</x:f>
        <x:v>1</x:v>
      </x:c>
      <x:c r="S2" s="40" t="str">
        <x:f>'Evaluation Plan'!S2</x:f>
        <x:v>Recreate the listed manifest scene with the bowl empty.</x:v>
      </x:c>
      <x:c r="T2" s="40" t="str">
        <x:f>'Evaluation Plan'!T2</x:f>
        <x:v>The queried state-object combination and same-category discrimination structure are explicitly represented in training.</x:v>
      </x:c>
      <x:c r="U2" s="40" t="n">
        <x:f>'Evaluation Plan'!U2</x:f>
        <x:v>0</x:v>
      </x:c>
    </x:row>
    <x:row r="3" ht="51" customHeight="1">
      <x:c r="A3" s="43" t="str">
        <x:v>Not collected</x:v>
      </x:c>
      <x:c r="B3" s="44" t="n">
        <x:f>'Evaluation Plan'!B3</x:f>
        <x:v>1</x:v>
      </x:c>
      <x:c r="C3" s="43" t="str">
        <x:f>'Evaluation Plan'!C3</x:f>
        <x:v>Put the upright white cup in the bowl.</x:v>
      </x:c>
      <x:c r="D3" s="43" t="str">
        <x:f>'Evaluation Plan'!D3</x:f>
        <x:v>white cup A (O, RU); white cup B (O, UD)</x:v>
      </x:c>
      <x:c r="E3" s="44" t="str">
        <x:f>'Evaluation Plan'!E3</x:f>
      </x:c>
      <x:c r="F3" s="44" t="str">
        <x:f>'Evaluation Plan'!F3</x:f>
        <x:v>26</x:v>
      </x:c>
      <x:c r="G3" s="43" t="str">
        <x:f>'Evaluation Plan'!G3</x:f>
        <x:v>Exact manifest episode: trained state-object cell, prompt, same-category candidate structure, and object membership match; physical layout is manually recreated.</x:v>
      </x:c>
      <x:c r="H3" s="43" t="str">
        <x:f>'Evaluation Plan'!H3</x:f>
        <x:v>white cup A</x:v>
      </x:c>
      <x:c r="I3" s="43" t="str"/>
      <x:c r="J3" s="42" t="str">
        <x:f>'Evaluation Plan'!J3</x:f>
        <x:v>In-distribution concept baseline</x:v>
      </x:c>
      <x:c r="K3" s="44" t="str">
        <x:f>'Evaluation Plan'!K3</x:f>
        <x:v>SR-ID02</x:v>
      </x:c>
      <x:c r="L3" s="44" t="str">
        <x:f>'Evaluation Plan'!L3</x:f>
        <x:v>RU</x:v>
      </x:c>
      <x:c r="M3" s="44" t="str">
        <x:f>'Evaluation Plan'!M3</x:f>
        <x:v>white cup</x:v>
      </x:c>
      <x:c r="N3" s="44" t="n">
        <x:f>'Evaluation Plan'!N3</x:f>
        <x:v>2</x:v>
      </x:c>
      <x:c r="O3" s="44" t="n">
        <x:f>'Evaluation Plan'!O3</x:f>
        <x:v>1</x:v>
      </x:c>
      <x:c r="P3" s="44" t="str">
        <x:f>'Evaluation Plan'!P3</x:f>
        <x:v>Empty</x:v>
      </x:c>
      <x:c r="Q3" s="43" t="str">
        <x:f>'Evaluation Plan'!Q3</x:f>
        <x:v>Exact training-supported state-object baseline</x:v>
      </x:c>
      <x:c r="R3" s="44" t="n">
        <x:f>'Evaluation Plan'!R3</x:f>
        <x:v>1</x:v>
      </x:c>
      <x:c r="S3" s="43" t="str">
        <x:f>'Evaluation Plan'!S3</x:f>
        <x:v>Recreate the listed manifest scene with the bowl empty.</x:v>
      </x:c>
      <x:c r="T3" s="43" t="str">
        <x:f>'Evaluation Plan'!T3</x:f>
        <x:v>The queried state-object combination and same-category discrimination structure are explicitly represented in training.</x:v>
      </x:c>
      <x:c r="U3" s="43" t="n">
        <x:f>'Evaluation Plan'!U3</x:f>
        <x:v>0</x:v>
      </x:c>
    </x:row>
    <x:row r="4" ht="51" customHeight="1">
      <x:c r="A4" s="40" t="str">
        <x:v>Not collected</x:v>
      </x:c>
      <x:c r="B4" s="41" t="n">
        <x:f>'Evaluation Plan'!B4</x:f>
        <x:v>2</x:v>
      </x:c>
      <x:c r="C4" s="40" t="str">
        <x:f>'Evaluation Plan'!C4</x:f>
        <x:v>Move the closed yellow-white striped cup into the bowl.</x:v>
      </x:c>
      <x:c r="D4" s="40" t="str">
        <x:f>'Evaluation Plan'!D4</x:f>
        <x:v>yellow-white striped cup B (C, RU); yellow-white striped cup A (O, RU); white cup A (C, RU)</x:v>
      </x:c>
      <x:c r="E4" s="41" t="str">
        <x:f>'Evaluation Plan'!E4</x:f>
      </x:c>
      <x:c r="F4" s="41" t="str">
        <x:f>'Evaluation Plan'!F4</x:f>
        <x:v>51</x:v>
      </x:c>
      <x:c r="G4" s="40" t="str">
        <x:f>'Evaluation Plan'!G4</x:f>
        <x:v>Exact manifest episode: trained state-object cell, prompt, same-category candidate structure, and object membership match; physical layout is manually recreated.</x:v>
      </x:c>
      <x:c r="H4" s="40" t="str">
        <x:f>'Evaluation Plan'!H4</x:f>
        <x:v>yellow-white striped cup B</x:v>
      </x:c>
      <x:c r="I4" s="40" t="str"/>
      <x:c r="J4" s="42" t="str">
        <x:f>'Evaluation Plan'!J4</x:f>
        <x:v>In-distribution concept baseline</x:v>
      </x:c>
      <x:c r="K4" s="41" t="str">
        <x:f>'Evaluation Plan'!K4</x:f>
        <x:v>SR-ID03</x:v>
      </x:c>
      <x:c r="L4" s="41" t="str">
        <x:f>'Evaluation Plan'!L4</x:f>
        <x:v>C</x:v>
      </x:c>
      <x:c r="M4" s="41" t="str">
        <x:f>'Evaluation Plan'!M4</x:f>
        <x:v>yellow-white striped cup</x:v>
      </x:c>
      <x:c r="N4" s="41" t="n">
        <x:f>'Evaluation Plan'!N4</x:f>
        <x:v>3</x:v>
      </x:c>
      <x:c r="O4" s="41" t="n">
        <x:f>'Evaluation Plan'!O4</x:f>
        <x:v>1</x:v>
      </x:c>
      <x:c r="P4" s="41" t="str">
        <x:f>'Evaluation Plan'!P4</x:f>
        <x:v>Empty</x:v>
      </x:c>
      <x:c r="Q4" s="40" t="str">
        <x:f>'Evaluation Plan'!Q4</x:f>
        <x:v>Exact training-supported state-object baseline</x:v>
      </x:c>
      <x:c r="R4" s="41" t="n">
        <x:f>'Evaluation Plan'!R4</x:f>
        <x:v>1</x:v>
      </x:c>
      <x:c r="S4" s="40" t="str">
        <x:f>'Evaluation Plan'!S4</x:f>
        <x:v>Recreate the listed manifest scene with the bowl empty.</x:v>
      </x:c>
      <x:c r="T4" s="40" t="str">
        <x:f>'Evaluation Plan'!T4</x:f>
        <x:v>The queried state-object combination and same-category discrimination structure are explicitly represented in training.</x:v>
      </x:c>
      <x:c r="U4" s="40" t="n">
        <x:f>'Evaluation Plan'!U4</x:f>
        <x:v>0</x:v>
      </x:c>
    </x:row>
    <x:row r="5" ht="51" customHeight="1">
      <x:c r="A5" s="43" t="str">
        <x:v>Not collected</x:v>
      </x:c>
      <x:c r="B5" s="44" t="n">
        <x:f>'Evaluation Plan'!B5</x:f>
        <x:v>3</x:v>
      </x:c>
      <x:c r="C5" s="43" t="str">
        <x:f>'Evaluation Plan'!C5</x:f>
        <x:v>Move the upside-down yellow-white striped cup into the bowl.</x:v>
      </x:c>
      <x:c r="D5" s="43" t="str">
        <x:f>'Evaluation Plan'!D5</x:f>
        <x:v>yellow-white striped cup B (O, UD); yellow-white striped cup A (O, RU); brown cup B (C, RU); glass spice container A (O, RU)</x:v>
      </x:c>
      <x:c r="E5" s="44" t="str">
        <x:f>'Evaluation Plan'!E5</x:f>
      </x:c>
      <x:c r="F5" s="44" t="str">
        <x:f>'Evaluation Plan'!F5</x:f>
        <x:v>78</x:v>
      </x:c>
      <x:c r="G5" s="43" t="str">
        <x:f>'Evaluation Plan'!G5</x:f>
        <x:v>Exact manifest episode: trained state-object cell, prompt, same-category candidate structure, and object membership match; physical layout is manually recreated.</x:v>
      </x:c>
      <x:c r="H5" s="43" t="str">
        <x:f>'Evaluation Plan'!H5</x:f>
        <x:v>yellow-white striped cup B</x:v>
      </x:c>
      <x:c r="I5" s="43" t="str"/>
      <x:c r="J5" s="42" t="str">
        <x:f>'Evaluation Plan'!J5</x:f>
        <x:v>In-distribution concept baseline</x:v>
      </x:c>
      <x:c r="K5" s="44" t="str">
        <x:f>'Evaluation Plan'!K5</x:f>
        <x:v>SR-ID04</x:v>
      </x:c>
      <x:c r="L5" s="44" t="str">
        <x:f>'Evaluation Plan'!L5</x:f>
        <x:v>UD</x:v>
      </x:c>
      <x:c r="M5" s="44" t="str">
        <x:f>'Evaluation Plan'!M5</x:f>
        <x:v>yellow-white striped cup</x:v>
      </x:c>
      <x:c r="N5" s="44" t="n">
        <x:f>'Evaluation Plan'!N5</x:f>
        <x:v>4</x:v>
      </x:c>
      <x:c r="O5" s="44" t="n">
        <x:f>'Evaluation Plan'!O5</x:f>
        <x:v>1</x:v>
      </x:c>
      <x:c r="P5" s="44" t="str">
        <x:f>'Evaluation Plan'!P5</x:f>
        <x:v>Empty</x:v>
      </x:c>
      <x:c r="Q5" s="43" t="str">
        <x:f>'Evaluation Plan'!Q5</x:f>
        <x:v>Exact training-supported state-object baseline</x:v>
      </x:c>
      <x:c r="R5" s="44" t="n">
        <x:f>'Evaluation Plan'!R5</x:f>
        <x:v>1</x:v>
      </x:c>
      <x:c r="S5" s="43" t="str">
        <x:f>'Evaluation Plan'!S5</x:f>
        <x:v>Recreate the listed manifest scene with the bowl empty.</x:v>
      </x:c>
      <x:c r="T5" s="43" t="str">
        <x:f>'Evaluation Plan'!T5</x:f>
        <x:v>The queried state-object combination and same-category discrimination structure are explicitly represented in training.</x:v>
      </x:c>
      <x:c r="U5" s="43" t="n">
        <x:f>'Evaluation Plan'!U5</x:f>
        <x:v>0</x:v>
      </x:c>
    </x:row>
    <x:row r="6" ht="51" customHeight="1">
      <x:c r="A6" s="40" t="str">
        <x:v>Not collected</x:v>
      </x:c>
      <x:c r="B6" s="41" t="n">
        <x:f>'Evaluation Plan'!B6</x:f>
        <x:v>4</x:v>
      </x:c>
      <x:c r="C6" s="40" t="str">
        <x:f>'Evaluation Plan'!C6</x:f>
        <x:v>Put the open brown cup in the bowl.</x:v>
      </x:c>
      <x:c r="D6" s="40" t="str">
        <x:f>'Evaluation Plan'!D6</x:f>
        <x:v>brown cup B (O, RU); brown cup A (C, RU); glass spice container A (O, RU)</x:v>
      </x:c>
      <x:c r="E6" s="41" t="str">
        <x:f>'Evaluation Plan'!E6</x:f>
      </x:c>
      <x:c r="F6" s="41" t="str">
        <x:f>'Evaluation Plan'!F6</x:f>
        <x:v>104</x:v>
      </x:c>
      <x:c r="G6" s="40" t="str">
        <x:f>'Evaluation Plan'!G6</x:f>
        <x:v>Exact manifest episode: trained state-object cell, prompt, same-category candidate structure, and object membership match; physical layout is manually recreated.</x:v>
      </x:c>
      <x:c r="H6" s="40" t="str">
        <x:f>'Evaluation Plan'!H6</x:f>
        <x:v>brown cup B</x:v>
      </x:c>
      <x:c r="I6" s="40" t="str"/>
      <x:c r="J6" s="42" t="str">
        <x:f>'Evaluation Plan'!J6</x:f>
        <x:v>In-distribution concept baseline</x:v>
      </x:c>
      <x:c r="K6" s="41" t="str">
        <x:f>'Evaluation Plan'!K6</x:f>
        <x:v>SR-ID05</x:v>
      </x:c>
      <x:c r="L6" s="41" t="str">
        <x:f>'Evaluation Plan'!L6</x:f>
        <x:v>O</x:v>
      </x:c>
      <x:c r="M6" s="41" t="str">
        <x:f>'Evaluation Plan'!M6</x:f>
        <x:v>brown cup</x:v>
      </x:c>
      <x:c r="N6" s="41" t="n">
        <x:f>'Evaluation Plan'!N6</x:f>
        <x:v>3</x:v>
      </x:c>
      <x:c r="O6" s="41" t="n">
        <x:f>'Evaluation Plan'!O6</x:f>
        <x:v>1</x:v>
      </x:c>
      <x:c r="P6" s="41" t="str">
        <x:f>'Evaluation Plan'!P6</x:f>
        <x:v>Empty</x:v>
      </x:c>
      <x:c r="Q6" s="40" t="str">
        <x:f>'Evaluation Plan'!Q6</x:f>
        <x:v>Exact training-supported state-object baseline</x:v>
      </x:c>
      <x:c r="R6" s="41" t="n">
        <x:f>'Evaluation Plan'!R6</x:f>
        <x:v>1</x:v>
      </x:c>
      <x:c r="S6" s="40" t="str">
        <x:f>'Evaluation Plan'!S6</x:f>
        <x:v>Recreate the listed manifest scene with the bowl empty.</x:v>
      </x:c>
      <x:c r="T6" s="40" t="str">
        <x:f>'Evaluation Plan'!T6</x:f>
        <x:v>The queried state-object combination and same-category discrimination structure are explicitly represented in training.</x:v>
      </x:c>
      <x:c r="U6" s="40" t="n">
        <x:f>'Evaluation Plan'!U6</x:f>
        <x:v>0</x:v>
      </x:c>
    </x:row>
    <x:row r="7" ht="51" customHeight="1">
      <x:c r="A7" s="43" t="str">
        <x:v>Not collected</x:v>
      </x:c>
      <x:c r="B7" s="44" t="n">
        <x:f>'Evaluation Plan'!B7</x:f>
        <x:v>5</x:v>
      </x:c>
      <x:c r="C7" s="43" t="str">
        <x:f>'Evaluation Plan'!C7</x:f>
        <x:v>Put the upside-down brown cup in the bowl.</x:v>
      </x:c>
      <x:c r="D7" s="43" t="str">
        <x:f>'Evaluation Plan'!D7</x:f>
        <x:v>brown cup A (O, UD); brown cup B (O, RU)</x:v>
      </x:c>
      <x:c r="E7" s="44" t="str">
        <x:f>'Evaluation Plan'!E7</x:f>
      </x:c>
      <x:c r="F7" s="44" t="str">
        <x:f>'Evaluation Plan'!F7</x:f>
        <x:v>125</x:v>
      </x:c>
      <x:c r="G7" s="43" t="str">
        <x:f>'Evaluation Plan'!G7</x:f>
        <x:v>Exact manifest episode: trained state-object cell, prompt, same-category candidate structure, and object membership match; physical layout is manually recreated.</x:v>
      </x:c>
      <x:c r="H7" s="43" t="str">
        <x:f>'Evaluation Plan'!H7</x:f>
        <x:v>brown cup A</x:v>
      </x:c>
      <x:c r="I7" s="43" t="str"/>
      <x:c r="J7" s="42" t="str">
        <x:f>'Evaluation Plan'!J7</x:f>
        <x:v>In-distribution concept baseline</x:v>
      </x:c>
      <x:c r="K7" s="44" t="str">
        <x:f>'Evaluation Plan'!K7</x:f>
        <x:v>SR-ID06</x:v>
      </x:c>
      <x:c r="L7" s="44" t="str">
        <x:f>'Evaluation Plan'!L7</x:f>
        <x:v>UD</x:v>
      </x:c>
      <x:c r="M7" s="44" t="str">
        <x:f>'Evaluation Plan'!M7</x:f>
        <x:v>brown cup</x:v>
      </x:c>
      <x:c r="N7" s="44" t="n">
        <x:f>'Evaluation Plan'!N7</x:f>
        <x:v>2</x:v>
      </x:c>
      <x:c r="O7" s="44" t="n">
        <x:f>'Evaluation Plan'!O7</x:f>
        <x:v>1</x:v>
      </x:c>
      <x:c r="P7" s="44" t="str">
        <x:f>'Evaluation Plan'!P7</x:f>
        <x:v>Empty</x:v>
      </x:c>
      <x:c r="Q7" s="43" t="str">
        <x:f>'Evaluation Plan'!Q7</x:f>
        <x:v>Exact training-supported state-object baseline</x:v>
      </x:c>
      <x:c r="R7" s="44" t="n">
        <x:f>'Evaluation Plan'!R7</x:f>
        <x:v>1</x:v>
      </x:c>
      <x:c r="S7" s="43" t="str">
        <x:f>'Evaluation Plan'!S7</x:f>
        <x:v>Recreate the listed manifest scene with the bowl empty.</x:v>
      </x:c>
      <x:c r="T7" s="43" t="str">
        <x:f>'Evaluation Plan'!T7</x:f>
        <x:v>The queried state-object combination and same-category discrimination structure are explicitly represented in training.</x:v>
      </x:c>
      <x:c r="U7" s="43" t="n">
        <x:f>'Evaluation Plan'!U7</x:f>
        <x:v>0</x:v>
      </x:c>
    </x:row>
    <x:row r="8" ht="51" customHeight="1">
      <x:c r="A8" s="40" t="str">
        <x:v>Not collected</x:v>
      </x:c>
      <x:c r="B8" s="41" t="n">
        <x:f>'Evaluation Plan'!B8</x:f>
        <x:v>6</x:v>
      </x:c>
      <x:c r="C8" s="40" t="str">
        <x:f>'Evaluation Plan'!C8</x:f>
        <x:v>Put the upright brown cup in the bowl.</x:v>
      </x:c>
      <x:c r="D8" s="40" t="str">
        <x:f>'Evaluation Plan'!D8</x:f>
        <x:v>brown cup B (C, RU); brown cup A (C, UD)</x:v>
      </x:c>
      <x:c r="E8" s="41" t="str">
        <x:f>'Evaluation Plan'!E8</x:f>
      </x:c>
      <x:c r="F8" s="41" t="str">
        <x:f>'Evaluation Plan'!F8</x:f>
        <x:v>134</x:v>
      </x:c>
      <x:c r="G8" s="40" t="str">
        <x:f>'Evaluation Plan'!G8</x:f>
        <x:v>Exact manifest episode: trained state-object cell, prompt, same-category candidate structure, and object membership match; physical layout is manually recreated.</x:v>
      </x:c>
      <x:c r="H8" s="40" t="str">
        <x:f>'Evaluation Plan'!H8</x:f>
        <x:v>brown cup B</x:v>
      </x:c>
      <x:c r="I8" s="40" t="str"/>
      <x:c r="J8" s="42" t="str">
        <x:f>'Evaluation Plan'!J8</x:f>
        <x:v>In-distribution concept baseline</x:v>
      </x:c>
      <x:c r="K8" s="41" t="str">
        <x:f>'Evaluation Plan'!K8</x:f>
        <x:v>SR-ID07</x:v>
      </x:c>
      <x:c r="L8" s="41" t="str">
        <x:f>'Evaluation Plan'!L8</x:f>
        <x:v>RU</x:v>
      </x:c>
      <x:c r="M8" s="41" t="str">
        <x:f>'Evaluation Plan'!M8</x:f>
        <x:v>brown cup</x:v>
      </x:c>
      <x:c r="N8" s="41" t="n">
        <x:f>'Evaluation Plan'!N8</x:f>
        <x:v>2</x:v>
      </x:c>
      <x:c r="O8" s="41" t="n">
        <x:f>'Evaluation Plan'!O8</x:f>
        <x:v>1</x:v>
      </x:c>
      <x:c r="P8" s="41" t="str">
        <x:f>'Evaluation Plan'!P8</x:f>
        <x:v>Empty</x:v>
      </x:c>
      <x:c r="Q8" s="40" t="str">
        <x:f>'Evaluation Plan'!Q8</x:f>
        <x:v>Exact training-supported state-object baseline</x:v>
      </x:c>
      <x:c r="R8" s="41" t="n">
        <x:f>'Evaluation Plan'!R8</x:f>
        <x:v>1</x:v>
      </x:c>
      <x:c r="S8" s="40" t="str">
        <x:f>'Evaluation Plan'!S8</x:f>
        <x:v>Recreate the listed manifest scene with the bowl empty.</x:v>
      </x:c>
      <x:c r="T8" s="40" t="str">
        <x:f>'Evaluation Plan'!T8</x:f>
        <x:v>The queried state-object combination and same-category discrimination structure are explicitly represented in training.</x:v>
      </x:c>
      <x:c r="U8" s="40" t="n">
        <x:f>'Evaluation Plan'!U8</x:f>
        <x:v>0</x:v>
      </x:c>
    </x:row>
    <x:row r="9" ht="51" customHeight="1">
      <x:c r="A9" s="43" t="str">
        <x:v>Not collected</x:v>
      </x:c>
      <x:c r="B9" s="44" t="n">
        <x:f>'Evaluation Plan'!B9</x:f>
        <x:v>7</x:v>
      </x:c>
      <x:c r="C9" s="43" t="str">
        <x:f>'Evaluation Plan'!C9</x:f>
        <x:v>Place the closed glass spice container in the bowl.</x:v>
      </x:c>
      <x:c r="D9" s="43" t="str">
        <x:f>'Evaluation Plan'!D9</x:f>
        <x:v>glass spice container A (C, RU); glass spice container B (O, RU); yellow-white striped cup A (C, RU)</x:v>
      </x:c>
      <x:c r="E9" s="44" t="str">
        <x:f>'Evaluation Plan'!E9</x:f>
      </x:c>
      <x:c r="F9" s="44" t="str">
        <x:f>'Evaluation Plan'!F9</x:f>
        <x:v>151</x:v>
      </x:c>
      <x:c r="G9" s="43" t="str">
        <x:f>'Evaluation Plan'!G9</x:f>
        <x:v>Exact manifest episode: trained state-object cell, prompt, same-category candidate structure, and object membership match; physical layout is manually recreated.</x:v>
      </x:c>
      <x:c r="H9" s="43" t="str">
        <x:f>'Evaluation Plan'!H9</x:f>
        <x:v>glass spice container A</x:v>
      </x:c>
      <x:c r="I9" s="43" t="str"/>
      <x:c r="J9" s="42" t="str">
        <x:f>'Evaluation Plan'!J9</x:f>
        <x:v>In-distribution concept baseline</x:v>
      </x:c>
      <x:c r="K9" s="44" t="str">
        <x:f>'Evaluation Plan'!K9</x:f>
        <x:v>SR-ID08</x:v>
      </x:c>
      <x:c r="L9" s="44" t="str">
        <x:f>'Evaluation Plan'!L9</x:f>
        <x:v>C</x:v>
      </x:c>
      <x:c r="M9" s="44" t="str">
        <x:f>'Evaluation Plan'!M9</x:f>
        <x:v>glass spice container</x:v>
      </x:c>
      <x:c r="N9" s="44" t="n">
        <x:f>'Evaluation Plan'!N9</x:f>
        <x:v>3</x:v>
      </x:c>
      <x:c r="O9" s="44" t="n">
        <x:f>'Evaluation Plan'!O9</x:f>
        <x:v>1</x:v>
      </x:c>
      <x:c r="P9" s="44" t="str">
        <x:f>'Evaluation Plan'!P9</x:f>
        <x:v>Empty</x:v>
      </x:c>
      <x:c r="Q9" s="43" t="str">
        <x:f>'Evaluation Plan'!Q9</x:f>
        <x:v>Exact training-supported state-object baseline</x:v>
      </x:c>
      <x:c r="R9" s="44" t="n">
        <x:f>'Evaluation Plan'!R9</x:f>
        <x:v>1</x:v>
      </x:c>
      <x:c r="S9" s="43" t="str">
        <x:f>'Evaluation Plan'!S9</x:f>
        <x:v>Recreate the listed manifest scene with the bowl empty.</x:v>
      </x:c>
      <x:c r="T9" s="43" t="str">
        <x:f>'Evaluation Plan'!T9</x:f>
        <x:v>The queried state-object combination and same-category discrimination structure are explicitly represented in training.</x:v>
      </x:c>
      <x:c r="U9" s="43" t="n">
        <x:f>'Evaluation Plan'!U9</x:f>
        <x:v>0</x:v>
      </x:c>
    </x:row>
    <x:row r="10" ht="51" customHeight="1">
      <x:c r="A10" s="40" t="str">
        <x:v>Not collected</x:v>
      </x:c>
      <x:c r="B10" s="41" t="n">
        <x:f>'Evaluation Plan'!B10</x:f>
        <x:v>8</x:v>
      </x:c>
      <x:c r="C10" s="40" t="str">
        <x:f>'Evaluation Plan'!C10</x:f>
        <x:v>Move the open glass spice container into the bowl.</x:v>
      </x:c>
      <x:c r="D10" s="40" t="str">
        <x:f>'Evaluation Plan'!D10</x:f>
        <x:v>glass spice container B (O, RU); glass spice container A (C, RU); white cup B (O, RU)</x:v>
      </x:c>
      <x:c r="E10" s="41" t="str">
        <x:f>'Evaluation Plan'!E10</x:f>
      </x:c>
      <x:c r="F10" s="41" t="str">
        <x:f>'Evaluation Plan'!F10</x:f>
        <x:v>156</x:v>
      </x:c>
      <x:c r="G10" s="40" t="str">
        <x:f>'Evaluation Plan'!G10</x:f>
        <x:v>Exact manifest episode: trained state-object cell, prompt, same-category candidate structure, and object membership match; physical layout is manually recreated.</x:v>
      </x:c>
      <x:c r="H10" s="40" t="str">
        <x:f>'Evaluation Plan'!H10</x:f>
        <x:v>glass spice container B</x:v>
      </x:c>
      <x:c r="I10" s="40" t="str"/>
      <x:c r="J10" s="42" t="str">
        <x:f>'Evaluation Plan'!J10</x:f>
        <x:v>In-distribution concept baseline</x:v>
      </x:c>
      <x:c r="K10" s="41" t="str">
        <x:f>'Evaluation Plan'!K10</x:f>
        <x:v>SR-ID09</x:v>
      </x:c>
      <x:c r="L10" s="41" t="str">
        <x:f>'Evaluation Plan'!L10</x:f>
        <x:v>O</x:v>
      </x:c>
      <x:c r="M10" s="41" t="str">
        <x:f>'Evaluation Plan'!M10</x:f>
        <x:v>glass spice container</x:v>
      </x:c>
      <x:c r="N10" s="41" t="n">
        <x:f>'Evaluation Plan'!N10</x:f>
        <x:v>3</x:v>
      </x:c>
      <x:c r="O10" s="41" t="n">
        <x:f>'Evaluation Plan'!O10</x:f>
        <x:v>1</x:v>
      </x:c>
      <x:c r="P10" s="41" t="str">
        <x:f>'Evaluation Plan'!P10</x:f>
        <x:v>Empty</x:v>
      </x:c>
      <x:c r="Q10" s="40" t="str">
        <x:f>'Evaluation Plan'!Q10</x:f>
        <x:v>Exact training-supported state-object baseline</x:v>
      </x:c>
      <x:c r="R10" s="41" t="n">
        <x:f>'Evaluation Plan'!R10</x:f>
        <x:v>1</x:v>
      </x:c>
      <x:c r="S10" s="40" t="str">
        <x:f>'Evaluation Plan'!S10</x:f>
        <x:v>Recreate the listed manifest scene with the bowl empty.</x:v>
      </x:c>
      <x:c r="T10" s="40" t="str">
        <x:f>'Evaluation Plan'!T10</x:f>
        <x:v>The queried state-object combination and same-category discrimination structure are explicitly represented in training.</x:v>
      </x:c>
      <x:c r="U10" s="40" t="n">
        <x:f>'Evaluation Plan'!U10</x:f>
        <x:v>0</x:v>
      </x:c>
    </x:row>
    <x:row r="11" ht="51" customHeight="1">
      <x:c r="A11" s="43" t="str">
        <x:v>Not collected</x:v>
      </x:c>
      <x:c r="B11" s="44" t="n">
        <x:f>'Evaluation Plan'!B11</x:f>
        <x:v>9</x:v>
      </x:c>
      <x:c r="C11" s="43" t="str">
        <x:f>'Evaluation Plan'!C11</x:f>
        <x:v>Put the upside-down glass spice container in the bowl.</x:v>
      </x:c>
      <x:c r="D11" s="43" t="str">
        <x:f>'Evaluation Plan'!D11</x:f>
        <x:v>glass spice container B (C, UD); glass spice container A (C, RU)</x:v>
      </x:c>
      <x:c r="E11" s="44" t="str">
        <x:f>'Evaluation Plan'!E11</x:f>
      </x:c>
      <x:c r="F11" s="44" t="str">
        <x:f>'Evaluation Plan'!F11</x:f>
        <x:v>176</x:v>
      </x:c>
      <x:c r="G11" s="43" t="str">
        <x:f>'Evaluation Plan'!G11</x:f>
        <x:v>Exact manifest episode: trained state-object cell, prompt, same-category candidate structure, and object membership match; physical layout is manually recreated.</x:v>
      </x:c>
      <x:c r="H11" s="43" t="str">
        <x:f>'Evaluation Plan'!H11</x:f>
        <x:v>glass spice container B</x:v>
      </x:c>
      <x:c r="I11" s="43" t="str"/>
      <x:c r="J11" s="42" t="str">
        <x:f>'Evaluation Plan'!J11</x:f>
        <x:v>In-distribution concept baseline</x:v>
      </x:c>
      <x:c r="K11" s="44" t="str">
        <x:f>'Evaluation Plan'!K11</x:f>
        <x:v>SR-ID10</x:v>
      </x:c>
      <x:c r="L11" s="44" t="str">
        <x:f>'Evaluation Plan'!L11</x:f>
        <x:v>UD</x:v>
      </x:c>
      <x:c r="M11" s="44" t="str">
        <x:f>'Evaluation Plan'!M11</x:f>
        <x:v>glass spice container</x:v>
      </x:c>
      <x:c r="N11" s="44" t="n">
        <x:f>'Evaluation Plan'!N11</x:f>
        <x:v>2</x:v>
      </x:c>
      <x:c r="O11" s="44" t="n">
        <x:f>'Evaluation Plan'!O11</x:f>
        <x:v>1</x:v>
      </x:c>
      <x:c r="P11" s="44" t="str">
        <x:f>'Evaluation Plan'!P11</x:f>
        <x:v>Empty</x:v>
      </x:c>
      <x:c r="Q11" s="43" t="str">
        <x:f>'Evaluation Plan'!Q11</x:f>
        <x:v>Exact training-supported state-object baseline</x:v>
      </x:c>
      <x:c r="R11" s="44" t="n">
        <x:f>'Evaluation Plan'!R11</x:f>
        <x:v>1</x:v>
      </x:c>
      <x:c r="S11" s="43" t="str">
        <x:f>'Evaluation Plan'!S11</x:f>
        <x:v>Recreate the listed manifest scene with the bowl empty.</x:v>
      </x:c>
      <x:c r="T11" s="43" t="str">
        <x:f>'Evaluation Plan'!T11</x:f>
        <x:v>The queried state-object combination and same-category discrimination structure are explicitly represented in training.</x:v>
      </x:c>
      <x:c r="U11" s="43" t="n">
        <x:f>'Evaluation Plan'!U11</x:f>
        <x:v>0</x:v>
      </x:c>
    </x:row>
    <x:row r="12" ht="51" customHeight="1">
      <x:c r="A12" s="40" t="str">
        <x:v>Not collected</x:v>
      </x:c>
      <x:c r="B12" s="41" t="n">
        <x:f>'Evaluation Plan'!B12</x:f>
        <x:v>10</x:v>
      </x:c>
      <x:c r="C12" s="40" t="str">
        <x:f>'Evaluation Plan'!C12</x:f>
        <x:v>Move the closed white cup into the bowl.</x:v>
      </x:c>
      <x:c r="D12" s="40" t="str">
        <x:f>'Evaluation Plan'!D12</x:f>
        <x:v>white cup B (C, RU); white cup A (O, RU); yellow-white striped cup A (C, RU); brown cup B (C, RU)</x:v>
      </x:c>
      <x:c r="E12" s="41" t="str">
        <x:f>'Evaluation Plan'!E12</x:f>
      </x:c>
      <x:c r="F12" s="41" t="str">
        <x:f>'Evaluation Plan'!F12</x:f>
        <x:v>0</x:v>
      </x:c>
      <x:c r="G12" s="40" t="str">
        <x:f>'Evaluation Plan'!G12</x:f>
        <x:v>Exact manifest episode: trained state-object cell, prompt, same-category candidate structure, and object membership match; physical layout is manually recreated.</x:v>
      </x:c>
      <x:c r="H12" s="40" t="str">
        <x:f>'Evaluation Plan'!H12</x:f>
        <x:v>white cup B</x:v>
      </x:c>
      <x:c r="I12" s="40" t="str"/>
      <x:c r="J12" s="42" t="str">
        <x:f>'Evaluation Plan'!J12</x:f>
        <x:v>In-distribution concept baseline</x:v>
      </x:c>
      <x:c r="K12" s="41" t="str">
        <x:f>'Evaluation Plan'!K12</x:f>
        <x:v>SR-ID11</x:v>
      </x:c>
      <x:c r="L12" s="41" t="str">
        <x:f>'Evaluation Plan'!L12</x:f>
        <x:v>C</x:v>
      </x:c>
      <x:c r="M12" s="41" t="str">
        <x:f>'Evaluation Plan'!M12</x:f>
        <x:v>white cup</x:v>
      </x:c>
      <x:c r="N12" s="41" t="n">
        <x:f>'Evaluation Plan'!N12</x:f>
        <x:v>4</x:v>
      </x:c>
      <x:c r="O12" s="41" t="n">
        <x:f>'Evaluation Plan'!O12</x:f>
        <x:v>1</x:v>
      </x:c>
      <x:c r="P12" s="41" t="str">
        <x:f>'Evaluation Plan'!P12</x:f>
        <x:v>Empty</x:v>
      </x:c>
      <x:c r="Q12" s="40" t="str">
        <x:f>'Evaluation Plan'!Q12</x:f>
        <x:v>Exact training-supported state-object baseline</x:v>
      </x:c>
      <x:c r="R12" s="41" t="n">
        <x:f>'Evaluation Plan'!R12</x:f>
        <x:v>1</x:v>
      </x:c>
      <x:c r="S12" s="40" t="str">
        <x:f>'Evaluation Plan'!S12</x:f>
        <x:v>Recreate the listed manifest scene with the bowl empty.</x:v>
      </x:c>
      <x:c r="T12" s="40" t="str">
        <x:f>'Evaluation Plan'!T12</x:f>
        <x:v>The queried state-object combination and same-category discrimination structure are explicitly represented in training.</x:v>
      </x:c>
      <x:c r="U12" s="40" t="n">
        <x:f>'Evaluation Plan'!U12</x:f>
        <x:v>0</x:v>
      </x:c>
    </x:row>
    <x:row r="13" ht="51" customHeight="1">
      <x:c r="A13" s="43" t="str">
        <x:v>Not collected</x:v>
      </x:c>
      <x:c r="B13" s="44" t="n">
        <x:f>'Evaluation Plan'!B13</x:f>
        <x:v>11</x:v>
      </x:c>
      <x:c r="C13" s="43" t="str">
        <x:f>'Evaluation Plan'!C13</x:f>
        <x:v>Place the closed white cup in the bowl.</x:v>
      </x:c>
      <x:c r="D13" s="43" t="str">
        <x:f>'Evaluation Plan'!D13</x:f>
        <x:v>white cup A (C, RU); white cup B (O, RU); brown cup B (O, RU)</x:v>
      </x:c>
      <x:c r="E13" s="44" t="str">
        <x:f>'Evaluation Plan'!E13</x:f>
      </x:c>
      <x:c r="F13" s="44" t="str">
        <x:f>'Evaluation Plan'!F13</x:f>
        <x:v>7</x:v>
      </x:c>
      <x:c r="G13" s="43" t="str">
        <x:f>'Evaluation Plan'!G13</x:f>
        <x:v>Exact manifest episode: trained state-object cell, prompt, same-category candidate structure, and object membership match; physical layout is manually recreated.</x:v>
      </x:c>
      <x:c r="H13" s="43" t="str">
        <x:f>'Evaluation Plan'!H13</x:f>
        <x:v>white cup A</x:v>
      </x:c>
      <x:c r="I13" s="43" t="str"/>
      <x:c r="J13" s="42" t="str">
        <x:f>'Evaluation Plan'!J13</x:f>
        <x:v>In-distribution concept baseline</x:v>
      </x:c>
      <x:c r="K13" s="44" t="str">
        <x:f>'Evaluation Plan'!K13</x:f>
        <x:v>SR-ID12</x:v>
      </x:c>
      <x:c r="L13" s="44" t="str">
        <x:f>'Evaluation Plan'!L13</x:f>
        <x:v>C</x:v>
      </x:c>
      <x:c r="M13" s="44" t="str">
        <x:f>'Evaluation Plan'!M13</x:f>
        <x:v>white cup</x:v>
      </x:c>
      <x:c r="N13" s="44" t="n">
        <x:f>'Evaluation Plan'!N13</x:f>
        <x:v>3</x:v>
      </x:c>
      <x:c r="O13" s="44" t="n">
        <x:f>'Evaluation Plan'!O13</x:f>
        <x:v>1</x:v>
      </x:c>
      <x:c r="P13" s="44" t="str">
        <x:f>'Evaluation Plan'!P13</x:f>
        <x:v>Empty</x:v>
      </x:c>
      <x:c r="Q13" s="43" t="str">
        <x:f>'Evaluation Plan'!Q13</x:f>
        <x:v>Exact training-supported state-object baseline</x:v>
      </x:c>
      <x:c r="R13" s="44" t="n">
        <x:f>'Evaluation Plan'!R13</x:f>
        <x:v>1</x:v>
      </x:c>
      <x:c r="S13" s="43" t="str">
        <x:f>'Evaluation Plan'!S13</x:f>
        <x:v>Recreate the listed manifest scene with the bowl empty.</x:v>
      </x:c>
      <x:c r="T13" s="43" t="str">
        <x:f>'Evaluation Plan'!T13</x:f>
        <x:v>The queried state-object combination and same-category discrimination structure are explicitly represented in training.</x:v>
      </x:c>
      <x:c r="U13" s="43" t="n">
        <x:f>'Evaluation Plan'!U13</x:f>
        <x:v>0</x:v>
      </x:c>
    </x:row>
    <x:row r="14" ht="51" customHeight="1">
      <x:c r="A14" s="40" t="str">
        <x:v>Not collected</x:v>
      </x:c>
      <x:c r="B14" s="41" t="n">
        <x:f>'Evaluation Plan'!B14</x:f>
        <x:v>12</x:v>
      </x:c>
      <x:c r="C14" s="40" t="str">
        <x:f>'Evaluation Plan'!C14</x:f>
        <x:v>Put the open white cup in the bowl.</x:v>
      </x:c>
      <x:c r="D14" s="40" t="str">
        <x:f>'Evaluation Plan'!D14</x:f>
        <x:v>white cup B (O, RU); white cup A (C, RU); glass spice container B (O, RU)</x:v>
      </x:c>
      <x:c r="E14" s="41" t="str">
        <x:f>'Evaluation Plan'!E14</x:f>
      </x:c>
      <x:c r="F14" s="41" t="str">
        <x:f>'Evaluation Plan'!F14</x:f>
        <x:v>17</x:v>
      </x:c>
      <x:c r="G14" s="40" t="str">
        <x:f>'Evaluation Plan'!G14</x:f>
        <x:v>Exact manifest episode: trained state-object cell, prompt, same-category candidate structure, and object membership match; physical layout is manually recreated.</x:v>
      </x:c>
      <x:c r="H14" s="40" t="str">
        <x:f>'Evaluation Plan'!H14</x:f>
        <x:v>white cup B</x:v>
      </x:c>
      <x:c r="I14" s="40" t="str"/>
      <x:c r="J14" s="42" t="str">
        <x:f>'Evaluation Plan'!J14</x:f>
        <x:v>In-distribution concept baseline</x:v>
      </x:c>
      <x:c r="K14" s="41" t="str">
        <x:f>'Evaluation Plan'!K14</x:f>
        <x:v>SR-ID13</x:v>
      </x:c>
      <x:c r="L14" s="41" t="str">
        <x:f>'Evaluation Plan'!L14</x:f>
        <x:v>O</x:v>
      </x:c>
      <x:c r="M14" s="41" t="str">
        <x:f>'Evaluation Plan'!M14</x:f>
        <x:v>white cup</x:v>
      </x:c>
      <x:c r="N14" s="41" t="n">
        <x:f>'Evaluation Plan'!N14</x:f>
        <x:v>3</x:v>
      </x:c>
      <x:c r="O14" s="41" t="n">
        <x:f>'Evaluation Plan'!O14</x:f>
        <x:v>1</x:v>
      </x:c>
      <x:c r="P14" s="41" t="str">
        <x:f>'Evaluation Plan'!P14</x:f>
        <x:v>Empty</x:v>
      </x:c>
      <x:c r="Q14" s="40" t="str">
        <x:f>'Evaluation Plan'!Q14</x:f>
        <x:v>Exact training-supported state-object baseline</x:v>
      </x:c>
      <x:c r="R14" s="41" t="n">
        <x:f>'Evaluation Plan'!R14</x:f>
        <x:v>1</x:v>
      </x:c>
      <x:c r="S14" s="40" t="str">
        <x:f>'Evaluation Plan'!S14</x:f>
        <x:v>Recreate the listed manifest scene with the bowl empty.</x:v>
      </x:c>
      <x:c r="T14" s="40" t="str">
        <x:f>'Evaluation Plan'!T14</x:f>
        <x:v>The queried state-object combination and same-category discrimination structure are explicitly represented in training.</x:v>
      </x:c>
      <x:c r="U14" s="40" t="n">
        <x:f>'Evaluation Plan'!U14</x:f>
        <x:v>0</x:v>
      </x:c>
    </x:row>
    <x:row r="15" ht="51" customHeight="1">
      <x:c r="A15" s="43" t="str">
        <x:v>Not collected</x:v>
      </x:c>
      <x:c r="B15" s="44" t="n">
        <x:f>'Evaluation Plan'!B15</x:f>
        <x:v>13</x:v>
      </x:c>
      <x:c r="C15" s="43" t="str">
        <x:f>'Evaluation Plan'!C15</x:f>
        <x:v>Place the upside-down yellow-white striped cup in the bowl.</x:v>
      </x:c>
      <x:c r="D15" s="43" t="str">
        <x:f>'Evaluation Plan'!D15</x:f>
        <x:v>yellow-white striped cup A (O, UD); yellow-white striped cup B (O, RU)</x:v>
      </x:c>
      <x:c r="E15" s="44" t="str">
        <x:f>'Evaluation Plan'!E15</x:f>
      </x:c>
      <x:c r="F15" s="44" t="str">
        <x:f>'Evaluation Plan'!F15</x:f>
        <x:v>88</x:v>
      </x:c>
      <x:c r="G15" s="43" t="str">
        <x:f>'Evaluation Plan'!G15</x:f>
        <x:v>Exact manifest episode: trained state-object cell, prompt, same-category candidate structure, and object membership match; physical layout is manually recreated.</x:v>
      </x:c>
      <x:c r="H15" s="43" t="str">
        <x:f>'Evaluation Plan'!H15</x:f>
        <x:v>yellow-white striped cup A</x:v>
      </x:c>
      <x:c r="I15" s="43" t="str"/>
      <x:c r="J15" s="42" t="str">
        <x:f>'Evaluation Plan'!J15</x:f>
        <x:v>In-distribution concept baseline</x:v>
      </x:c>
      <x:c r="K15" s="44" t="str">
        <x:f>'Evaluation Plan'!K15</x:f>
        <x:v>SR-ID14</x:v>
      </x:c>
      <x:c r="L15" s="44" t="str">
        <x:f>'Evaluation Plan'!L15</x:f>
        <x:v>UD</x:v>
      </x:c>
      <x:c r="M15" s="44" t="str">
        <x:f>'Evaluation Plan'!M15</x:f>
        <x:v>yellow-white striped cup</x:v>
      </x:c>
      <x:c r="N15" s="44" t="n">
        <x:f>'Evaluation Plan'!N15</x:f>
        <x:v>2</x:v>
      </x:c>
      <x:c r="O15" s="44" t="n">
        <x:f>'Evaluation Plan'!O15</x:f>
        <x:v>1</x:v>
      </x:c>
      <x:c r="P15" s="44" t="str">
        <x:f>'Evaluation Plan'!P15</x:f>
        <x:v>Empty</x:v>
      </x:c>
      <x:c r="Q15" s="43" t="str">
        <x:f>'Evaluation Plan'!Q15</x:f>
        <x:v>Exact training-supported state-object baseline</x:v>
      </x:c>
      <x:c r="R15" s="44" t="n">
        <x:f>'Evaluation Plan'!R15</x:f>
        <x:v>1</x:v>
      </x:c>
      <x:c r="S15" s="43" t="str">
        <x:f>'Evaluation Plan'!S15</x:f>
        <x:v>Recreate the listed manifest scene with the bowl empty.</x:v>
      </x:c>
      <x:c r="T15" s="43" t="str">
        <x:f>'Evaluation Plan'!T15</x:f>
        <x:v>The queried state-object combination and same-category discrimination structure are explicitly represented in training.</x:v>
      </x:c>
      <x:c r="U15" s="43" t="n">
        <x:f>'Evaluation Plan'!U15</x:f>
        <x:v>0</x:v>
      </x:c>
    </x:row>
    <x:row r="16" ht="51" customHeight="1">
      <x:c r="A16" s="40" t="str">
        <x:v>Not collected</x:v>
      </x:c>
      <x:c r="B16" s="41" t="n">
        <x:f>'Evaluation Plan'!B16</x:f>
        <x:v>14</x:v>
      </x:c>
      <x:c r="C16" s="40" t="str">
        <x:f>'Evaluation Plan'!C16</x:f>
        <x:v>Move the upright yellow-white striped cup into the bowl.</x:v>
      </x:c>
      <x:c r="D16" s="40" t="str">
        <x:f>'Evaluation Plan'!D16</x:f>
        <x:v>yellow-white striped cup A (O, RU); yellow-white striped cup B (O, UD); glass spice container A (O, RU); white cup B (C, UD)</x:v>
      </x:c>
      <x:c r="E16" s="41" t="str">
        <x:f>'Evaluation Plan'!E16</x:f>
      </x:c>
      <x:c r="F16" s="41" t="str">
        <x:f>'Evaluation Plan'!F16</x:f>
        <x:v>75</x:v>
      </x:c>
      <x:c r="G16" s="40" t="str">
        <x:f>'Evaluation Plan'!G16</x:f>
        <x:v>Exact manifest episode: trained state-object cell, prompt, same-category candidate structure, and object membership match; physical layout is manually recreated.</x:v>
      </x:c>
      <x:c r="H16" s="40" t="str">
        <x:f>'Evaluation Plan'!H16</x:f>
        <x:v>yellow-white striped cup A</x:v>
      </x:c>
      <x:c r="I16" s="40" t="str"/>
      <x:c r="J16" s="42" t="str">
        <x:f>'Evaluation Plan'!J16</x:f>
        <x:v>In-distribution concept baseline</x:v>
      </x:c>
      <x:c r="K16" s="41" t="str">
        <x:f>'Evaluation Plan'!K16</x:f>
        <x:v>SR-ID15</x:v>
      </x:c>
      <x:c r="L16" s="41" t="str">
        <x:f>'Evaluation Plan'!L16</x:f>
        <x:v>RU</x:v>
      </x:c>
      <x:c r="M16" s="41" t="str">
        <x:f>'Evaluation Plan'!M16</x:f>
        <x:v>yellow-white striped cup</x:v>
      </x:c>
      <x:c r="N16" s="41" t="n">
        <x:f>'Evaluation Plan'!N16</x:f>
        <x:v>4</x:v>
      </x:c>
      <x:c r="O16" s="41" t="n">
        <x:f>'Evaluation Plan'!O16</x:f>
        <x:v>1</x:v>
      </x:c>
      <x:c r="P16" s="41" t="str">
        <x:f>'Evaluation Plan'!P16</x:f>
        <x:v>Empty</x:v>
      </x:c>
      <x:c r="Q16" s="40" t="str">
        <x:f>'Evaluation Plan'!Q16</x:f>
        <x:v>Exact training-supported state-object baseline</x:v>
      </x:c>
      <x:c r="R16" s="41" t="n">
        <x:f>'Evaluation Plan'!R16</x:f>
        <x:v>1</x:v>
      </x:c>
      <x:c r="S16" s="40" t="str">
        <x:f>'Evaluation Plan'!S16</x:f>
        <x:v>Recreate the listed manifest scene with the bowl empty.</x:v>
      </x:c>
      <x:c r="T16" s="40" t="str">
        <x:f>'Evaluation Plan'!T16</x:f>
        <x:v>The queried state-object combination and same-category discrimination structure are explicitly represented in training.</x:v>
      </x:c>
      <x:c r="U16" s="40" t="n">
        <x:f>'Evaluation Plan'!U16</x:f>
        <x:v>0</x:v>
      </x:c>
    </x:row>
    <x:row r="17" ht="51" customHeight="1">
      <x:c r="A17" s="43" t="str">
        <x:v>Not collected</x:v>
      </x:c>
      <x:c r="B17" s="44" t="n">
        <x:f>'Evaluation Plan'!B17</x:f>
        <x:v>15</x:v>
      </x:c>
      <x:c r="C17" s="43" t="str">
        <x:f>'Evaluation Plan'!C17</x:f>
        <x:v>Put the upright yellow-white striped cup in the bowl.</x:v>
      </x:c>
      <x:c r="D17" s="43" t="str">
        <x:f>'Evaluation Plan'!D17</x:f>
        <x:v>yellow-white striped cup B (C, RU); yellow-white striped cup A (C, UD)</x:v>
      </x:c>
      <x:c r="E17" s="44" t="str">
        <x:f>'Evaluation Plan'!E17</x:f>
      </x:c>
      <x:c r="F17" s="44" t="str">
        <x:f>'Evaluation Plan'!F17</x:f>
        <x:v>80</x:v>
      </x:c>
      <x:c r="G17" s="43" t="str">
        <x:f>'Evaluation Plan'!G17</x:f>
        <x:v>Exact manifest episode: trained state-object cell, prompt, same-category candidate structure, and object membership match; physical layout is manually recreated.</x:v>
      </x:c>
      <x:c r="H17" s="43" t="str">
        <x:f>'Evaluation Plan'!H17</x:f>
        <x:v>yellow-white striped cup B</x:v>
      </x:c>
      <x:c r="I17" s="43" t="str"/>
      <x:c r="J17" s="42" t="str">
        <x:f>'Evaluation Plan'!J17</x:f>
        <x:v>In-distribution concept baseline</x:v>
      </x:c>
      <x:c r="K17" s="44" t="str">
        <x:f>'Evaluation Plan'!K17</x:f>
        <x:v>SR-ID16</x:v>
      </x:c>
      <x:c r="L17" s="44" t="str">
        <x:f>'Evaluation Plan'!L17</x:f>
        <x:v>RU</x:v>
      </x:c>
      <x:c r="M17" s="44" t="str">
        <x:f>'Evaluation Plan'!M17</x:f>
        <x:v>yellow-white striped cup</x:v>
      </x:c>
      <x:c r="N17" s="44" t="n">
        <x:f>'Evaluation Plan'!N17</x:f>
        <x:v>2</x:v>
      </x:c>
      <x:c r="O17" s="44" t="n">
        <x:f>'Evaluation Plan'!O17</x:f>
        <x:v>1</x:v>
      </x:c>
      <x:c r="P17" s="44" t="str">
        <x:f>'Evaluation Plan'!P17</x:f>
        <x:v>Empty</x:v>
      </x:c>
      <x:c r="Q17" s="43" t="str">
        <x:f>'Evaluation Plan'!Q17</x:f>
        <x:v>Exact training-supported state-object baseline</x:v>
      </x:c>
      <x:c r="R17" s="44" t="n">
        <x:f>'Evaluation Plan'!R17</x:f>
        <x:v>1</x:v>
      </x:c>
      <x:c r="S17" s="43" t="str">
        <x:f>'Evaluation Plan'!S17</x:f>
        <x:v>Recreate the listed manifest scene with the bowl empty.</x:v>
      </x:c>
      <x:c r="T17" s="43" t="str">
        <x:f>'Evaluation Plan'!T17</x:f>
        <x:v>The queried state-object combination and same-category discrimination structure are explicitly represented in training.</x:v>
      </x:c>
      <x:c r="U17" s="43" t="n">
        <x:f>'Evaluation Plan'!U17</x:f>
        <x:v>0</x:v>
      </x:c>
    </x:row>
    <x:row r="18" ht="51" customHeight="1">
      <x:c r="A18" s="40" t="str">
        <x:v>Not collected</x:v>
      </x:c>
      <x:c r="B18" s="41" t="n">
        <x:f>'Evaluation Plan'!B18</x:f>
        <x:v>16</x:v>
      </x:c>
      <x:c r="C18" s="40" t="str">
        <x:f>'Evaluation Plan'!C18</x:f>
        <x:v>Move the upside-down brown cup into the bowl.</x:v>
      </x:c>
      <x:c r="D18" s="40" t="str">
        <x:f>'Evaluation Plan'!D18</x:f>
        <x:v>brown cup A (C, UD); brown cup B (C, RU); yellow-white striped cup B (C, UD); glass spice container A (O, RU)</x:v>
      </x:c>
      <x:c r="E18" s="41" t="str">
        <x:f>'Evaluation Plan'!E18</x:f>
      </x:c>
      <x:c r="F18" s="41" t="str">
        <x:f>'Evaluation Plan'!F18</x:f>
        <x:v>135</x:v>
      </x:c>
      <x:c r="G18" s="40" t="str">
        <x:f>'Evaluation Plan'!G18</x:f>
        <x:v>Exact manifest episode: trained state-object cell, prompt, same-category candidate structure, and object membership match; physical layout is manually recreated.</x:v>
      </x:c>
      <x:c r="H18" s="40" t="str">
        <x:f>'Evaluation Plan'!H18</x:f>
        <x:v>brown cup A</x:v>
      </x:c>
      <x:c r="I18" s="40" t="str"/>
      <x:c r="J18" s="42" t="str">
        <x:f>'Evaluation Plan'!J18</x:f>
        <x:v>In-distribution concept baseline</x:v>
      </x:c>
      <x:c r="K18" s="41" t="str">
        <x:f>'Evaluation Plan'!K18</x:f>
        <x:v>SR-ID17</x:v>
      </x:c>
      <x:c r="L18" s="41" t="str">
        <x:f>'Evaluation Plan'!L18</x:f>
        <x:v>UD</x:v>
      </x:c>
      <x:c r="M18" s="41" t="str">
        <x:f>'Evaluation Plan'!M18</x:f>
        <x:v>brown cup</x:v>
      </x:c>
      <x:c r="N18" s="41" t="n">
        <x:f>'Evaluation Plan'!N18</x:f>
        <x:v>4</x:v>
      </x:c>
      <x:c r="O18" s="41" t="n">
        <x:f>'Evaluation Plan'!O18</x:f>
        <x:v>1</x:v>
      </x:c>
      <x:c r="P18" s="41" t="str">
        <x:f>'Evaluation Plan'!P18</x:f>
        <x:v>Empty</x:v>
      </x:c>
      <x:c r="Q18" s="40" t="str">
        <x:f>'Evaluation Plan'!Q18</x:f>
        <x:v>Exact training-supported state-object baseline</x:v>
      </x:c>
      <x:c r="R18" s="41" t="n">
        <x:f>'Evaluation Plan'!R18</x:f>
        <x:v>1</x:v>
      </x:c>
      <x:c r="S18" s="40" t="str">
        <x:f>'Evaluation Plan'!S18</x:f>
        <x:v>Recreate the listed manifest scene with the bowl empty.</x:v>
      </x:c>
      <x:c r="T18" s="40" t="str">
        <x:f>'Evaluation Plan'!T18</x:f>
        <x:v>The queried state-object combination and same-category discrimination structure are explicitly represented in training.</x:v>
      </x:c>
      <x:c r="U18" s="40" t="n">
        <x:f>'Evaluation Plan'!U18</x:f>
        <x:v>0</x:v>
      </x:c>
    </x:row>
    <x:row r="19" ht="51" customHeight="1">
      <x:c r="A19" s="43" t="str">
        <x:v>Not collected</x:v>
      </x:c>
      <x:c r="B19" s="44" t="n">
        <x:f>'Evaluation Plan'!B19</x:f>
        <x:v>17</x:v>
      </x:c>
      <x:c r="C19" s="43" t="str">
        <x:f>'Evaluation Plan'!C19</x:f>
        <x:v>Place the upright brown cup in the bowl.</x:v>
      </x:c>
      <x:c r="D19" s="43" t="str">
        <x:f>'Evaluation Plan'!D19</x:f>
        <x:v>brown cup A (C, RU); brown cup B (C, UD); glass spice container B (C, UD)</x:v>
      </x:c>
      <x:c r="E19" s="44" t="str">
        <x:f>'Evaluation Plan'!E19</x:f>
      </x:c>
      <x:c r="F19" s="44" t="str">
        <x:f>'Evaluation Plan'!F19</x:f>
        <x:v>139</x:v>
      </x:c>
      <x:c r="G19" s="43" t="str">
        <x:f>'Evaluation Plan'!G19</x:f>
        <x:v>Exact manifest episode: trained state-object cell, prompt, same-category candidate structure, and object membership match; physical layout is manually recreated.</x:v>
      </x:c>
      <x:c r="H19" s="43" t="str">
        <x:f>'Evaluation Plan'!H19</x:f>
        <x:v>brown cup A</x:v>
      </x:c>
      <x:c r="I19" s="43" t="str"/>
      <x:c r="J19" s="42" t="str">
        <x:f>'Evaluation Plan'!J19</x:f>
        <x:v>In-distribution concept baseline</x:v>
      </x:c>
      <x:c r="K19" s="44" t="str">
        <x:f>'Evaluation Plan'!K19</x:f>
        <x:v>SR-ID18</x:v>
      </x:c>
      <x:c r="L19" s="44" t="str">
        <x:f>'Evaluation Plan'!L19</x:f>
        <x:v>RU</x:v>
      </x:c>
      <x:c r="M19" s="44" t="str">
        <x:f>'Evaluation Plan'!M19</x:f>
        <x:v>brown cup</x:v>
      </x:c>
      <x:c r="N19" s="44" t="n">
        <x:f>'Evaluation Plan'!N19</x:f>
        <x:v>3</x:v>
      </x:c>
      <x:c r="O19" s="44" t="n">
        <x:f>'Evaluation Plan'!O19</x:f>
        <x:v>1</x:v>
      </x:c>
      <x:c r="P19" s="44" t="str">
        <x:f>'Evaluation Plan'!P19</x:f>
        <x:v>Empty</x:v>
      </x:c>
      <x:c r="Q19" s="43" t="str">
        <x:f>'Evaluation Plan'!Q19</x:f>
        <x:v>Exact training-supported state-object baseline</x:v>
      </x:c>
      <x:c r="R19" s="44" t="n">
        <x:f>'Evaluation Plan'!R19</x:f>
        <x:v>1</x:v>
      </x:c>
      <x:c r="S19" s="43" t="str">
        <x:f>'Evaluation Plan'!S19</x:f>
        <x:v>Recreate the listed manifest scene with the bowl empty.</x:v>
      </x:c>
      <x:c r="T19" s="43" t="str">
        <x:f>'Evaluation Plan'!T19</x:f>
        <x:v>The queried state-object combination and same-category discrimination structure are explicitly represented in training.</x:v>
      </x:c>
      <x:c r="U19" s="43" t="n">
        <x:f>'Evaluation Plan'!U19</x:f>
        <x:v>0</x:v>
      </x:c>
    </x:row>
    <x:row r="20" ht="51" customHeight="1">
      <x:c r="A20" s="40" t="str">
        <x:v>Not collected</x:v>
      </x:c>
      <x:c r="B20" s="41" t="n">
        <x:f>'Evaluation Plan'!B20</x:f>
        <x:v>18</x:v>
      </x:c>
      <x:c r="C20" s="40" t="str">
        <x:f>'Evaluation Plan'!C20</x:f>
        <x:v>Put the closed glass spice container in the bowl.</x:v>
      </x:c>
      <x:c r="D20" s="40" t="str">
        <x:f>'Evaluation Plan'!D20</x:f>
        <x:v>glass spice container A (C, RU); glass spice container B (O, RU); brown cup A (C, RU); white cup B (O, RU)</x:v>
      </x:c>
      <x:c r="E20" s="41" t="str">
        <x:f>'Evaluation Plan'!E20</x:f>
      </x:c>
      <x:c r="F20" s="41" t="str">
        <x:f>'Evaluation Plan'!F20</x:f>
        <x:v>155</x:v>
      </x:c>
      <x:c r="G20" s="40" t="str">
        <x:f>'Evaluation Plan'!G20</x:f>
        <x:v>Exact manifest episode: trained state-object cell, prompt, same-category candidate structure, and object membership match; physical layout is manually recreated.</x:v>
      </x:c>
      <x:c r="H20" s="40" t="str">
        <x:f>'Evaluation Plan'!H20</x:f>
        <x:v>glass spice container A</x:v>
      </x:c>
      <x:c r="I20" s="40" t="str"/>
      <x:c r="J20" s="42" t="str">
        <x:f>'Evaluation Plan'!J20</x:f>
        <x:v>In-distribution concept baseline</x:v>
      </x:c>
      <x:c r="K20" s="41" t="str">
        <x:f>'Evaluation Plan'!K20</x:f>
        <x:v>SR-ID19</x:v>
      </x:c>
      <x:c r="L20" s="41" t="str">
        <x:f>'Evaluation Plan'!L20</x:f>
        <x:v>C</x:v>
      </x:c>
      <x:c r="M20" s="41" t="str">
        <x:f>'Evaluation Plan'!M20</x:f>
        <x:v>glass spice container</x:v>
      </x:c>
      <x:c r="N20" s="41" t="n">
        <x:f>'Evaluation Plan'!N20</x:f>
        <x:v>4</x:v>
      </x:c>
      <x:c r="O20" s="41" t="n">
        <x:f>'Evaluation Plan'!O20</x:f>
        <x:v>1</x:v>
      </x:c>
      <x:c r="P20" s="41" t="str">
        <x:f>'Evaluation Plan'!P20</x:f>
        <x:v>Empty</x:v>
      </x:c>
      <x:c r="Q20" s="40" t="str">
        <x:f>'Evaluation Plan'!Q20</x:f>
        <x:v>Exact training-supported state-object baseline</x:v>
      </x:c>
      <x:c r="R20" s="41" t="n">
        <x:f>'Evaluation Plan'!R20</x:f>
        <x:v>1</x:v>
      </x:c>
      <x:c r="S20" s="40" t="str">
        <x:f>'Evaluation Plan'!S20</x:f>
        <x:v>Recreate the listed manifest scene with the bowl empty.</x:v>
      </x:c>
      <x:c r="T20" s="40" t="str">
        <x:f>'Evaluation Plan'!T20</x:f>
        <x:v>The queried state-object combination and same-category discrimination structure are explicitly represented in training.</x:v>
      </x:c>
      <x:c r="U20" s="40" t="n">
        <x:f>'Evaluation Plan'!U20</x:f>
        <x:v>0</x:v>
      </x:c>
    </x:row>
    <x:row r="21" ht="51" customHeight="1">
      <x:c r="A21" s="43" t="str">
        <x:v>Not collected</x:v>
      </x:c>
      <x:c r="B21" s="44" t="n">
        <x:f>'Evaluation Plan'!B21</x:f>
        <x:v>19</x:v>
      </x:c>
      <x:c r="C21" s="43" t="str">
        <x:f>'Evaluation Plan'!C21</x:f>
        <x:v>Move the open glass spice container into the bowl.</x:v>
      </x:c>
      <x:c r="D21" s="43" t="str">
        <x:f>'Evaluation Plan'!D21</x:f>
        <x:v>glass spice container B (O, RU); glass spice container A (C, RU); white cup B (O, RU); yellow-white striped cup A (O, RU)</x:v>
      </x:c>
      <x:c r="E21" s="44" t="str">
        <x:f>'Evaluation Plan'!E21</x:f>
      </x:c>
      <x:c r="F21" s="44" t="str">
        <x:f>'Evaluation Plan'!F21</x:f>
        <x:v>162</x:v>
      </x:c>
      <x:c r="G21" s="43" t="str">
        <x:f>'Evaluation Plan'!G21</x:f>
        <x:v>Exact manifest episode: trained state-object cell, prompt, same-category candidate structure, and object membership match; physical layout is manually recreated.</x:v>
      </x:c>
      <x:c r="H21" s="43" t="str">
        <x:f>'Evaluation Plan'!H21</x:f>
        <x:v>glass spice container B</x:v>
      </x:c>
      <x:c r="I21" s="43" t="str"/>
      <x:c r="J21" s="42" t="str">
        <x:f>'Evaluation Plan'!J21</x:f>
        <x:v>In-distribution concept baseline</x:v>
      </x:c>
      <x:c r="K21" s="44" t="str">
        <x:f>'Evaluation Plan'!K21</x:f>
        <x:v>SR-ID20</x:v>
      </x:c>
      <x:c r="L21" s="44" t="str">
        <x:f>'Evaluation Plan'!L21</x:f>
        <x:v>O</x:v>
      </x:c>
      <x:c r="M21" s="44" t="str">
        <x:f>'Evaluation Plan'!M21</x:f>
        <x:v>glass spice container</x:v>
      </x:c>
      <x:c r="N21" s="44" t="n">
        <x:f>'Evaluation Plan'!N21</x:f>
        <x:v>4</x:v>
      </x:c>
      <x:c r="O21" s="44" t="n">
        <x:f>'Evaluation Plan'!O21</x:f>
        <x:v>1</x:v>
      </x:c>
      <x:c r="P21" s="44" t="str">
        <x:f>'Evaluation Plan'!P21</x:f>
        <x:v>Empty</x:v>
      </x:c>
      <x:c r="Q21" s="43" t="str">
        <x:f>'Evaluation Plan'!Q21</x:f>
        <x:v>Exact training-supported state-object baseline</x:v>
      </x:c>
      <x:c r="R21" s="44" t="n">
        <x:f>'Evaluation Plan'!R21</x:f>
        <x:v>1</x:v>
      </x:c>
      <x:c r="S21" s="43" t="str">
        <x:f>'Evaluation Plan'!S21</x:f>
        <x:v>Recreate the listed manifest scene with the bowl empty.</x:v>
      </x:c>
      <x:c r="T21" s="43" t="str">
        <x:f>'Evaluation Plan'!T21</x:f>
        <x:v>The queried state-object combination and same-category discrimination structure are explicitly represented in training.</x:v>
      </x:c>
      <x:c r="U21" s="43" t="n">
        <x:f>'Evaluation Plan'!U21</x:f>
        <x:v>0</x:v>
      </x:c>
    </x:row>
    <x:row r="22" ht="51" customHeight="1">
      <x:c r="A22" s="40" t="str">
        <x:v>Not collected</x:v>
      </x:c>
      <x:c r="B22" s="41" t="n">
        <x:f>'Evaluation Plan'!B22</x:f>
        <x:v>20</x:v>
      </x:c>
      <x:c r="C22" s="40" t="str">
        <x:f>'Evaluation Plan'!C22</x:f>
        <x:v>Place the upside-down white cup in the bowl.</x:v>
      </x:c>
      <x:c r="D22" s="40" t="str">
        <x:f>'Evaluation Plan'!D22</x:f>
        <x:v>white cup A (C, UD); white cup B (C, RU)</x:v>
      </x:c>
      <x:c r="E22" s="41" t="str">
        <x:f>'Evaluation Plan'!E22</x:f>
      </x:c>
      <x:c r="F22" s="41" t="str">
        <x:f>'Evaluation Plan'!F22</x:f>
        <x:v>35</x:v>
      </x:c>
      <x:c r="G22" s="40" t="str">
        <x:f>'Evaluation Plan'!G22</x:f>
        <x:v>Physical-state and manipulation-trajectory reference under a direct category prompt; the evaluated state word × object-category cell is intentionally absent from training.</x:v>
      </x:c>
      <x:c r="H22" s="40" t="str">
        <x:f>'Evaluation Plan'!H22</x:f>
        <x:v>white cup A</x:v>
      </x:c>
      <x:c r="I22" s="40" t="str"/>
      <x:c r="J22" s="45" t="str">
        <x:f>'Evaluation Plan'!J22</x:f>
        <x:v>Concept/compositional transfer</x:v>
      </x:c>
      <x:c r="K22" s="41" t="str">
        <x:f>'Evaluation Plan'!K22</x:f>
        <x:v>SR-CT01</x:v>
      </x:c>
      <x:c r="L22" s="41" t="str">
        <x:f>'Evaluation Plan'!L22</x:f>
        <x:v>UD</x:v>
      </x:c>
      <x:c r="M22" s="41" t="str">
        <x:f>'Evaluation Plan'!M22</x:f>
        <x:v>white cup</x:v>
      </x:c>
      <x:c r="N22" s="41" t="n">
        <x:f>'Evaluation Plan'!N22</x:f>
        <x:v>2</x:v>
      </x:c>
      <x:c r="O22" s="41" t="n">
        <x:f>'Evaluation Plan'!O22</x:f>
        <x:v>1</x:v>
      </x:c>
      <x:c r="P22" s="41" t="str">
        <x:f>'Evaluation Plan'!P22</x:f>
        <x:v>Empty</x:v>
      </x:c>
      <x:c r="Q22" s="40" t="str">
        <x:f>'Evaluation Plan'!Q22</x:f>
        <x:v>Primary held-out state-object composition</x:v>
      </x:c>
      <x:c r="R22" s="41" t="n">
        <x:f>'Evaluation Plan'!R22</x:f>
        <x:v>2</x:v>
      </x:c>
      <x:c r="S22" s="40" t="str">
        <x:f>'Evaluation Plan'!S22</x:f>
        <x:v>Build the listed same-category discrimination scene with the bowl empty.</x:v>
      </x:c>
      <x:c r="T22" s="40" t="str">
        <x:f>'Evaluation Plan'!T22</x:f>
        <x:v>Two same-category candidates share the non-queried state axis; only the held-out state word identifies the target.</x:v>
      </x:c>
      <x:c r="U22" s="40" t="n">
        <x:f>'Evaluation Plan'!U22</x:f>
        <x:v>0</x:v>
      </x:c>
    </x:row>
    <x:row r="23" ht="51" customHeight="1">
      <x:c r="A23" s="32" t="str">
        <x:v>Not collected</x:v>
      </x:c>
      <x:c r="B23" s="34" t="n">
        <x:f>'Evaluation Plan'!B23</x:f>
        <x:v>21</x:v>
      </x:c>
      <x:c r="C23" s="32" t="str">
        <x:f>'Evaluation Plan'!C23</x:f>
        <x:v>Place the upright white cup in the bowl.</x:v>
      </x:c>
      <x:c r="D23" s="32" t="str">
        <x:f>'Evaluation Plan'!D23</x:f>
        <x:v>white cup A (C, UD); white cup B (C, RU)</x:v>
      </x:c>
      <x:c r="E23" s="34" t="n">
        <x:f>'Evaluation Plan'!E23</x:f>
        <x:v>20</x:v>
      </x:c>
      <x:c r="F23" s="34" t="str">
        <x:f>'Evaluation Plan'!F23</x:f>
        <x:v>27</x:v>
      </x:c>
      <x:c r="G23" s="32" t="str">
        <x:f>'Evaluation Plan'!G23</x:f>
        <x:v>Training-supported state-object cell for the control. The evaluation scene is shared exactly with the paired transfer row, while the physical layout is manually recreated.</x:v>
      </x:c>
      <x:c r="H23" s="32" t="str">
        <x:f>'Evaluation Plan'!H23</x:f>
        <x:v>white cup B</x:v>
      </x:c>
      <x:c r="I23" s="32" t="str"/>
      <x:c r="J23" s="37" t="str">
        <x:f>'Evaluation Plan'!J23</x:f>
        <x:v>Matched manipulation control</x:v>
      </x:c>
      <x:c r="K23" s="34" t="str">
        <x:f>'Evaluation Plan'!K23</x:f>
        <x:v>SR-CT01</x:v>
      </x:c>
      <x:c r="L23" s="34" t="str">
        <x:f>'Evaluation Plan'!L23</x:f>
        <x:v>RU</x:v>
      </x:c>
      <x:c r="M23" s="34" t="str">
        <x:f>'Evaluation Plan'!M23</x:f>
        <x:v>white cup</x:v>
      </x:c>
      <x:c r="N23" s="34" t="n">
        <x:f>'Evaluation Plan'!N23</x:f>
        <x:v>2</x:v>
      </x:c>
      <x:c r="O23" s="34" t="n">
        <x:f>'Evaluation Plan'!O23</x:f>
        <x:v>1</x:v>
      </x:c>
      <x:c r="P23" s="34" t="str">
        <x:f>'Evaluation Plan'!P23</x:f>
        <x:v>Empty</x:v>
      </x:c>
      <x:c r="Q23" s="32" t="str">
        <x:f>'Evaluation Plan'!Q23</x:f>
        <x:v>Exact-scene trained state-object counterfactual</x:v>
      </x:c>
      <x:c r="R23" s="34" t="n">
        <x:f>'Evaluation Plan'!R23</x:f>
        <x:v>2</x:v>
      </x:c>
      <x:c r="S23" s="32" t="str">
        <x:f>'Evaluation Plan'!S23</x:f>
        <x:v>Reset the moved object exactly; preserve every object and state; change only the prompt and expected target.</x:v>
      </x:c>
      <x:c r="T23" s="32" t="str">
        <x:f>'Evaluation Plan'!T23</x:f>
        <x:v>The correct target switches to the other same-category instance. This cell is explicit in training and controls recognition/manipulation in the transfer scene.</x:v>
      </x:c>
      <x:c r="U23" s="32" t="n">
        <x:f>'Evaluation Plan'!U23</x:f>
        <x:v>0</x:v>
      </x:c>
    </x:row>
    <x:row r="24" ht="51" customHeight="1">
      <x:c r="A24" s="31" t="str">
        <x:v>Not collected</x:v>
      </x:c>
      <x:c r="B24" s="33" t="n">
        <x:f>'Evaluation Plan'!B24</x:f>
        <x:v>22</x:v>
      </x:c>
      <x:c r="C24" s="31" t="str">
        <x:f>'Evaluation Plan'!C24</x:f>
        <x:v>Move the inverted white cup into the bowl.</x:v>
      </x:c>
      <x:c r="D24" s="31" t="str">
        <x:f>'Evaluation Plan'!D24</x:f>
        <x:v>white cup A (C, UD); white cup B (C, RU)</x:v>
      </x:c>
      <x:c r="E24" s="33" t="n">
        <x:f>'Evaluation Plan'!E24</x:f>
        <x:v>20</x:v>
      </x:c>
      <x:c r="F24" s="33" t="str">
        <x:f>'Evaluation Plan'!F24</x:f>
        <x:v>35</x:v>
      </x:c>
      <x:c r="G24" s="31" t="str">
        <x:f>'Evaluation Plan'!G24</x:f>
        <x:v>The canonical transfer scene and masked trajectory reference are unchanged; only the evaluation wording is paraphrased. This remains a language diagnostic and is not pooled into the primary 50.</x:v>
      </x:c>
      <x:c r="H24" s="31" t="str">
        <x:f>'Evaluation Plan'!H24</x:f>
        <x:v>white cup A</x:v>
      </x:c>
      <x:c r="I24" s="31" t="str"/>
      <x:c r="J24" s="38" t="str">
        <x:f>'Evaluation Plan'!J24</x:f>
        <x:v>Language robustness</x:v>
      </x:c>
      <x:c r="K24" s="33" t="str">
        <x:f>'Evaluation Plan'!K24</x:f>
        <x:v>SR-CT01</x:v>
      </x:c>
      <x:c r="L24" s="33" t="str">
        <x:f>'Evaluation Plan'!L24</x:f>
        <x:v>UD</x:v>
      </x:c>
      <x:c r="M24" s="33" t="str">
        <x:f>'Evaluation Plan'!M24</x:f>
        <x:v>white cup</x:v>
      </x:c>
      <x:c r="N24" s="33" t="n">
        <x:f>'Evaluation Plan'!N24</x:f>
        <x:v>2</x:v>
      </x:c>
      <x:c r="O24" s="33" t="n">
        <x:f>'Evaluation Plan'!O24</x:f>
        <x:v>1</x:v>
      </x:c>
      <x:c r="P24" s="33" t="str">
        <x:f>'Evaluation Plan'!P24</x:f>
        <x:v>Empty</x:v>
      </x:c>
      <x:c r="Q24" s="31" t="str">
        <x:f>'Evaluation Plan'!Q24</x:f>
        <x:v>Primary compositional-transfer prompt paraphrase</x:v>
      </x:c>
      <x:c r="R24" s="33" t="n">
        <x:f>'Evaluation Plan'!R24</x:f>
        <x:v>2</x:v>
      </x:c>
      <x:c r="S24" s="31" t="str">
        <x:f>'Evaluation Plan'!S24</x:f>
        <x:v>Reset the moved object exactly; preserve every object and state; change only the prompt wording.</x:v>
      </x:c>
      <x:c r="T24" s="31" t="str">
        <x:f>'Evaluation Plan'!T24</x:f>
        <x:v>Exact-scene paraphrase of one of the 50 canonical compositional-transfer trials.</x:v>
      </x:c>
      <x:c r="U24" s="31" t="n">
        <x:f>'Evaluation Plan'!U24</x:f>
        <x:v>0</x:v>
      </x:c>
    </x:row>
    <x:row r="25" ht="51" customHeight="1">
      <x:c r="A25" s="32" t="str">
        <x:v>Not collected</x:v>
      </x:c>
      <x:c r="B25" s="34" t="n">
        <x:f>'Evaluation Plan'!B25</x:f>
        <x:v>23</x:v>
      </x:c>
      <x:c r="C25" s="32" t="str">
        <x:f>'Evaluation Plan'!C25</x:f>
        <x:v>Move the right-side-up white cup into the bowl.</x:v>
      </x:c>
      <x:c r="D25" s="32" t="str">
        <x:f>'Evaluation Plan'!D25</x:f>
        <x:v>white cup A (C, UD); white cup B (C, RU)</x:v>
      </x:c>
      <x:c r="E25" s="34" t="n">
        <x:f>'Evaluation Plan'!E25</x:f>
        <x:v>21</x:v>
      </x:c>
      <x:c r="F25" s="34" t="str">
        <x:f>'Evaluation Plan'!F25</x:f>
        <x:v>27</x:v>
      </x:c>
      <x:c r="G25" s="32" t="str">
        <x:f>'Evaluation Plan'!G25</x:f>
        <x:v>Canonical matched-control cell is training-supported; evaluation wording is paraphrased. No held-out composition is used.</x:v>
      </x:c>
      <x:c r="H25" s="32" t="str">
        <x:f>'Evaluation Plan'!H25</x:f>
        <x:v>white cup B</x:v>
      </x:c>
      <x:c r="I25" s="32" t="str"/>
      <x:c r="J25" s="38" t="str">
        <x:f>'Evaluation Plan'!J25</x:f>
        <x:v>Language robustness</x:v>
      </x:c>
      <x:c r="K25" s="34" t="str">
        <x:f>'Evaluation Plan'!K25</x:f>
        <x:v>SR-CT01</x:v>
      </x:c>
      <x:c r="L25" s="34" t="str">
        <x:f>'Evaluation Plan'!L25</x:f>
        <x:v>RU</x:v>
      </x:c>
      <x:c r="M25" s="34" t="str">
        <x:f>'Evaluation Plan'!M25</x:f>
        <x:v>white cup</x:v>
      </x:c>
      <x:c r="N25" s="34" t="n">
        <x:f>'Evaluation Plan'!N25</x:f>
        <x:v>2</x:v>
      </x:c>
      <x:c r="O25" s="34" t="n">
        <x:f>'Evaluation Plan'!O25</x:f>
        <x:v>1</x:v>
      </x:c>
      <x:c r="P25" s="34" t="str">
        <x:f>'Evaluation Plan'!P25</x:f>
        <x:v>Empty</x:v>
      </x:c>
      <x:c r="Q25" s="32" t="str">
        <x:f>'Evaluation Plan'!Q25</x:f>
        <x:v>Matched-control state prompt paraphrase</x:v>
      </x:c>
      <x:c r="R25" s="34" t="n">
        <x:f>'Evaluation Plan'!R25</x:f>
        <x:v>2</x:v>
      </x:c>
      <x:c r="S25" s="32" t="str">
        <x:f>'Evaluation Plan'!S25</x:f>
        <x:v>Reset the moved object exactly; preserve the scene; change only the prompt wording.</x:v>
      </x:c>
      <x:c r="T25" s="32" t="str">
        <x:f>'Evaluation Plan'!T25</x:f>
        <x:v>This is one of 10 language trials paired with a matched trained-state control.</x:v>
      </x:c>
      <x:c r="U25" s="32" t="n">
        <x:f>'Evaluation Plan'!U25</x:f>
        <x:v>0</x:v>
      </x:c>
    </x:row>
    <x:row r="26" ht="51" customHeight="1">
      <x:c r="A26" s="40" t="str">
        <x:v>Not collected</x:v>
      </x:c>
      <x:c r="B26" s="41" t="n">
        <x:f>'Evaluation Plan'!B26</x:f>
        <x:v>24</x:v>
      </x:c>
      <x:c r="C26" s="40" t="str">
        <x:f>'Evaluation Plan'!C26</x:f>
        <x:v>Place the open yellow-white striped cup in the bowl.</x:v>
      </x:c>
      <x:c r="D26" s="40" t="str">
        <x:f>'Evaluation Plan'!D26</x:f>
        <x:v>yellow-white striped cup B (O, RU); yellow-white striped cup A (C, RU); brown cup B (O, RU)</x:v>
      </x:c>
      <x:c r="E26" s="41" t="str">
        <x:f>'Evaluation Plan'!E26</x:f>
      </x:c>
      <x:c r="F26" s="41" t="str">
        <x:f>'Evaluation Plan'!F26</x:f>
        <x:v>64</x:v>
      </x:c>
      <x:c r="G26" s="40" t="str">
        <x:f>'Evaluation Plan'!G26</x:f>
        <x:v>Physical-state and manipulation-trajectory reference under a direct category prompt; the evaluated state word × object-category cell is intentionally absent from training.</x:v>
      </x:c>
      <x:c r="H26" s="40" t="str">
        <x:f>'Evaluation Plan'!H26</x:f>
        <x:v>yellow-white striped cup B</x:v>
      </x:c>
      <x:c r="I26" s="40" t="str"/>
      <x:c r="J26" s="45" t="str">
        <x:f>'Evaluation Plan'!J26</x:f>
        <x:v>Concept/compositional transfer</x:v>
      </x:c>
      <x:c r="K26" s="41" t="str">
        <x:f>'Evaluation Plan'!K26</x:f>
        <x:v>SR-CT02</x:v>
      </x:c>
      <x:c r="L26" s="41" t="str">
        <x:f>'Evaluation Plan'!L26</x:f>
        <x:v>O</x:v>
      </x:c>
      <x:c r="M26" s="41" t="str">
        <x:f>'Evaluation Plan'!M26</x:f>
        <x:v>yellow-white striped cup</x:v>
      </x:c>
      <x:c r="N26" s="41" t="n">
        <x:f>'Evaluation Plan'!N26</x:f>
        <x:v>3</x:v>
      </x:c>
      <x:c r="O26" s="41" t="n">
        <x:f>'Evaluation Plan'!O26</x:f>
        <x:v>1</x:v>
      </x:c>
      <x:c r="P26" s="41" t="str">
        <x:f>'Evaluation Plan'!P26</x:f>
        <x:v>Empty</x:v>
      </x:c>
      <x:c r="Q26" s="40" t="str">
        <x:f>'Evaluation Plan'!Q26</x:f>
        <x:v>Primary held-out state-object composition</x:v>
      </x:c>
      <x:c r="R26" s="41" t="n">
        <x:f>'Evaluation Plan'!R26</x:f>
        <x:v>2</x:v>
      </x:c>
      <x:c r="S26" s="40" t="str">
        <x:f>'Evaluation Plan'!S26</x:f>
        <x:v>Build the listed same-category discrimination scene with the bowl empty.</x:v>
      </x:c>
      <x:c r="T26" s="40" t="str">
        <x:f>'Evaluation Plan'!T26</x:f>
        <x:v>Two same-category candidates share the non-queried state axis; only the held-out state word identifies the target.</x:v>
      </x:c>
      <x:c r="U26" s="40" t="n">
        <x:f>'Evaluation Plan'!U26</x:f>
        <x:v>0</x:v>
      </x:c>
    </x:row>
    <x:row r="27" ht="51" customHeight="1">
      <x:c r="A27" s="32" t="str">
        <x:v>Not collected</x:v>
      </x:c>
      <x:c r="B27" s="34" t="n">
        <x:f>'Evaluation Plan'!B27</x:f>
        <x:v>25</x:v>
      </x:c>
      <x:c r="C27" s="32" t="str">
        <x:f>'Evaluation Plan'!C27</x:f>
        <x:v>Place the closed yellow-white striped cup in the bowl.</x:v>
      </x:c>
      <x:c r="D27" s="32" t="str">
        <x:f>'Evaluation Plan'!D27</x:f>
        <x:v>yellow-white striped cup B (O, RU); yellow-white striped cup A (C, RU); brown cup B (O, RU)</x:v>
      </x:c>
      <x:c r="E27" s="34" t="n">
        <x:f>'Evaluation Plan'!E27</x:f>
        <x:v>24</x:v>
      </x:c>
      <x:c r="F27" s="34" t="str">
        <x:f>'Evaluation Plan'!F27</x:f>
        <x:v>55</x:v>
      </x:c>
      <x:c r="G27" s="32" t="str">
        <x:f>'Evaluation Plan'!G27</x:f>
        <x:v>Training-supported state-object cell for the control. The evaluation scene is shared exactly with the paired transfer row, while the physical layout is manually recreated.</x:v>
      </x:c>
      <x:c r="H27" s="32" t="str">
        <x:f>'Evaluation Plan'!H27</x:f>
        <x:v>yellow-white striped cup A</x:v>
      </x:c>
      <x:c r="I27" s="32" t="str"/>
      <x:c r="J27" s="37" t="str">
        <x:f>'Evaluation Plan'!J27</x:f>
        <x:v>Matched manipulation control</x:v>
      </x:c>
      <x:c r="K27" s="34" t="str">
        <x:f>'Evaluation Plan'!K27</x:f>
        <x:v>SR-CT02</x:v>
      </x:c>
      <x:c r="L27" s="34" t="str">
        <x:f>'Evaluation Plan'!L27</x:f>
        <x:v>C</x:v>
      </x:c>
      <x:c r="M27" s="34" t="str">
        <x:f>'Evaluation Plan'!M27</x:f>
        <x:v>yellow-white striped cup</x:v>
      </x:c>
      <x:c r="N27" s="34" t="n">
        <x:f>'Evaluation Plan'!N27</x:f>
        <x:v>3</x:v>
      </x:c>
      <x:c r="O27" s="34" t="n">
        <x:f>'Evaluation Plan'!O27</x:f>
        <x:v>1</x:v>
      </x:c>
      <x:c r="P27" s="34" t="str">
        <x:f>'Evaluation Plan'!P27</x:f>
        <x:v>Empty</x:v>
      </x:c>
      <x:c r="Q27" s="32" t="str">
        <x:f>'Evaluation Plan'!Q27</x:f>
        <x:v>Exact-scene trained state-object counterfactual</x:v>
      </x:c>
      <x:c r="R27" s="34" t="n">
        <x:f>'Evaluation Plan'!R27</x:f>
        <x:v>2</x:v>
      </x:c>
      <x:c r="S27" s="32" t="str">
        <x:f>'Evaluation Plan'!S27</x:f>
        <x:v>Reset the moved object exactly; preserve every object and state; change only the prompt and expected target.</x:v>
      </x:c>
      <x:c r="T27" s="32" t="str">
        <x:f>'Evaluation Plan'!T27</x:f>
        <x:v>The correct target switches to the other same-category instance. This cell is explicit in training and controls recognition/manipulation in the transfer scene.</x:v>
      </x:c>
      <x:c r="U27" s="32" t="n">
        <x:f>'Evaluation Plan'!U27</x:f>
        <x:v>0</x:v>
      </x:c>
    </x:row>
    <x:row r="28" ht="51" customHeight="1">
      <x:c r="A28" s="31" t="str">
        <x:v>Not collected</x:v>
      </x:c>
      <x:c r="B28" s="33" t="n">
        <x:f>'Evaluation Plan'!B28</x:f>
        <x:v>26</x:v>
      </x:c>
      <x:c r="C28" s="31" t="str">
        <x:f>'Evaluation Plan'!C28</x:f>
        <x:v>Move the yellow-white striped cup whose opening is uncovered into the bowl.</x:v>
      </x:c>
      <x:c r="D28" s="31" t="str">
        <x:f>'Evaluation Plan'!D28</x:f>
        <x:v>yellow-white striped cup B (O, RU); yellow-white striped cup A (C, RU); brown cup B (O, RU)</x:v>
      </x:c>
      <x:c r="E28" s="33" t="n">
        <x:f>'Evaluation Plan'!E28</x:f>
        <x:v>24</x:v>
      </x:c>
      <x:c r="F28" s="33" t="str">
        <x:f>'Evaluation Plan'!F28</x:f>
        <x:v>64</x:v>
      </x:c>
      <x:c r="G28" s="31" t="str">
        <x:f>'Evaluation Plan'!G28</x:f>
        <x:v>The canonical transfer scene and masked trajectory reference are unchanged; only the evaluation wording is paraphrased. This remains a language diagnostic and is not pooled into the primary 50.</x:v>
      </x:c>
      <x:c r="H28" s="31" t="str">
        <x:f>'Evaluation Plan'!H28</x:f>
        <x:v>yellow-white striped cup B</x:v>
      </x:c>
      <x:c r="I28" s="31" t="str"/>
      <x:c r="J28" s="38" t="str">
        <x:f>'Evaluation Plan'!J28</x:f>
        <x:v>Language robustness</x:v>
      </x:c>
      <x:c r="K28" s="33" t="str">
        <x:f>'Evaluation Plan'!K28</x:f>
        <x:v>SR-CT02</x:v>
      </x:c>
      <x:c r="L28" s="33" t="str">
        <x:f>'Evaluation Plan'!L28</x:f>
        <x:v>O</x:v>
      </x:c>
      <x:c r="M28" s="33" t="str">
        <x:f>'Evaluation Plan'!M28</x:f>
        <x:v>yellow-white striped cup</x:v>
      </x:c>
      <x:c r="N28" s="33" t="n">
        <x:f>'Evaluation Plan'!N28</x:f>
        <x:v>3</x:v>
      </x:c>
      <x:c r="O28" s="33" t="n">
        <x:f>'Evaluation Plan'!O28</x:f>
        <x:v>1</x:v>
      </x:c>
      <x:c r="P28" s="33" t="str">
        <x:f>'Evaluation Plan'!P28</x:f>
        <x:v>Empty</x:v>
      </x:c>
      <x:c r="Q28" s="31" t="str">
        <x:f>'Evaluation Plan'!Q28</x:f>
        <x:v>Primary compositional-transfer prompt paraphrase</x:v>
      </x:c>
      <x:c r="R28" s="33" t="n">
        <x:f>'Evaluation Plan'!R28</x:f>
        <x:v>2</x:v>
      </x:c>
      <x:c r="S28" s="31" t="str">
        <x:f>'Evaluation Plan'!S28</x:f>
        <x:v>Reset the moved object exactly; preserve every object and state; change only the prompt wording.</x:v>
      </x:c>
      <x:c r="T28" s="31" t="str">
        <x:f>'Evaluation Plan'!T28</x:f>
        <x:v>Exact-scene paraphrase of one of the 50 canonical compositional-transfer trials.</x:v>
      </x:c>
      <x:c r="U28" s="31" t="n">
        <x:f>'Evaluation Plan'!U28</x:f>
        <x:v>0</x:v>
      </x:c>
    </x:row>
    <x:row r="29" ht="51" customHeight="1">
      <x:c r="A29" s="32" t="str">
        <x:v>Not collected</x:v>
      </x:c>
      <x:c r="B29" s="34" t="n">
        <x:f>'Evaluation Plan'!B29</x:f>
        <x:v>27</x:v>
      </x:c>
      <x:c r="C29" s="32" t="str">
        <x:f>'Evaluation Plan'!C29</x:f>
        <x:v>Move the yellow-white striped cup whose opening is covered into the bowl.</x:v>
      </x:c>
      <x:c r="D29" s="32" t="str">
        <x:f>'Evaluation Plan'!D29</x:f>
        <x:v>yellow-white striped cup B (O, RU); yellow-white striped cup A (C, RU); brown cup B (O, RU)</x:v>
      </x:c>
      <x:c r="E29" s="34" t="n">
        <x:f>'Evaluation Plan'!E29</x:f>
        <x:v>25</x:v>
      </x:c>
      <x:c r="F29" s="34" t="str">
        <x:f>'Evaluation Plan'!F29</x:f>
        <x:v>55</x:v>
      </x:c>
      <x:c r="G29" s="32" t="str">
        <x:f>'Evaluation Plan'!G29</x:f>
        <x:v>Canonical matched-control cell is training-supported; evaluation wording is paraphrased. No held-out composition is used.</x:v>
      </x:c>
      <x:c r="H29" s="32" t="str">
        <x:f>'Evaluation Plan'!H29</x:f>
        <x:v>yellow-white striped cup A</x:v>
      </x:c>
      <x:c r="I29" s="32" t="str"/>
      <x:c r="J29" s="38" t="str">
        <x:f>'Evaluation Plan'!J29</x:f>
        <x:v>Language robustness</x:v>
      </x:c>
      <x:c r="K29" s="34" t="str">
        <x:f>'Evaluation Plan'!K29</x:f>
        <x:v>SR-CT02</x:v>
      </x:c>
      <x:c r="L29" s="34" t="str">
        <x:f>'Evaluation Plan'!L29</x:f>
        <x:v>C</x:v>
      </x:c>
      <x:c r="M29" s="34" t="str">
        <x:f>'Evaluation Plan'!M29</x:f>
        <x:v>yellow-white striped cup</x:v>
      </x:c>
      <x:c r="N29" s="34" t="n">
        <x:f>'Evaluation Plan'!N29</x:f>
        <x:v>3</x:v>
      </x:c>
      <x:c r="O29" s="34" t="n">
        <x:f>'Evaluation Plan'!O29</x:f>
        <x:v>1</x:v>
      </x:c>
      <x:c r="P29" s="34" t="str">
        <x:f>'Evaluation Plan'!P29</x:f>
        <x:v>Empty</x:v>
      </x:c>
      <x:c r="Q29" s="32" t="str">
        <x:f>'Evaluation Plan'!Q29</x:f>
        <x:v>Matched-control state prompt paraphrase</x:v>
      </x:c>
      <x:c r="R29" s="34" t="n">
        <x:f>'Evaluation Plan'!R29</x:f>
        <x:v>2</x:v>
      </x:c>
      <x:c r="S29" s="32" t="str">
        <x:f>'Evaluation Plan'!S29</x:f>
        <x:v>Reset the moved object exactly; preserve the scene; change only the prompt wording.</x:v>
      </x:c>
      <x:c r="T29" s="32" t="str">
        <x:f>'Evaluation Plan'!T29</x:f>
        <x:v>This is one of 10 language trials paired with a matched trained-state control.</x:v>
      </x:c>
      <x:c r="U29" s="32" t="n">
        <x:f>'Evaluation Plan'!U29</x:f>
        <x:v>0</x:v>
      </x:c>
    </x:row>
    <x:row r="30" ht="51" customHeight="1">
      <x:c r="A30" s="40" t="str">
        <x:v>Not collected</x:v>
      </x:c>
      <x:c r="B30" s="41" t="n">
        <x:f>'Evaluation Plan'!B30</x:f>
        <x:v>28</x:v>
      </x:c>
      <x:c r="C30" s="40" t="str">
        <x:f>'Evaluation Plan'!C30</x:f>
        <x:v>Place the closed brown cup in the bowl.</x:v>
      </x:c>
      <x:c r="D30" s="40" t="str">
        <x:f>'Evaluation Plan'!D30</x:f>
        <x:v>brown cup A (C, RU); brown cup B (O, RU); glass spice container A (C, UD); white cup B (O, UD)</x:v>
      </x:c>
      <x:c r="E30" s="41" t="str">
        <x:f>'Evaluation Plan'!E30</x:f>
      </x:c>
      <x:c r="F30" s="41" t="str">
        <x:f>'Evaluation Plan'!F30</x:f>
        <x:v>100</x:v>
      </x:c>
      <x:c r="G30" s="40" t="str">
        <x:f>'Evaluation Plan'!G30</x:f>
        <x:v>Physical-state and manipulation-trajectory reference under a direct category prompt; the evaluated state word × object-category cell is intentionally absent from training.</x:v>
      </x:c>
      <x:c r="H30" s="40" t="str">
        <x:f>'Evaluation Plan'!H30</x:f>
        <x:v>brown cup A</x:v>
      </x:c>
      <x:c r="I30" s="40" t="str"/>
      <x:c r="J30" s="45" t="str">
        <x:f>'Evaluation Plan'!J30</x:f>
        <x:v>Concept/compositional transfer</x:v>
      </x:c>
      <x:c r="K30" s="41" t="str">
        <x:f>'Evaluation Plan'!K30</x:f>
        <x:v>SR-CT03</x:v>
      </x:c>
      <x:c r="L30" s="41" t="str">
        <x:f>'Evaluation Plan'!L30</x:f>
        <x:v>C</x:v>
      </x:c>
      <x:c r="M30" s="41" t="str">
        <x:f>'Evaluation Plan'!M30</x:f>
        <x:v>brown cup</x:v>
      </x:c>
      <x:c r="N30" s="41" t="n">
        <x:f>'Evaluation Plan'!N30</x:f>
        <x:v>4</x:v>
      </x:c>
      <x:c r="O30" s="41" t="n">
        <x:f>'Evaluation Plan'!O30</x:f>
        <x:v>1</x:v>
      </x:c>
      <x:c r="P30" s="41" t="str">
        <x:f>'Evaluation Plan'!P30</x:f>
        <x:v>Empty</x:v>
      </x:c>
      <x:c r="Q30" s="40" t="str">
        <x:f>'Evaluation Plan'!Q30</x:f>
        <x:v>Primary held-out state-object composition</x:v>
      </x:c>
      <x:c r="R30" s="41" t="n">
        <x:f>'Evaluation Plan'!R30</x:f>
        <x:v>2</x:v>
      </x:c>
      <x:c r="S30" s="40" t="str">
        <x:f>'Evaluation Plan'!S30</x:f>
        <x:v>Build the listed same-category discrimination scene with the bowl empty.</x:v>
      </x:c>
      <x:c r="T30" s="40" t="str">
        <x:f>'Evaluation Plan'!T30</x:f>
        <x:v>Two same-category candidates share the non-queried state axis; only the held-out state word identifies the target.</x:v>
      </x:c>
      <x:c r="U30" s="40" t="n">
        <x:f>'Evaluation Plan'!U30</x:f>
        <x:v>0</x:v>
      </x:c>
    </x:row>
    <x:row r="31" ht="51" customHeight="1">
      <x:c r="A31" s="32" t="str">
        <x:v>Not collected</x:v>
      </x:c>
      <x:c r="B31" s="34" t="n">
        <x:f>'Evaluation Plan'!B31</x:f>
        <x:v>29</x:v>
      </x:c>
      <x:c r="C31" s="32" t="str">
        <x:f>'Evaluation Plan'!C31</x:f>
        <x:v>Place the open brown cup in the bowl.</x:v>
      </x:c>
      <x:c r="D31" s="32" t="str">
        <x:f>'Evaluation Plan'!D31</x:f>
        <x:v>brown cup A (C, RU); brown cup B (O, RU); glass spice container A (C, UD); white cup B (O, UD)</x:v>
      </x:c>
      <x:c r="E31" s="34" t="n">
        <x:f>'Evaluation Plan'!E31</x:f>
        <x:v>28</x:v>
      </x:c>
      <x:c r="F31" s="34" t="str">
        <x:f>'Evaluation Plan'!F31</x:f>
        <x:v>104</x:v>
      </x:c>
      <x:c r="G31" s="32" t="str">
        <x:f>'Evaluation Plan'!G31</x:f>
        <x:v>Training-supported state-object cell for the control. The evaluation scene is shared exactly with the paired transfer row, while the physical layout is manually recreated.</x:v>
      </x:c>
      <x:c r="H31" s="32" t="str">
        <x:f>'Evaluation Plan'!H31</x:f>
        <x:v>brown cup B</x:v>
      </x:c>
      <x:c r="I31" s="32" t="str"/>
      <x:c r="J31" s="37" t="str">
        <x:f>'Evaluation Plan'!J31</x:f>
        <x:v>Matched manipulation control</x:v>
      </x:c>
      <x:c r="K31" s="34" t="str">
        <x:f>'Evaluation Plan'!K31</x:f>
        <x:v>SR-CT03</x:v>
      </x:c>
      <x:c r="L31" s="34" t="str">
        <x:f>'Evaluation Plan'!L31</x:f>
        <x:v>O</x:v>
      </x:c>
      <x:c r="M31" s="34" t="str">
        <x:f>'Evaluation Plan'!M31</x:f>
        <x:v>brown cup</x:v>
      </x:c>
      <x:c r="N31" s="34" t="n">
        <x:f>'Evaluation Plan'!N31</x:f>
        <x:v>4</x:v>
      </x:c>
      <x:c r="O31" s="34" t="n">
        <x:f>'Evaluation Plan'!O31</x:f>
        <x:v>1</x:v>
      </x:c>
      <x:c r="P31" s="34" t="str">
        <x:f>'Evaluation Plan'!P31</x:f>
        <x:v>Empty</x:v>
      </x:c>
      <x:c r="Q31" s="32" t="str">
        <x:f>'Evaluation Plan'!Q31</x:f>
        <x:v>Exact-scene trained state-object counterfactual</x:v>
      </x:c>
      <x:c r="R31" s="34" t="n">
        <x:f>'Evaluation Plan'!R31</x:f>
        <x:v>2</x:v>
      </x:c>
      <x:c r="S31" s="32" t="str">
        <x:f>'Evaluation Plan'!S31</x:f>
        <x:v>Reset the moved object exactly; preserve every object and state; change only the prompt and expected target.</x:v>
      </x:c>
      <x:c r="T31" s="32" t="str">
        <x:f>'Evaluation Plan'!T31</x:f>
        <x:v>The correct target switches to the other same-category instance. This cell is explicit in training and controls recognition/manipulation in the transfer scene.</x:v>
      </x:c>
      <x:c r="U31" s="32" t="n">
        <x:f>'Evaluation Plan'!U31</x:f>
        <x:v>0</x:v>
      </x:c>
    </x:row>
    <x:row r="32" ht="51" customHeight="1">
      <x:c r="A32" s="31" t="str">
        <x:v>Not collected</x:v>
      </x:c>
      <x:c r="B32" s="33" t="n">
        <x:f>'Evaluation Plan'!B32</x:f>
        <x:v>30</x:v>
      </x:c>
      <x:c r="C32" s="31" t="str">
        <x:f>'Evaluation Plan'!C32</x:f>
        <x:v>Move the brown cup whose opening is covered into the bowl.</x:v>
      </x:c>
      <x:c r="D32" s="31" t="str">
        <x:f>'Evaluation Plan'!D32</x:f>
        <x:v>brown cup A (C, RU); brown cup B (O, RU); glass spice container A (C, UD); white cup B (O, UD)</x:v>
      </x:c>
      <x:c r="E32" s="33" t="n">
        <x:f>'Evaluation Plan'!E32</x:f>
        <x:v>28</x:v>
      </x:c>
      <x:c r="F32" s="33" t="str">
        <x:f>'Evaluation Plan'!F32</x:f>
        <x:v>100</x:v>
      </x:c>
      <x:c r="G32" s="31" t="str">
        <x:f>'Evaluation Plan'!G32</x:f>
        <x:v>The canonical transfer scene and masked trajectory reference are unchanged; only the evaluation wording is paraphrased. This remains a language diagnostic and is not pooled into the primary 50.</x:v>
      </x:c>
      <x:c r="H32" s="31" t="str">
        <x:f>'Evaluation Plan'!H32</x:f>
        <x:v>brown cup A</x:v>
      </x:c>
      <x:c r="I32" s="31" t="str"/>
      <x:c r="J32" s="38" t="str">
        <x:f>'Evaluation Plan'!J32</x:f>
        <x:v>Language robustness</x:v>
      </x:c>
      <x:c r="K32" s="33" t="str">
        <x:f>'Evaluation Plan'!K32</x:f>
        <x:v>SR-CT03</x:v>
      </x:c>
      <x:c r="L32" s="33" t="str">
        <x:f>'Evaluation Plan'!L32</x:f>
        <x:v>C</x:v>
      </x:c>
      <x:c r="M32" s="33" t="str">
        <x:f>'Evaluation Plan'!M32</x:f>
        <x:v>brown cup</x:v>
      </x:c>
      <x:c r="N32" s="33" t="n">
        <x:f>'Evaluation Plan'!N32</x:f>
        <x:v>4</x:v>
      </x:c>
      <x:c r="O32" s="33" t="n">
        <x:f>'Evaluation Plan'!O32</x:f>
        <x:v>1</x:v>
      </x:c>
      <x:c r="P32" s="33" t="str">
        <x:f>'Evaluation Plan'!P32</x:f>
        <x:v>Empty</x:v>
      </x:c>
      <x:c r="Q32" s="31" t="str">
        <x:f>'Evaluation Plan'!Q32</x:f>
        <x:v>Primary compositional-transfer prompt paraphrase</x:v>
      </x:c>
      <x:c r="R32" s="33" t="n">
        <x:f>'Evaluation Plan'!R32</x:f>
        <x:v>2</x:v>
      </x:c>
      <x:c r="S32" s="31" t="str">
        <x:f>'Evaluation Plan'!S32</x:f>
        <x:v>Reset the moved object exactly; preserve every object and state; change only the prompt wording.</x:v>
      </x:c>
      <x:c r="T32" s="31" t="str">
        <x:f>'Evaluation Plan'!T32</x:f>
        <x:v>Exact-scene paraphrase of one of the 50 canonical compositional-transfer trials.</x:v>
      </x:c>
      <x:c r="U32" s="31" t="n">
        <x:f>'Evaluation Plan'!U32</x:f>
        <x:v>0</x:v>
      </x:c>
    </x:row>
    <x:row r="33" ht="51" customHeight="1">
      <x:c r="A33" s="32" t="str">
        <x:v>Not collected</x:v>
      </x:c>
      <x:c r="B33" s="34" t="n">
        <x:f>'Evaluation Plan'!B33</x:f>
        <x:v>31</x:v>
      </x:c>
      <x:c r="C33" s="32" t="str">
        <x:f>'Evaluation Plan'!C33</x:f>
        <x:v>Move the brown cup whose opening is uncovered into the bowl.</x:v>
      </x:c>
      <x:c r="D33" s="32" t="str">
        <x:f>'Evaluation Plan'!D33</x:f>
        <x:v>brown cup A (C, RU); brown cup B (O, RU); glass spice container A (C, UD); white cup B (O, UD)</x:v>
      </x:c>
      <x:c r="E33" s="34" t="n">
        <x:f>'Evaluation Plan'!E33</x:f>
        <x:v>29</x:v>
      </x:c>
      <x:c r="F33" s="34" t="str">
        <x:f>'Evaluation Plan'!F33</x:f>
        <x:v>104</x:v>
      </x:c>
      <x:c r="G33" s="32" t="str">
        <x:f>'Evaluation Plan'!G33</x:f>
        <x:v>Canonical matched-control cell is training-supported; evaluation wording is paraphrased. No held-out composition is used.</x:v>
      </x:c>
      <x:c r="H33" s="32" t="str">
        <x:f>'Evaluation Plan'!H33</x:f>
        <x:v>brown cup B</x:v>
      </x:c>
      <x:c r="I33" s="32" t="str"/>
      <x:c r="J33" s="38" t="str">
        <x:f>'Evaluation Plan'!J33</x:f>
        <x:v>Language robustness</x:v>
      </x:c>
      <x:c r="K33" s="34" t="str">
        <x:f>'Evaluation Plan'!K33</x:f>
        <x:v>SR-CT03</x:v>
      </x:c>
      <x:c r="L33" s="34" t="str">
        <x:f>'Evaluation Plan'!L33</x:f>
        <x:v>O</x:v>
      </x:c>
      <x:c r="M33" s="34" t="str">
        <x:f>'Evaluation Plan'!M33</x:f>
        <x:v>brown cup</x:v>
      </x:c>
      <x:c r="N33" s="34" t="n">
        <x:f>'Evaluation Plan'!N33</x:f>
        <x:v>4</x:v>
      </x:c>
      <x:c r="O33" s="34" t="n">
        <x:f>'Evaluation Plan'!O33</x:f>
        <x:v>1</x:v>
      </x:c>
      <x:c r="P33" s="34" t="str">
        <x:f>'Evaluation Plan'!P33</x:f>
        <x:v>Empty</x:v>
      </x:c>
      <x:c r="Q33" s="32" t="str">
        <x:f>'Evaluation Plan'!Q33</x:f>
        <x:v>Matched-control state prompt paraphrase</x:v>
      </x:c>
      <x:c r="R33" s="34" t="n">
        <x:f>'Evaluation Plan'!R33</x:f>
        <x:v>2</x:v>
      </x:c>
      <x:c r="S33" s="32" t="str">
        <x:f>'Evaluation Plan'!S33</x:f>
        <x:v>Reset the moved object exactly; preserve the scene; change only the prompt wording.</x:v>
      </x:c>
      <x:c r="T33" s="32" t="str">
        <x:f>'Evaluation Plan'!T33</x:f>
        <x:v>This is one of 10 language trials paired with a matched trained-state control.</x:v>
      </x:c>
      <x:c r="U33" s="32" t="n">
        <x:f>'Evaluation Plan'!U33</x:f>
        <x:v>0</x:v>
      </x:c>
    </x:row>
    <x:row r="34" ht="51" customHeight="1">
      <x:c r="A34" s="40" t="str">
        <x:v>Not collected</x:v>
      </x:c>
      <x:c r="B34" s="41" t="n">
        <x:f>'Evaluation Plan'!B34</x:f>
        <x:v>32</x:v>
      </x:c>
      <x:c r="C34" s="40" t="str">
        <x:f>'Evaluation Plan'!C34</x:f>
        <x:v>Place the upright glass spice container in the bowl.</x:v>
      </x:c>
      <x:c r="D34" s="40" t="str">
        <x:f>'Evaluation Plan'!D34</x:f>
        <x:v>glass spice container B (C, RU); glass spice container A (C, UD)</x:v>
      </x:c>
      <x:c r="E34" s="41" t="str">
        <x:f>'Evaluation Plan'!E34</x:f>
      </x:c>
      <x:c r="F34" s="41" t="str">
        <x:f>'Evaluation Plan'!F34</x:f>
        <x:v>169</x:v>
      </x:c>
      <x:c r="G34" s="40" t="str">
        <x:f>'Evaluation Plan'!G34</x:f>
        <x:v>Physical-state and manipulation-trajectory reference under a direct category prompt; the evaluated state word × object-category cell is intentionally absent from training.</x:v>
      </x:c>
      <x:c r="H34" s="40" t="str">
        <x:f>'Evaluation Plan'!H34</x:f>
        <x:v>glass spice container B</x:v>
      </x:c>
      <x:c r="I34" s="40" t="str"/>
      <x:c r="J34" s="45" t="str">
        <x:f>'Evaluation Plan'!J34</x:f>
        <x:v>Concept/compositional transfer</x:v>
      </x:c>
      <x:c r="K34" s="41" t="str">
        <x:f>'Evaluation Plan'!K34</x:f>
        <x:v>SR-CT04</x:v>
      </x:c>
      <x:c r="L34" s="41" t="str">
        <x:f>'Evaluation Plan'!L34</x:f>
        <x:v>RU</x:v>
      </x:c>
      <x:c r="M34" s="41" t="str">
        <x:f>'Evaluation Plan'!M34</x:f>
        <x:v>glass spice container</x:v>
      </x:c>
      <x:c r="N34" s="41" t="n">
        <x:f>'Evaluation Plan'!N34</x:f>
        <x:v>2</x:v>
      </x:c>
      <x:c r="O34" s="41" t="n">
        <x:f>'Evaluation Plan'!O34</x:f>
        <x:v>1</x:v>
      </x:c>
      <x:c r="P34" s="41" t="str">
        <x:f>'Evaluation Plan'!P34</x:f>
        <x:v>Empty</x:v>
      </x:c>
      <x:c r="Q34" s="40" t="str">
        <x:f>'Evaluation Plan'!Q34</x:f>
        <x:v>Primary held-out state-object composition</x:v>
      </x:c>
      <x:c r="R34" s="41" t="n">
        <x:f>'Evaluation Plan'!R34</x:f>
        <x:v>2</x:v>
      </x:c>
      <x:c r="S34" s="40" t="str">
        <x:f>'Evaluation Plan'!S34</x:f>
        <x:v>Build the listed same-category discrimination scene with the bowl empty.</x:v>
      </x:c>
      <x:c r="T34" s="40" t="str">
        <x:f>'Evaluation Plan'!T34</x:f>
        <x:v>Two same-category candidates share the non-queried state axis; only the held-out state word identifies the target.</x:v>
      </x:c>
      <x:c r="U34" s="40" t="n">
        <x:f>'Evaluation Plan'!U34</x:f>
        <x:v>0</x:v>
      </x:c>
    </x:row>
    <x:row r="35" ht="51" customHeight="1">
      <x:c r="A35" s="32" t="str">
        <x:v>Not collected</x:v>
      </x:c>
      <x:c r="B35" s="34" t="n">
        <x:f>'Evaluation Plan'!B35</x:f>
        <x:v>33</x:v>
      </x:c>
      <x:c r="C35" s="32" t="str">
        <x:f>'Evaluation Plan'!C35</x:f>
        <x:v>Place the upside-down glass spice container in the bowl.</x:v>
      </x:c>
      <x:c r="D35" s="32" t="str">
        <x:f>'Evaluation Plan'!D35</x:f>
        <x:v>glass spice container B (C, RU); glass spice container A (C, UD)</x:v>
      </x:c>
      <x:c r="E35" s="34" t="n">
        <x:f>'Evaluation Plan'!E35</x:f>
        <x:v>32</x:v>
      </x:c>
      <x:c r="F35" s="34" t="str">
        <x:f>'Evaluation Plan'!F35</x:f>
        <x:v>177</x:v>
      </x:c>
      <x:c r="G35" s="32" t="str">
        <x:f>'Evaluation Plan'!G35</x:f>
        <x:v>Training-supported state-object cell for the control. The evaluation scene is shared exactly with the paired transfer row, while the physical layout is manually recreated.</x:v>
      </x:c>
      <x:c r="H35" s="32" t="str">
        <x:f>'Evaluation Plan'!H35</x:f>
        <x:v>glass spice container A</x:v>
      </x:c>
      <x:c r="I35" s="32" t="str"/>
      <x:c r="J35" s="37" t="str">
        <x:f>'Evaluation Plan'!J35</x:f>
        <x:v>Matched manipulation control</x:v>
      </x:c>
      <x:c r="K35" s="34" t="str">
        <x:f>'Evaluation Plan'!K35</x:f>
        <x:v>SR-CT04</x:v>
      </x:c>
      <x:c r="L35" s="34" t="str">
        <x:f>'Evaluation Plan'!L35</x:f>
        <x:v>UD</x:v>
      </x:c>
      <x:c r="M35" s="34" t="str">
        <x:f>'Evaluation Plan'!M35</x:f>
        <x:v>glass spice container</x:v>
      </x:c>
      <x:c r="N35" s="34" t="n">
        <x:f>'Evaluation Plan'!N35</x:f>
        <x:v>2</x:v>
      </x:c>
      <x:c r="O35" s="34" t="n">
        <x:f>'Evaluation Plan'!O35</x:f>
        <x:v>1</x:v>
      </x:c>
      <x:c r="P35" s="34" t="str">
        <x:f>'Evaluation Plan'!P35</x:f>
        <x:v>Empty</x:v>
      </x:c>
      <x:c r="Q35" s="32" t="str">
        <x:f>'Evaluation Plan'!Q35</x:f>
        <x:v>Exact-scene trained state-object counterfactual</x:v>
      </x:c>
      <x:c r="R35" s="34" t="n">
        <x:f>'Evaluation Plan'!R35</x:f>
        <x:v>2</x:v>
      </x:c>
      <x:c r="S35" s="32" t="str">
        <x:f>'Evaluation Plan'!S35</x:f>
        <x:v>Reset the moved object exactly; preserve every object and state; change only the prompt and expected target.</x:v>
      </x:c>
      <x:c r="T35" s="32" t="str">
        <x:f>'Evaluation Plan'!T35</x:f>
        <x:v>The correct target switches to the other same-category instance. This cell is explicit in training and controls recognition/manipulation in the transfer scene.</x:v>
      </x:c>
      <x:c r="U35" s="32" t="n">
        <x:f>'Evaluation Plan'!U35</x:f>
        <x:v>0</x:v>
      </x:c>
    </x:row>
    <x:row r="36" ht="51" customHeight="1">
      <x:c r="A36" s="31" t="str">
        <x:v>Not collected</x:v>
      </x:c>
      <x:c r="B36" s="33" t="n">
        <x:f>'Evaluation Plan'!B36</x:f>
        <x:v>34</x:v>
      </x:c>
      <x:c r="C36" s="31" t="str">
        <x:f>'Evaluation Plan'!C36</x:f>
        <x:v>Move the right-side-up glass spice container into the bowl.</x:v>
      </x:c>
      <x:c r="D36" s="31" t="str">
        <x:f>'Evaluation Plan'!D36</x:f>
        <x:v>glass spice container B (C, RU); glass spice container A (C, UD)</x:v>
      </x:c>
      <x:c r="E36" s="33" t="n">
        <x:f>'Evaluation Plan'!E36</x:f>
        <x:v>32</x:v>
      </x:c>
      <x:c r="F36" s="33" t="str">
        <x:f>'Evaluation Plan'!F36</x:f>
        <x:v>169</x:v>
      </x:c>
      <x:c r="G36" s="31" t="str">
        <x:f>'Evaluation Plan'!G36</x:f>
        <x:v>The canonical transfer scene and masked trajectory reference are unchanged; only the evaluation wording is paraphrased. This remains a language diagnostic and is not pooled into the primary 50.</x:v>
      </x:c>
      <x:c r="H36" s="31" t="str">
        <x:f>'Evaluation Plan'!H36</x:f>
        <x:v>glass spice container B</x:v>
      </x:c>
      <x:c r="I36" s="31" t="str"/>
      <x:c r="J36" s="38" t="str">
        <x:f>'Evaluation Plan'!J36</x:f>
        <x:v>Language robustness</x:v>
      </x:c>
      <x:c r="K36" s="33" t="str">
        <x:f>'Evaluation Plan'!K36</x:f>
        <x:v>SR-CT04</x:v>
      </x:c>
      <x:c r="L36" s="33" t="str">
        <x:f>'Evaluation Plan'!L36</x:f>
        <x:v>RU</x:v>
      </x:c>
      <x:c r="M36" s="33" t="str">
        <x:f>'Evaluation Plan'!M36</x:f>
        <x:v>glass spice container</x:v>
      </x:c>
      <x:c r="N36" s="33" t="n">
        <x:f>'Evaluation Plan'!N36</x:f>
        <x:v>2</x:v>
      </x:c>
      <x:c r="O36" s="33" t="n">
        <x:f>'Evaluation Plan'!O36</x:f>
        <x:v>1</x:v>
      </x:c>
      <x:c r="P36" s="33" t="str">
        <x:f>'Evaluation Plan'!P36</x:f>
        <x:v>Empty</x:v>
      </x:c>
      <x:c r="Q36" s="31" t="str">
        <x:f>'Evaluation Plan'!Q36</x:f>
        <x:v>Primary compositional-transfer prompt paraphrase</x:v>
      </x:c>
      <x:c r="R36" s="33" t="n">
        <x:f>'Evaluation Plan'!R36</x:f>
        <x:v>2</x:v>
      </x:c>
      <x:c r="S36" s="31" t="str">
        <x:f>'Evaluation Plan'!S36</x:f>
        <x:v>Reset the moved object exactly; preserve every object and state; change only the prompt wording.</x:v>
      </x:c>
      <x:c r="T36" s="31" t="str">
        <x:f>'Evaluation Plan'!T36</x:f>
        <x:v>Exact-scene paraphrase of one of the 50 canonical compositional-transfer trials.</x:v>
      </x:c>
      <x:c r="U36" s="31" t="n">
        <x:f>'Evaluation Plan'!U36</x:f>
        <x:v>0</x:v>
      </x:c>
    </x:row>
    <x:row r="37" ht="51" customHeight="1">
      <x:c r="A37" s="32" t="str">
        <x:v>Not collected</x:v>
      </x:c>
      <x:c r="B37" s="34" t="n">
        <x:f>'Evaluation Plan'!B37</x:f>
        <x:v>35</x:v>
      </x:c>
      <x:c r="C37" s="32" t="str">
        <x:f>'Evaluation Plan'!C37</x:f>
        <x:v>Move the inverted glass spice container into the bowl.</x:v>
      </x:c>
      <x:c r="D37" s="32" t="str">
        <x:f>'Evaluation Plan'!D37</x:f>
        <x:v>glass spice container B (C, RU); glass spice container A (C, UD)</x:v>
      </x:c>
      <x:c r="E37" s="34" t="n">
        <x:f>'Evaluation Plan'!E37</x:f>
        <x:v>33</x:v>
      </x:c>
      <x:c r="F37" s="34" t="str">
        <x:f>'Evaluation Plan'!F37</x:f>
        <x:v>177</x:v>
      </x:c>
      <x:c r="G37" s="32" t="str">
        <x:f>'Evaluation Plan'!G37</x:f>
        <x:v>Canonical matched-control cell is training-supported; evaluation wording is paraphrased. No held-out composition is used.</x:v>
      </x:c>
      <x:c r="H37" s="32" t="str">
        <x:f>'Evaluation Plan'!H37</x:f>
        <x:v>glass spice container A</x:v>
      </x:c>
      <x:c r="I37" s="32" t="str"/>
      <x:c r="J37" s="38" t="str">
        <x:f>'Evaluation Plan'!J37</x:f>
        <x:v>Language robustness</x:v>
      </x:c>
      <x:c r="K37" s="34" t="str">
        <x:f>'Evaluation Plan'!K37</x:f>
        <x:v>SR-CT04</x:v>
      </x:c>
      <x:c r="L37" s="34" t="str">
        <x:f>'Evaluation Plan'!L37</x:f>
        <x:v>UD</x:v>
      </x:c>
      <x:c r="M37" s="34" t="str">
        <x:f>'Evaluation Plan'!M37</x:f>
        <x:v>glass spice container</x:v>
      </x:c>
      <x:c r="N37" s="34" t="n">
        <x:f>'Evaluation Plan'!N37</x:f>
        <x:v>2</x:v>
      </x:c>
      <x:c r="O37" s="34" t="n">
        <x:f>'Evaluation Plan'!O37</x:f>
        <x:v>1</x:v>
      </x:c>
      <x:c r="P37" s="34" t="str">
        <x:f>'Evaluation Plan'!P37</x:f>
        <x:v>Empty</x:v>
      </x:c>
      <x:c r="Q37" s="32" t="str">
        <x:f>'Evaluation Plan'!Q37</x:f>
        <x:v>Matched-control state prompt paraphrase</x:v>
      </x:c>
      <x:c r="R37" s="34" t="n">
        <x:f>'Evaluation Plan'!R37</x:f>
        <x:v>2</x:v>
      </x:c>
      <x:c r="S37" s="32" t="str">
        <x:f>'Evaluation Plan'!S37</x:f>
        <x:v>Reset the moved object exactly; preserve the scene; change only the prompt wording.</x:v>
      </x:c>
      <x:c r="T37" s="32" t="str">
        <x:f>'Evaluation Plan'!T37</x:f>
        <x:v>This is one of 10 language trials paired with a matched trained-state control.</x:v>
      </x:c>
      <x:c r="U37" s="32" t="n">
        <x:f>'Evaluation Plan'!U37</x:f>
        <x:v>0</x:v>
      </x:c>
    </x:row>
    <x:row r="38" ht="51" customHeight="1">
      <x:c r="A38" s="40" t="str">
        <x:v>Not collected</x:v>
      </x:c>
      <x:c r="B38" s="41" t="n">
        <x:f>'Evaluation Plan'!B38</x:f>
        <x:v>36</x:v>
      </x:c>
      <x:c r="C38" s="40" t="str">
        <x:f>'Evaluation Plan'!C38</x:f>
        <x:v>Place the upside-down white cup in the bowl.</x:v>
      </x:c>
      <x:c r="D38" s="40" t="str">
        <x:f>'Evaluation Plan'!D38</x:f>
        <x:v>white cup A (O, UD); white cup B (O, RU); brown cup A (C, RU)</x:v>
      </x:c>
      <x:c r="E38" s="41" t="str">
        <x:f>'Evaluation Plan'!E38</x:f>
      </x:c>
      <x:c r="F38" s="41" t="str">
        <x:f>'Evaluation Plan'!F38</x:f>
        <x:v>30</x:v>
      </x:c>
      <x:c r="G38" s="40" t="str">
        <x:f>'Evaluation Plan'!G38</x:f>
        <x:v>Physical-state and manipulation-trajectory reference under a direct category prompt; the evaluated state word × object-category cell is intentionally absent from training.</x:v>
      </x:c>
      <x:c r="H38" s="40" t="str">
        <x:f>'Evaluation Plan'!H38</x:f>
        <x:v>white cup A</x:v>
      </x:c>
      <x:c r="I38" s="40" t="str"/>
      <x:c r="J38" s="45" t="str">
        <x:f>'Evaluation Plan'!J38</x:f>
        <x:v>Concept/compositional transfer</x:v>
      </x:c>
      <x:c r="K38" s="41" t="str">
        <x:f>'Evaluation Plan'!K38</x:f>
        <x:v>SR-CT05</x:v>
      </x:c>
      <x:c r="L38" s="41" t="str">
        <x:f>'Evaluation Plan'!L38</x:f>
        <x:v>UD</x:v>
      </x:c>
      <x:c r="M38" s="41" t="str">
        <x:f>'Evaluation Plan'!M38</x:f>
        <x:v>white cup</x:v>
      </x:c>
      <x:c r="N38" s="41" t="n">
        <x:f>'Evaluation Plan'!N38</x:f>
        <x:v>3</x:v>
      </x:c>
      <x:c r="O38" s="41" t="n">
        <x:f>'Evaluation Plan'!O38</x:f>
        <x:v>1</x:v>
      </x:c>
      <x:c r="P38" s="41" t="str">
        <x:f>'Evaluation Plan'!P38</x:f>
        <x:v>Empty</x:v>
      </x:c>
      <x:c r="Q38" s="40" t="str">
        <x:f>'Evaluation Plan'!Q38</x:f>
        <x:v>Primary held-out state-object composition</x:v>
      </x:c>
      <x:c r="R38" s="41" t="n">
        <x:f>'Evaluation Plan'!R38</x:f>
        <x:v>2</x:v>
      </x:c>
      <x:c r="S38" s="40" t="str">
        <x:f>'Evaluation Plan'!S38</x:f>
        <x:v>Build the listed same-category discrimination scene with the bowl empty.</x:v>
      </x:c>
      <x:c r="T38" s="40" t="str">
        <x:f>'Evaluation Plan'!T38</x:f>
        <x:v>Two same-category candidates share the non-queried state axis; only the held-out state word identifies the target.</x:v>
      </x:c>
      <x:c r="U38" s="40" t="n">
        <x:f>'Evaluation Plan'!U38</x:f>
        <x:v>0</x:v>
      </x:c>
    </x:row>
    <x:row r="39" ht="51" customHeight="1">
      <x:c r="A39" s="32" t="str">
        <x:v>Not collected</x:v>
      </x:c>
      <x:c r="B39" s="34" t="n">
        <x:f>'Evaluation Plan'!B39</x:f>
        <x:v>37</x:v>
      </x:c>
      <x:c r="C39" s="32" t="str">
        <x:f>'Evaluation Plan'!C39</x:f>
        <x:v>Place the upright white cup in the bowl.</x:v>
      </x:c>
      <x:c r="D39" s="32" t="str">
        <x:f>'Evaluation Plan'!D39</x:f>
        <x:v>white cup A (O, UD); white cup B (O, RU); brown cup A (C, RU)</x:v>
      </x:c>
      <x:c r="E39" s="34" t="n">
        <x:f>'Evaluation Plan'!E39</x:f>
        <x:v>36</x:v>
      </x:c>
      <x:c r="F39" s="34" t="str">
        <x:f>'Evaluation Plan'!F39</x:f>
        <x:v>31</x:v>
      </x:c>
      <x:c r="G39" s="32" t="str">
        <x:f>'Evaluation Plan'!G39</x:f>
        <x:v>Training-supported state-object cell for the control. The evaluation scene is shared exactly with the paired transfer row, while the physical layout is manually recreated.</x:v>
      </x:c>
      <x:c r="H39" s="32" t="str">
        <x:f>'Evaluation Plan'!H39</x:f>
        <x:v>white cup B</x:v>
      </x:c>
      <x:c r="I39" s="32" t="str"/>
      <x:c r="J39" s="37" t="str">
        <x:f>'Evaluation Plan'!J39</x:f>
        <x:v>Matched manipulation control</x:v>
      </x:c>
      <x:c r="K39" s="34" t="str">
        <x:f>'Evaluation Plan'!K39</x:f>
        <x:v>SR-CT05</x:v>
      </x:c>
      <x:c r="L39" s="34" t="str">
        <x:f>'Evaluation Plan'!L39</x:f>
        <x:v>RU</x:v>
      </x:c>
      <x:c r="M39" s="34" t="str">
        <x:f>'Evaluation Plan'!M39</x:f>
        <x:v>white cup</x:v>
      </x:c>
      <x:c r="N39" s="34" t="n">
        <x:f>'Evaluation Plan'!N39</x:f>
        <x:v>3</x:v>
      </x:c>
      <x:c r="O39" s="34" t="n">
        <x:f>'Evaluation Plan'!O39</x:f>
        <x:v>1</x:v>
      </x:c>
      <x:c r="P39" s="34" t="str">
        <x:f>'Evaluation Plan'!P39</x:f>
        <x:v>Empty</x:v>
      </x:c>
      <x:c r="Q39" s="32" t="str">
        <x:f>'Evaluation Plan'!Q39</x:f>
        <x:v>Exact-scene trained state-object counterfactual</x:v>
      </x:c>
      <x:c r="R39" s="34" t="n">
        <x:f>'Evaluation Plan'!R39</x:f>
        <x:v>2</x:v>
      </x:c>
      <x:c r="S39" s="32" t="str">
        <x:f>'Evaluation Plan'!S39</x:f>
        <x:v>Reset the moved object exactly; preserve every object and state; change only the prompt and expected target.</x:v>
      </x:c>
      <x:c r="T39" s="32" t="str">
        <x:f>'Evaluation Plan'!T39</x:f>
        <x:v>The correct target switches to the other same-category instance. This cell is explicit in training and controls recognition/manipulation in the transfer scene.</x:v>
      </x:c>
      <x:c r="U39" s="32" t="n">
        <x:f>'Evaluation Plan'!U39</x:f>
        <x:v>0</x:v>
      </x:c>
    </x:row>
    <x:row r="40" ht="51" customHeight="1">
      <x:c r="A40" s="31" t="str">
        <x:v>Not collected</x:v>
      </x:c>
      <x:c r="B40" s="33" t="n">
        <x:f>'Evaluation Plan'!B40</x:f>
        <x:v>38</x:v>
      </x:c>
      <x:c r="C40" s="31" t="str">
        <x:f>'Evaluation Plan'!C40</x:f>
        <x:v>Move the inverted white cup into the bowl.</x:v>
      </x:c>
      <x:c r="D40" s="31" t="str">
        <x:f>'Evaluation Plan'!D40</x:f>
        <x:v>white cup A (O, UD); white cup B (O, RU); brown cup A (C, RU)</x:v>
      </x:c>
      <x:c r="E40" s="33" t="n">
        <x:f>'Evaluation Plan'!E40</x:f>
        <x:v>36</x:v>
      </x:c>
      <x:c r="F40" s="33" t="str">
        <x:f>'Evaluation Plan'!F40</x:f>
        <x:v>30</x:v>
      </x:c>
      <x:c r="G40" s="31" t="str">
        <x:f>'Evaluation Plan'!G40</x:f>
        <x:v>The canonical transfer scene and masked trajectory reference are unchanged; only the evaluation wording is paraphrased. This remains a language diagnostic and is not pooled into the primary 50.</x:v>
      </x:c>
      <x:c r="H40" s="31" t="str">
        <x:f>'Evaluation Plan'!H40</x:f>
        <x:v>white cup A</x:v>
      </x:c>
      <x:c r="I40" s="31" t="str"/>
      <x:c r="J40" s="38" t="str">
        <x:f>'Evaluation Plan'!J40</x:f>
        <x:v>Language robustness</x:v>
      </x:c>
      <x:c r="K40" s="33" t="str">
        <x:f>'Evaluation Plan'!K40</x:f>
        <x:v>SR-CT05</x:v>
      </x:c>
      <x:c r="L40" s="33" t="str">
        <x:f>'Evaluation Plan'!L40</x:f>
        <x:v>UD</x:v>
      </x:c>
      <x:c r="M40" s="33" t="str">
        <x:f>'Evaluation Plan'!M40</x:f>
        <x:v>white cup</x:v>
      </x:c>
      <x:c r="N40" s="33" t="n">
        <x:f>'Evaluation Plan'!N40</x:f>
        <x:v>3</x:v>
      </x:c>
      <x:c r="O40" s="33" t="n">
        <x:f>'Evaluation Plan'!O40</x:f>
        <x:v>1</x:v>
      </x:c>
      <x:c r="P40" s="33" t="str">
        <x:f>'Evaluation Plan'!P40</x:f>
        <x:v>Empty</x:v>
      </x:c>
      <x:c r="Q40" s="31" t="str">
        <x:f>'Evaluation Plan'!Q40</x:f>
        <x:v>Primary compositional-transfer prompt paraphrase</x:v>
      </x:c>
      <x:c r="R40" s="33" t="n">
        <x:f>'Evaluation Plan'!R40</x:f>
        <x:v>2</x:v>
      </x:c>
      <x:c r="S40" s="31" t="str">
        <x:f>'Evaluation Plan'!S40</x:f>
        <x:v>Reset the moved object exactly; preserve every object and state; change only the prompt wording.</x:v>
      </x:c>
      <x:c r="T40" s="31" t="str">
        <x:f>'Evaluation Plan'!T40</x:f>
        <x:v>Exact-scene paraphrase of one of the 50 canonical compositional-transfer trials.</x:v>
      </x:c>
      <x:c r="U40" s="31" t="n">
        <x:f>'Evaluation Plan'!U40</x:f>
        <x:v>0</x:v>
      </x:c>
    </x:row>
    <x:row r="41" ht="51" customHeight="1">
      <x:c r="A41" s="32" t="str">
        <x:v>Not collected</x:v>
      </x:c>
      <x:c r="B41" s="34" t="n">
        <x:f>'Evaluation Plan'!B41</x:f>
        <x:v>39</x:v>
      </x:c>
      <x:c r="C41" s="32" t="str">
        <x:f>'Evaluation Plan'!C41</x:f>
        <x:v>Move the right-side-up white cup into the bowl.</x:v>
      </x:c>
      <x:c r="D41" s="32" t="str">
        <x:f>'Evaluation Plan'!D41</x:f>
        <x:v>white cup A (O, UD); white cup B (O, RU); brown cup A (C, RU)</x:v>
      </x:c>
      <x:c r="E41" s="34" t="n">
        <x:f>'Evaluation Plan'!E41</x:f>
        <x:v>37</x:v>
      </x:c>
      <x:c r="F41" s="34" t="str">
        <x:f>'Evaluation Plan'!F41</x:f>
        <x:v>31</x:v>
      </x:c>
      <x:c r="G41" s="32" t="str">
        <x:f>'Evaluation Plan'!G41</x:f>
        <x:v>Canonical matched-control cell is training-supported; evaluation wording is paraphrased. No held-out composition is used.</x:v>
      </x:c>
      <x:c r="H41" s="32" t="str">
        <x:f>'Evaluation Plan'!H41</x:f>
        <x:v>white cup B</x:v>
      </x:c>
      <x:c r="I41" s="32" t="str"/>
      <x:c r="J41" s="38" t="str">
        <x:f>'Evaluation Plan'!J41</x:f>
        <x:v>Language robustness</x:v>
      </x:c>
      <x:c r="K41" s="34" t="str">
        <x:f>'Evaluation Plan'!K41</x:f>
        <x:v>SR-CT05</x:v>
      </x:c>
      <x:c r="L41" s="34" t="str">
        <x:f>'Evaluation Plan'!L41</x:f>
        <x:v>RU</x:v>
      </x:c>
      <x:c r="M41" s="34" t="str">
        <x:f>'Evaluation Plan'!M41</x:f>
        <x:v>white cup</x:v>
      </x:c>
      <x:c r="N41" s="34" t="n">
        <x:f>'Evaluation Plan'!N41</x:f>
        <x:v>3</x:v>
      </x:c>
      <x:c r="O41" s="34" t="n">
        <x:f>'Evaluation Plan'!O41</x:f>
        <x:v>1</x:v>
      </x:c>
      <x:c r="P41" s="34" t="str">
        <x:f>'Evaluation Plan'!P41</x:f>
        <x:v>Empty</x:v>
      </x:c>
      <x:c r="Q41" s="32" t="str">
        <x:f>'Evaluation Plan'!Q41</x:f>
        <x:v>Matched-control state prompt paraphrase</x:v>
      </x:c>
      <x:c r="R41" s="34" t="n">
        <x:f>'Evaluation Plan'!R41</x:f>
        <x:v>2</x:v>
      </x:c>
      <x:c r="S41" s="32" t="str">
        <x:f>'Evaluation Plan'!S41</x:f>
        <x:v>Reset the moved object exactly; preserve the scene; change only the prompt wording.</x:v>
      </x:c>
      <x:c r="T41" s="32" t="str">
        <x:f>'Evaluation Plan'!T41</x:f>
        <x:v>This is one of 10 language trials paired with a matched trained-state control.</x:v>
      </x:c>
      <x:c r="U41" s="32" t="n">
        <x:f>'Evaluation Plan'!U41</x:f>
        <x:v>0</x:v>
      </x:c>
    </x:row>
    <x:row r="42" ht="51" customHeight="1">
      <x:c r="A42" s="40" t="str">
        <x:v>Not collected</x:v>
      </x:c>
      <x:c r="B42" s="41" t="n">
        <x:f>'Evaluation Plan'!B42</x:f>
        <x:v>40</x:v>
      </x:c>
      <x:c r="C42" s="40" t="str">
        <x:f>'Evaluation Plan'!C42</x:f>
        <x:v>Place the open yellow-white striped cup in the bowl.</x:v>
      </x:c>
      <x:c r="D42" s="40" t="str">
        <x:f>'Evaluation Plan'!D42</x:f>
        <x:v>yellow-white striped cup B (O, UD); yellow-white striped cup A (C, UD); glass spice container B (O, RU); white cup A (C, UD)</x:v>
      </x:c>
      <x:c r="E42" s="41" t="str">
        <x:f>'Evaluation Plan'!E42</x:f>
      </x:c>
      <x:c r="F42" s="41" t="str">
        <x:f>'Evaluation Plan'!F42</x:f>
        <x:v>53</x:v>
      </x:c>
      <x:c r="G42" s="40" t="str">
        <x:f>'Evaluation Plan'!G42</x:f>
        <x:v>Physical-state and manipulation-trajectory reference under a direct category prompt; the evaluated state word × object-category cell is intentionally absent from training.</x:v>
      </x:c>
      <x:c r="H42" s="40" t="str">
        <x:f>'Evaluation Plan'!H42</x:f>
        <x:v>yellow-white striped cup B</x:v>
      </x:c>
      <x:c r="I42" s="40" t="str"/>
      <x:c r="J42" s="45" t="str">
        <x:f>'Evaluation Plan'!J42</x:f>
        <x:v>Concept/compositional transfer</x:v>
      </x:c>
      <x:c r="K42" s="41" t="str">
        <x:f>'Evaluation Plan'!K42</x:f>
        <x:v>SR-CT06</x:v>
      </x:c>
      <x:c r="L42" s="41" t="str">
        <x:f>'Evaluation Plan'!L42</x:f>
        <x:v>O</x:v>
      </x:c>
      <x:c r="M42" s="41" t="str">
        <x:f>'Evaluation Plan'!M42</x:f>
        <x:v>yellow-white striped cup</x:v>
      </x:c>
      <x:c r="N42" s="41" t="n">
        <x:f>'Evaluation Plan'!N42</x:f>
        <x:v>4</x:v>
      </x:c>
      <x:c r="O42" s="41" t="n">
        <x:f>'Evaluation Plan'!O42</x:f>
        <x:v>1</x:v>
      </x:c>
      <x:c r="P42" s="41" t="str">
        <x:f>'Evaluation Plan'!P42</x:f>
        <x:v>Empty</x:v>
      </x:c>
      <x:c r="Q42" s="40" t="str">
        <x:f>'Evaluation Plan'!Q42</x:f>
        <x:v>Primary held-out state-object composition</x:v>
      </x:c>
      <x:c r="R42" s="41" t="n">
        <x:f>'Evaluation Plan'!R42</x:f>
        <x:v>2</x:v>
      </x:c>
      <x:c r="S42" s="40" t="str">
        <x:f>'Evaluation Plan'!S42</x:f>
        <x:v>Build the listed same-category discrimination scene with the bowl empty.</x:v>
      </x:c>
      <x:c r="T42" s="40" t="str">
        <x:f>'Evaluation Plan'!T42</x:f>
        <x:v>Two same-category candidates share the non-queried state axis; only the held-out state word identifies the target.</x:v>
      </x:c>
      <x:c r="U42" s="40" t="n">
        <x:f>'Evaluation Plan'!U42</x:f>
        <x:v>0</x:v>
      </x:c>
    </x:row>
    <x:row r="43" ht="51" customHeight="1">
      <x:c r="A43" s="32" t="str">
        <x:v>Not collected</x:v>
      </x:c>
      <x:c r="B43" s="34" t="n">
        <x:f>'Evaluation Plan'!B43</x:f>
        <x:v>41</x:v>
      </x:c>
      <x:c r="C43" s="32" t="str">
        <x:f>'Evaluation Plan'!C43</x:f>
        <x:v>Place the closed yellow-white striped cup in the bowl.</x:v>
      </x:c>
      <x:c r="D43" s="32" t="str">
        <x:f>'Evaluation Plan'!D43</x:f>
        <x:v>yellow-white striped cup B (O, UD); yellow-white striped cup A (C, UD); glass spice container B (O, RU); white cup A (C, UD)</x:v>
      </x:c>
      <x:c r="E43" s="34" t="n">
        <x:f>'Evaluation Plan'!E43</x:f>
        <x:v>40</x:v>
      </x:c>
      <x:c r="F43" s="34" t="str">
        <x:f>'Evaluation Plan'!F43</x:f>
        <x:v>61</x:v>
      </x:c>
      <x:c r="G43" s="32" t="str">
        <x:f>'Evaluation Plan'!G43</x:f>
        <x:v>Training-supported state-object cell for the control. The evaluation scene is shared exactly with the paired transfer row, while the physical layout is manually recreated.</x:v>
      </x:c>
      <x:c r="H43" s="32" t="str">
        <x:f>'Evaluation Plan'!H43</x:f>
        <x:v>yellow-white striped cup A</x:v>
      </x:c>
      <x:c r="I43" s="32" t="str"/>
      <x:c r="J43" s="37" t="str">
        <x:f>'Evaluation Plan'!J43</x:f>
        <x:v>Matched manipulation control</x:v>
      </x:c>
      <x:c r="K43" s="34" t="str">
        <x:f>'Evaluation Plan'!K43</x:f>
        <x:v>SR-CT06</x:v>
      </x:c>
      <x:c r="L43" s="34" t="str">
        <x:f>'Evaluation Plan'!L43</x:f>
        <x:v>C</x:v>
      </x:c>
      <x:c r="M43" s="34" t="str">
        <x:f>'Evaluation Plan'!M43</x:f>
        <x:v>yellow-white striped cup</x:v>
      </x:c>
      <x:c r="N43" s="34" t="n">
        <x:f>'Evaluation Plan'!N43</x:f>
        <x:v>4</x:v>
      </x:c>
      <x:c r="O43" s="34" t="n">
        <x:f>'Evaluation Plan'!O43</x:f>
        <x:v>1</x:v>
      </x:c>
      <x:c r="P43" s="34" t="str">
        <x:f>'Evaluation Plan'!P43</x:f>
        <x:v>Empty</x:v>
      </x:c>
      <x:c r="Q43" s="32" t="str">
        <x:f>'Evaluation Plan'!Q43</x:f>
        <x:v>Exact-scene trained state-object counterfactual</x:v>
      </x:c>
      <x:c r="R43" s="34" t="n">
        <x:f>'Evaluation Plan'!R43</x:f>
        <x:v>2</x:v>
      </x:c>
      <x:c r="S43" s="32" t="str">
        <x:f>'Evaluation Plan'!S43</x:f>
        <x:v>Reset the moved object exactly; preserve every object and state; change only the prompt and expected target.</x:v>
      </x:c>
      <x:c r="T43" s="32" t="str">
        <x:f>'Evaluation Plan'!T43</x:f>
        <x:v>The correct target switches to the other same-category instance. This cell is explicit in training and controls recognition/manipulation in the transfer scene.</x:v>
      </x:c>
      <x:c r="U43" s="32" t="n">
        <x:f>'Evaluation Plan'!U43</x:f>
        <x:v>0</x:v>
      </x:c>
    </x:row>
    <x:row r="44" ht="51" customHeight="1">
      <x:c r="A44" s="31" t="str">
        <x:v>Not collected</x:v>
      </x:c>
      <x:c r="B44" s="33" t="n">
        <x:f>'Evaluation Plan'!B44</x:f>
        <x:v>42</x:v>
      </x:c>
      <x:c r="C44" s="31" t="str">
        <x:f>'Evaluation Plan'!C44</x:f>
        <x:v>Move the yellow-white striped cup whose opening is uncovered into the bowl.</x:v>
      </x:c>
      <x:c r="D44" s="31" t="str">
        <x:f>'Evaluation Plan'!D44</x:f>
        <x:v>yellow-white striped cup B (O, UD); yellow-white striped cup A (C, UD); glass spice container B (O, RU); white cup A (C, UD)</x:v>
      </x:c>
      <x:c r="E44" s="33" t="n">
        <x:f>'Evaluation Plan'!E44</x:f>
        <x:v>40</x:v>
      </x:c>
      <x:c r="F44" s="33" t="str">
        <x:f>'Evaluation Plan'!F44</x:f>
        <x:v>53</x:v>
      </x:c>
      <x:c r="G44" s="31" t="str">
        <x:f>'Evaluation Plan'!G44</x:f>
        <x:v>The canonical transfer scene and masked trajectory reference are unchanged; only the evaluation wording is paraphrased. This remains a language diagnostic and is not pooled into the primary 50.</x:v>
      </x:c>
      <x:c r="H44" s="31" t="str">
        <x:f>'Evaluation Plan'!H44</x:f>
        <x:v>yellow-white striped cup B</x:v>
      </x:c>
      <x:c r="I44" s="31" t="str"/>
      <x:c r="J44" s="38" t="str">
        <x:f>'Evaluation Plan'!J44</x:f>
        <x:v>Language robustness</x:v>
      </x:c>
      <x:c r="K44" s="33" t="str">
        <x:f>'Evaluation Plan'!K44</x:f>
        <x:v>SR-CT06</x:v>
      </x:c>
      <x:c r="L44" s="33" t="str">
        <x:f>'Evaluation Plan'!L44</x:f>
        <x:v>O</x:v>
      </x:c>
      <x:c r="M44" s="33" t="str">
        <x:f>'Evaluation Plan'!M44</x:f>
        <x:v>yellow-white striped cup</x:v>
      </x:c>
      <x:c r="N44" s="33" t="n">
        <x:f>'Evaluation Plan'!N44</x:f>
        <x:v>4</x:v>
      </x:c>
      <x:c r="O44" s="33" t="n">
        <x:f>'Evaluation Plan'!O44</x:f>
        <x:v>1</x:v>
      </x:c>
      <x:c r="P44" s="33" t="str">
        <x:f>'Evaluation Plan'!P44</x:f>
        <x:v>Empty</x:v>
      </x:c>
      <x:c r="Q44" s="31" t="str">
        <x:f>'Evaluation Plan'!Q44</x:f>
        <x:v>Primary compositional-transfer prompt paraphrase</x:v>
      </x:c>
      <x:c r="R44" s="33" t="n">
        <x:f>'Evaluation Plan'!R44</x:f>
        <x:v>2</x:v>
      </x:c>
      <x:c r="S44" s="31" t="str">
        <x:f>'Evaluation Plan'!S44</x:f>
        <x:v>Reset the moved object exactly; preserve every object and state; change only the prompt wording.</x:v>
      </x:c>
      <x:c r="T44" s="31" t="str">
        <x:f>'Evaluation Plan'!T44</x:f>
        <x:v>Exact-scene paraphrase of one of the 50 canonical compositional-transfer trials.</x:v>
      </x:c>
      <x:c r="U44" s="31" t="n">
        <x:f>'Evaluation Plan'!U44</x:f>
        <x:v>0</x:v>
      </x:c>
    </x:row>
    <x:row r="45" ht="51" customHeight="1">
      <x:c r="A45" s="32" t="str">
        <x:v>Not collected</x:v>
      </x:c>
      <x:c r="B45" s="34" t="n">
        <x:f>'Evaluation Plan'!B45</x:f>
        <x:v>43</x:v>
      </x:c>
      <x:c r="C45" s="32" t="str">
        <x:f>'Evaluation Plan'!C45</x:f>
        <x:v>Move the yellow-white striped cup whose opening is covered into the bowl.</x:v>
      </x:c>
      <x:c r="D45" s="32" t="str">
        <x:f>'Evaluation Plan'!D45</x:f>
        <x:v>yellow-white striped cup B (O, UD); yellow-white striped cup A (C, UD); glass spice container B (O, RU); white cup A (C, UD)</x:v>
      </x:c>
      <x:c r="E45" s="34" t="n">
        <x:f>'Evaluation Plan'!E45</x:f>
        <x:v>41</x:v>
      </x:c>
      <x:c r="F45" s="34" t="str">
        <x:f>'Evaluation Plan'!F45</x:f>
        <x:v>61</x:v>
      </x:c>
      <x:c r="G45" s="32" t="str">
        <x:f>'Evaluation Plan'!G45</x:f>
        <x:v>Canonical matched-control cell is training-supported; evaluation wording is paraphrased. No held-out composition is used.</x:v>
      </x:c>
      <x:c r="H45" s="32" t="str">
        <x:f>'Evaluation Plan'!H45</x:f>
        <x:v>yellow-white striped cup A</x:v>
      </x:c>
      <x:c r="I45" s="32" t="str"/>
      <x:c r="J45" s="38" t="str">
        <x:f>'Evaluation Plan'!J45</x:f>
        <x:v>Language robustness</x:v>
      </x:c>
      <x:c r="K45" s="34" t="str">
        <x:f>'Evaluation Plan'!K45</x:f>
        <x:v>SR-CT06</x:v>
      </x:c>
      <x:c r="L45" s="34" t="str">
        <x:f>'Evaluation Plan'!L45</x:f>
        <x:v>C</x:v>
      </x:c>
      <x:c r="M45" s="34" t="str">
        <x:f>'Evaluation Plan'!M45</x:f>
        <x:v>yellow-white striped cup</x:v>
      </x:c>
      <x:c r="N45" s="34" t="n">
        <x:f>'Evaluation Plan'!N45</x:f>
        <x:v>4</x:v>
      </x:c>
      <x:c r="O45" s="34" t="n">
        <x:f>'Evaluation Plan'!O45</x:f>
        <x:v>1</x:v>
      </x:c>
      <x:c r="P45" s="34" t="str">
        <x:f>'Evaluation Plan'!P45</x:f>
        <x:v>Empty</x:v>
      </x:c>
      <x:c r="Q45" s="32" t="str">
        <x:f>'Evaluation Plan'!Q45</x:f>
        <x:v>Matched-control state prompt paraphrase</x:v>
      </x:c>
      <x:c r="R45" s="34" t="n">
        <x:f>'Evaluation Plan'!R45</x:f>
        <x:v>2</x:v>
      </x:c>
      <x:c r="S45" s="32" t="str">
        <x:f>'Evaluation Plan'!S45</x:f>
        <x:v>Reset the moved object exactly; preserve the scene; change only the prompt wording.</x:v>
      </x:c>
      <x:c r="T45" s="32" t="str">
        <x:f>'Evaluation Plan'!T45</x:f>
        <x:v>This is one of 10 language trials paired with a matched trained-state control.</x:v>
      </x:c>
      <x:c r="U45" s="32" t="n">
        <x:f>'Evaluation Plan'!U45</x:f>
        <x:v>0</x:v>
      </x:c>
    </x:row>
    <x:row r="46" ht="51" customHeight="1">
      <x:c r="A46" s="40" t="str">
        <x:v>Not collected</x:v>
      </x:c>
      <x:c r="B46" s="41" t="n">
        <x:f>'Evaluation Plan'!B46</x:f>
        <x:v>44</x:v>
      </x:c>
      <x:c r="C46" s="40" t="str">
        <x:f>'Evaluation Plan'!C46</x:f>
        <x:v>Place the closed brown cup in the bowl.</x:v>
      </x:c>
      <x:c r="D46" s="40" t="str">
        <x:f>'Evaluation Plan'!D46</x:f>
        <x:v>brown cup A (C, UD); brown cup B (O, UD)</x:v>
      </x:c>
      <x:c r="E46" s="41" t="str">
        <x:f>'Evaluation Plan'!E46</x:f>
      </x:c>
      <x:c r="F46" s="41" t="str">
        <x:f>'Evaluation Plan'!F46</x:f>
        <x:v>107</x:v>
      </x:c>
      <x:c r="G46" s="40" t="str">
        <x:f>'Evaluation Plan'!G46</x:f>
        <x:v>Physical-state and manipulation-trajectory reference under a direct category prompt; the evaluated state word × object-category cell is intentionally absent from training.</x:v>
      </x:c>
      <x:c r="H46" s="40" t="str">
        <x:f>'Evaluation Plan'!H46</x:f>
        <x:v>brown cup A</x:v>
      </x:c>
      <x:c r="I46" s="40" t="str"/>
      <x:c r="J46" s="45" t="str">
        <x:f>'Evaluation Plan'!J46</x:f>
        <x:v>Concept/compositional transfer</x:v>
      </x:c>
      <x:c r="K46" s="41" t="str">
        <x:f>'Evaluation Plan'!K46</x:f>
        <x:v>SR-CT07</x:v>
      </x:c>
      <x:c r="L46" s="41" t="str">
        <x:f>'Evaluation Plan'!L46</x:f>
        <x:v>C</x:v>
      </x:c>
      <x:c r="M46" s="41" t="str">
        <x:f>'Evaluation Plan'!M46</x:f>
        <x:v>brown cup</x:v>
      </x:c>
      <x:c r="N46" s="41" t="n">
        <x:f>'Evaluation Plan'!N46</x:f>
        <x:v>2</x:v>
      </x:c>
      <x:c r="O46" s="41" t="n">
        <x:f>'Evaluation Plan'!O46</x:f>
        <x:v>1</x:v>
      </x:c>
      <x:c r="P46" s="41" t="str">
        <x:f>'Evaluation Plan'!P46</x:f>
        <x:v>Empty</x:v>
      </x:c>
      <x:c r="Q46" s="40" t="str">
        <x:f>'Evaluation Plan'!Q46</x:f>
        <x:v>Primary held-out state-object composition</x:v>
      </x:c>
      <x:c r="R46" s="41" t="n">
        <x:f>'Evaluation Plan'!R46</x:f>
        <x:v>2</x:v>
      </x:c>
      <x:c r="S46" s="40" t="str">
        <x:f>'Evaluation Plan'!S46</x:f>
        <x:v>Build the listed same-category discrimination scene with the bowl empty.</x:v>
      </x:c>
      <x:c r="T46" s="40" t="str">
        <x:f>'Evaluation Plan'!T46</x:f>
        <x:v>Two same-category candidates share the non-queried state axis; only the held-out state word identifies the target.</x:v>
      </x:c>
      <x:c r="U46" s="40" t="n">
        <x:f>'Evaluation Plan'!U46</x:f>
        <x:v>0</x:v>
      </x:c>
    </x:row>
    <x:row r="47" ht="51" customHeight="1">
      <x:c r="A47" s="32" t="str">
        <x:v>Not collected</x:v>
      </x:c>
      <x:c r="B47" s="34" t="n">
        <x:f>'Evaluation Plan'!B47</x:f>
        <x:v>45</x:v>
      </x:c>
      <x:c r="C47" s="32" t="str">
        <x:f>'Evaluation Plan'!C47</x:f>
        <x:v>Place the open brown cup in the bowl.</x:v>
      </x:c>
      <x:c r="D47" s="32" t="str">
        <x:f>'Evaluation Plan'!D47</x:f>
        <x:v>brown cup A (C, UD); brown cup B (O, UD)</x:v>
      </x:c>
      <x:c r="E47" s="34" t="n">
        <x:f>'Evaluation Plan'!E47</x:f>
        <x:v>44</x:v>
      </x:c>
      <x:c r="F47" s="34" t="str">
        <x:f>'Evaluation Plan'!F47</x:f>
        <x:v>106</x:v>
      </x:c>
      <x:c r="G47" s="32" t="str">
        <x:f>'Evaluation Plan'!G47</x:f>
        <x:v>Training-supported state-object cell for the control. The evaluation scene is shared exactly with the paired transfer row, while the physical layout is manually recreated.</x:v>
      </x:c>
      <x:c r="H47" s="32" t="str">
        <x:f>'Evaluation Plan'!H47</x:f>
        <x:v>brown cup B</x:v>
      </x:c>
      <x:c r="I47" s="32" t="str"/>
      <x:c r="J47" s="37" t="str">
        <x:f>'Evaluation Plan'!J47</x:f>
        <x:v>Matched manipulation control</x:v>
      </x:c>
      <x:c r="K47" s="34" t="str">
        <x:f>'Evaluation Plan'!K47</x:f>
        <x:v>SR-CT07</x:v>
      </x:c>
      <x:c r="L47" s="34" t="str">
        <x:f>'Evaluation Plan'!L47</x:f>
        <x:v>O</x:v>
      </x:c>
      <x:c r="M47" s="34" t="str">
        <x:f>'Evaluation Plan'!M47</x:f>
        <x:v>brown cup</x:v>
      </x:c>
      <x:c r="N47" s="34" t="n">
        <x:f>'Evaluation Plan'!N47</x:f>
        <x:v>2</x:v>
      </x:c>
      <x:c r="O47" s="34" t="n">
        <x:f>'Evaluation Plan'!O47</x:f>
        <x:v>1</x:v>
      </x:c>
      <x:c r="P47" s="34" t="str">
        <x:f>'Evaluation Plan'!P47</x:f>
        <x:v>Empty</x:v>
      </x:c>
      <x:c r="Q47" s="32" t="str">
        <x:f>'Evaluation Plan'!Q47</x:f>
        <x:v>Exact-scene trained state-object counterfactual</x:v>
      </x:c>
      <x:c r="R47" s="34" t="n">
        <x:f>'Evaluation Plan'!R47</x:f>
        <x:v>2</x:v>
      </x:c>
      <x:c r="S47" s="32" t="str">
        <x:f>'Evaluation Plan'!S47</x:f>
        <x:v>Reset the moved object exactly; preserve every object and state; change only the prompt and expected target.</x:v>
      </x:c>
      <x:c r="T47" s="32" t="str">
        <x:f>'Evaluation Plan'!T47</x:f>
        <x:v>The correct target switches to the other same-category instance. This cell is explicit in training and controls recognition/manipulation in the transfer scene.</x:v>
      </x:c>
      <x:c r="U47" s="32" t="n">
        <x:f>'Evaluation Plan'!U47</x:f>
        <x:v>0</x:v>
      </x:c>
    </x:row>
    <x:row r="48" ht="51" customHeight="1">
      <x:c r="A48" s="31" t="str">
        <x:v>Not collected</x:v>
      </x:c>
      <x:c r="B48" s="33" t="n">
        <x:f>'Evaluation Plan'!B48</x:f>
        <x:v>46</x:v>
      </x:c>
      <x:c r="C48" s="31" t="str">
        <x:f>'Evaluation Plan'!C48</x:f>
        <x:v>Move the brown cup whose opening is covered into the bowl.</x:v>
      </x:c>
      <x:c r="D48" s="31" t="str">
        <x:f>'Evaluation Plan'!D48</x:f>
        <x:v>brown cup A (C, UD); brown cup B (O, UD)</x:v>
      </x:c>
      <x:c r="E48" s="33" t="n">
        <x:f>'Evaluation Plan'!E48</x:f>
        <x:v>44</x:v>
      </x:c>
      <x:c r="F48" s="33" t="str">
        <x:f>'Evaluation Plan'!F48</x:f>
        <x:v>107</x:v>
      </x:c>
      <x:c r="G48" s="31" t="str">
        <x:f>'Evaluation Plan'!G48</x:f>
        <x:v>The canonical transfer scene and masked trajectory reference are unchanged; only the evaluation wording is paraphrased. This remains a language diagnostic and is not pooled into the primary 50.</x:v>
      </x:c>
      <x:c r="H48" s="31" t="str">
        <x:f>'Evaluation Plan'!H48</x:f>
        <x:v>brown cup A</x:v>
      </x:c>
      <x:c r="I48" s="31" t="str"/>
      <x:c r="J48" s="38" t="str">
        <x:f>'Evaluation Plan'!J48</x:f>
        <x:v>Language robustness</x:v>
      </x:c>
      <x:c r="K48" s="33" t="str">
        <x:f>'Evaluation Plan'!K48</x:f>
        <x:v>SR-CT07</x:v>
      </x:c>
      <x:c r="L48" s="33" t="str">
        <x:f>'Evaluation Plan'!L48</x:f>
        <x:v>C</x:v>
      </x:c>
      <x:c r="M48" s="33" t="str">
        <x:f>'Evaluation Plan'!M48</x:f>
        <x:v>brown cup</x:v>
      </x:c>
      <x:c r="N48" s="33" t="n">
        <x:f>'Evaluation Plan'!N48</x:f>
        <x:v>2</x:v>
      </x:c>
      <x:c r="O48" s="33" t="n">
        <x:f>'Evaluation Plan'!O48</x:f>
        <x:v>1</x:v>
      </x:c>
      <x:c r="P48" s="33" t="str">
        <x:f>'Evaluation Plan'!P48</x:f>
        <x:v>Empty</x:v>
      </x:c>
      <x:c r="Q48" s="31" t="str">
        <x:f>'Evaluation Plan'!Q48</x:f>
        <x:v>Primary compositional-transfer prompt paraphrase</x:v>
      </x:c>
      <x:c r="R48" s="33" t="n">
        <x:f>'Evaluation Plan'!R48</x:f>
        <x:v>2</x:v>
      </x:c>
      <x:c r="S48" s="31" t="str">
        <x:f>'Evaluation Plan'!S48</x:f>
        <x:v>Reset the moved object exactly; preserve every object and state; change only the prompt wording.</x:v>
      </x:c>
      <x:c r="T48" s="31" t="str">
        <x:f>'Evaluation Plan'!T48</x:f>
        <x:v>Exact-scene paraphrase of one of the 50 canonical compositional-transfer trials.</x:v>
      </x:c>
      <x:c r="U48" s="31" t="n">
        <x:f>'Evaluation Plan'!U48</x:f>
        <x:v>0</x:v>
      </x:c>
    </x:row>
    <x:row r="49" ht="51" customHeight="1">
      <x:c r="A49" s="32" t="str">
        <x:v>Not collected</x:v>
      </x:c>
      <x:c r="B49" s="34" t="n">
        <x:f>'Evaluation Plan'!B49</x:f>
        <x:v>47</x:v>
      </x:c>
      <x:c r="C49" s="32" t="str">
        <x:f>'Evaluation Plan'!C49</x:f>
        <x:v>Move the brown cup whose opening is uncovered into the bowl.</x:v>
      </x:c>
      <x:c r="D49" s="32" t="str">
        <x:f>'Evaluation Plan'!D49</x:f>
        <x:v>brown cup A (C, UD); brown cup B (O, UD)</x:v>
      </x:c>
      <x:c r="E49" s="34" t="n">
        <x:f>'Evaluation Plan'!E49</x:f>
        <x:v>45</x:v>
      </x:c>
      <x:c r="F49" s="34" t="str">
        <x:f>'Evaluation Plan'!F49</x:f>
        <x:v>106</x:v>
      </x:c>
      <x:c r="G49" s="32" t="str">
        <x:f>'Evaluation Plan'!G49</x:f>
        <x:v>Canonical matched-control cell is training-supported; evaluation wording is paraphrased. No held-out composition is used.</x:v>
      </x:c>
      <x:c r="H49" s="32" t="str">
        <x:f>'Evaluation Plan'!H49</x:f>
        <x:v>brown cup B</x:v>
      </x:c>
      <x:c r="I49" s="32" t="str"/>
      <x:c r="J49" s="38" t="str">
        <x:f>'Evaluation Plan'!J49</x:f>
        <x:v>Language robustness</x:v>
      </x:c>
      <x:c r="K49" s="34" t="str">
        <x:f>'Evaluation Plan'!K49</x:f>
        <x:v>SR-CT07</x:v>
      </x:c>
      <x:c r="L49" s="34" t="str">
        <x:f>'Evaluation Plan'!L49</x:f>
        <x:v>O</x:v>
      </x:c>
      <x:c r="M49" s="34" t="str">
        <x:f>'Evaluation Plan'!M49</x:f>
        <x:v>brown cup</x:v>
      </x:c>
      <x:c r="N49" s="34" t="n">
        <x:f>'Evaluation Plan'!N49</x:f>
        <x:v>2</x:v>
      </x:c>
      <x:c r="O49" s="34" t="n">
        <x:f>'Evaluation Plan'!O49</x:f>
        <x:v>1</x:v>
      </x:c>
      <x:c r="P49" s="34" t="str">
        <x:f>'Evaluation Plan'!P49</x:f>
        <x:v>Empty</x:v>
      </x:c>
      <x:c r="Q49" s="32" t="str">
        <x:f>'Evaluation Plan'!Q49</x:f>
        <x:v>Matched-control state prompt paraphrase</x:v>
      </x:c>
      <x:c r="R49" s="34" t="n">
        <x:f>'Evaluation Plan'!R49</x:f>
        <x:v>2</x:v>
      </x:c>
      <x:c r="S49" s="32" t="str">
        <x:f>'Evaluation Plan'!S49</x:f>
        <x:v>Reset the moved object exactly; preserve the scene; change only the prompt wording.</x:v>
      </x:c>
      <x:c r="T49" s="32" t="str">
        <x:f>'Evaluation Plan'!T49</x:f>
        <x:v>This is one of 10 language trials paired with a matched trained-state control.</x:v>
      </x:c>
      <x:c r="U49" s="32" t="n">
        <x:f>'Evaluation Plan'!U49</x:f>
        <x:v>0</x:v>
      </x:c>
    </x:row>
    <x:row r="50" ht="51" customHeight="1">
      <x:c r="A50" s="40" t="str">
        <x:v>Not collected</x:v>
      </x:c>
      <x:c r="B50" s="41" t="n">
        <x:f>'Evaluation Plan'!B50</x:f>
        <x:v>48</x:v>
      </x:c>
      <x:c r="C50" s="40" t="str">
        <x:f>'Evaluation Plan'!C50</x:f>
        <x:v>Place the upright glass spice container in the bowl.</x:v>
      </x:c>
      <x:c r="D50" s="40" t="str">
        <x:f>'Evaluation Plan'!D50</x:f>
        <x:v>glass spice container B (O, RU); glass spice container A (O, UD); yellow-white striped cup B (O, UD)</x:v>
      </x:c>
      <x:c r="E50" s="41" t="str">
        <x:f>'Evaluation Plan'!E50</x:f>
      </x:c>
      <x:c r="F50" s="41" t="str">
        <x:f>'Evaluation Plan'!F50</x:f>
        <x:v>153</x:v>
      </x:c>
      <x:c r="G50" s="40" t="str">
        <x:f>'Evaluation Plan'!G50</x:f>
        <x:v>Physical-state and manipulation-trajectory reference under a direct category prompt; the evaluated state word × object-category cell is intentionally absent from training.</x:v>
      </x:c>
      <x:c r="H50" s="40" t="str">
        <x:f>'Evaluation Plan'!H50</x:f>
        <x:v>glass spice container B</x:v>
      </x:c>
      <x:c r="I50" s="40" t="str"/>
      <x:c r="J50" s="45" t="str">
        <x:f>'Evaluation Plan'!J50</x:f>
        <x:v>Concept/compositional transfer</x:v>
      </x:c>
      <x:c r="K50" s="41" t="str">
        <x:f>'Evaluation Plan'!K50</x:f>
        <x:v>SR-CT08</x:v>
      </x:c>
      <x:c r="L50" s="41" t="str">
        <x:f>'Evaluation Plan'!L50</x:f>
        <x:v>RU</x:v>
      </x:c>
      <x:c r="M50" s="41" t="str">
        <x:f>'Evaluation Plan'!M50</x:f>
        <x:v>glass spice container</x:v>
      </x:c>
      <x:c r="N50" s="41" t="n">
        <x:f>'Evaluation Plan'!N50</x:f>
        <x:v>3</x:v>
      </x:c>
      <x:c r="O50" s="41" t="n">
        <x:f>'Evaluation Plan'!O50</x:f>
        <x:v>1</x:v>
      </x:c>
      <x:c r="P50" s="41" t="str">
        <x:f>'Evaluation Plan'!P50</x:f>
        <x:v>Empty</x:v>
      </x:c>
      <x:c r="Q50" s="40" t="str">
        <x:f>'Evaluation Plan'!Q50</x:f>
        <x:v>Primary held-out state-object composition</x:v>
      </x:c>
      <x:c r="R50" s="41" t="n">
        <x:f>'Evaluation Plan'!R50</x:f>
        <x:v>2</x:v>
      </x:c>
      <x:c r="S50" s="40" t="str">
        <x:f>'Evaluation Plan'!S50</x:f>
        <x:v>Build the listed same-category discrimination scene with the bowl empty.</x:v>
      </x:c>
      <x:c r="T50" s="40" t="str">
        <x:f>'Evaluation Plan'!T50</x:f>
        <x:v>Two same-category candidates share the non-queried state axis; only the held-out state word identifies the target.</x:v>
      </x:c>
      <x:c r="U50" s="40" t="n">
        <x:f>'Evaluation Plan'!U50</x:f>
        <x:v>0</x:v>
      </x:c>
    </x:row>
    <x:row r="51" ht="51" customHeight="1">
      <x:c r="A51" s="32" t="str">
        <x:v>Not collected</x:v>
      </x:c>
      <x:c r="B51" s="34" t="n">
        <x:f>'Evaluation Plan'!B51</x:f>
        <x:v>49</x:v>
      </x:c>
      <x:c r="C51" s="32" t="str">
        <x:f>'Evaluation Plan'!C51</x:f>
        <x:v>Place the upside-down glass spice container in the bowl.</x:v>
      </x:c>
      <x:c r="D51" s="32" t="str">
        <x:f>'Evaluation Plan'!D51</x:f>
        <x:v>glass spice container B (O, RU); glass spice container A (O, UD); yellow-white striped cup B (O, UD)</x:v>
      </x:c>
      <x:c r="E51" s="34" t="n">
        <x:f>'Evaluation Plan'!E51</x:f>
        <x:v>48</x:v>
      </x:c>
      <x:c r="F51" s="34" t="str">
        <x:f>'Evaluation Plan'!F51</x:f>
        <x:v>181</x:v>
      </x:c>
      <x:c r="G51" s="32" t="str">
        <x:f>'Evaluation Plan'!G51</x:f>
        <x:v>Training-supported state-object cell for the control. The evaluation scene is shared exactly with the paired transfer row, while the physical layout is manually recreated.</x:v>
      </x:c>
      <x:c r="H51" s="32" t="str">
        <x:f>'Evaluation Plan'!H51</x:f>
        <x:v>glass spice container A</x:v>
      </x:c>
      <x:c r="I51" s="32" t="str"/>
      <x:c r="J51" s="37" t="str">
        <x:f>'Evaluation Plan'!J51</x:f>
        <x:v>Matched manipulation control</x:v>
      </x:c>
      <x:c r="K51" s="34" t="str">
        <x:f>'Evaluation Plan'!K51</x:f>
        <x:v>SR-CT08</x:v>
      </x:c>
      <x:c r="L51" s="34" t="str">
        <x:f>'Evaluation Plan'!L51</x:f>
        <x:v>UD</x:v>
      </x:c>
      <x:c r="M51" s="34" t="str">
        <x:f>'Evaluation Plan'!M51</x:f>
        <x:v>glass spice container</x:v>
      </x:c>
      <x:c r="N51" s="34" t="n">
        <x:f>'Evaluation Plan'!N51</x:f>
        <x:v>3</x:v>
      </x:c>
      <x:c r="O51" s="34" t="n">
        <x:f>'Evaluation Plan'!O51</x:f>
        <x:v>1</x:v>
      </x:c>
      <x:c r="P51" s="34" t="str">
        <x:f>'Evaluation Plan'!P51</x:f>
        <x:v>Empty</x:v>
      </x:c>
      <x:c r="Q51" s="32" t="str">
        <x:f>'Evaluation Plan'!Q51</x:f>
        <x:v>Exact-scene trained state-object counterfactual</x:v>
      </x:c>
      <x:c r="R51" s="34" t="n">
        <x:f>'Evaluation Plan'!R51</x:f>
        <x:v>2</x:v>
      </x:c>
      <x:c r="S51" s="32" t="str">
        <x:f>'Evaluation Plan'!S51</x:f>
        <x:v>Reset the moved object exactly; preserve every object and state; change only the prompt and expected target.</x:v>
      </x:c>
      <x:c r="T51" s="32" t="str">
        <x:f>'Evaluation Plan'!T51</x:f>
        <x:v>The correct target switches to the other same-category instance. This cell is explicit in training and controls recognition/manipulation in the transfer scene.</x:v>
      </x:c>
      <x:c r="U51" s="32" t="n">
        <x:f>'Evaluation Plan'!U51</x:f>
        <x:v>0</x:v>
      </x:c>
    </x:row>
    <x:row r="52" ht="51" customHeight="1">
      <x:c r="A52" s="31" t="str">
        <x:v>Not collected</x:v>
      </x:c>
      <x:c r="B52" s="33" t="n">
        <x:f>'Evaluation Plan'!B52</x:f>
        <x:v>50</x:v>
      </x:c>
      <x:c r="C52" s="31" t="str">
        <x:f>'Evaluation Plan'!C52</x:f>
        <x:v>Move the right-side-up glass spice container into the bowl.</x:v>
      </x:c>
      <x:c r="D52" s="31" t="str">
        <x:f>'Evaluation Plan'!D52</x:f>
        <x:v>glass spice container B (O, RU); glass spice container A (O, UD); yellow-white striped cup B (O, UD)</x:v>
      </x:c>
      <x:c r="E52" s="33" t="n">
        <x:f>'Evaluation Plan'!E52</x:f>
        <x:v>48</x:v>
      </x:c>
      <x:c r="F52" s="33" t="str">
        <x:f>'Evaluation Plan'!F52</x:f>
        <x:v>153</x:v>
      </x:c>
      <x:c r="G52" s="31" t="str">
        <x:f>'Evaluation Plan'!G52</x:f>
        <x:v>The canonical transfer scene and masked trajectory reference are unchanged; only the evaluation wording is paraphrased. This remains a language diagnostic and is not pooled into the primary 50.</x:v>
      </x:c>
      <x:c r="H52" s="31" t="str">
        <x:f>'Evaluation Plan'!H52</x:f>
        <x:v>glass spice container B</x:v>
      </x:c>
      <x:c r="I52" s="31" t="str"/>
      <x:c r="J52" s="38" t="str">
        <x:f>'Evaluation Plan'!J52</x:f>
        <x:v>Language robustness</x:v>
      </x:c>
      <x:c r="K52" s="33" t="str">
        <x:f>'Evaluation Plan'!K52</x:f>
        <x:v>SR-CT08</x:v>
      </x:c>
      <x:c r="L52" s="33" t="str">
        <x:f>'Evaluation Plan'!L52</x:f>
        <x:v>RU</x:v>
      </x:c>
      <x:c r="M52" s="33" t="str">
        <x:f>'Evaluation Plan'!M52</x:f>
        <x:v>glass spice container</x:v>
      </x:c>
      <x:c r="N52" s="33" t="n">
        <x:f>'Evaluation Plan'!N52</x:f>
        <x:v>3</x:v>
      </x:c>
      <x:c r="O52" s="33" t="n">
        <x:f>'Evaluation Plan'!O52</x:f>
        <x:v>1</x:v>
      </x:c>
      <x:c r="P52" s="33" t="str">
        <x:f>'Evaluation Plan'!P52</x:f>
        <x:v>Empty</x:v>
      </x:c>
      <x:c r="Q52" s="31" t="str">
        <x:f>'Evaluation Plan'!Q52</x:f>
        <x:v>Primary compositional-transfer prompt paraphrase</x:v>
      </x:c>
      <x:c r="R52" s="33" t="n">
        <x:f>'Evaluation Plan'!R52</x:f>
        <x:v>2</x:v>
      </x:c>
      <x:c r="S52" s="31" t="str">
        <x:f>'Evaluation Plan'!S52</x:f>
        <x:v>Reset the moved object exactly; preserve every object and state; change only the prompt wording.</x:v>
      </x:c>
      <x:c r="T52" s="31" t="str">
        <x:f>'Evaluation Plan'!T52</x:f>
        <x:v>Exact-scene paraphrase of one of the 50 canonical compositional-transfer trials.</x:v>
      </x:c>
      <x:c r="U52" s="31" t="n">
        <x:f>'Evaluation Plan'!U52</x:f>
        <x:v>0</x:v>
      </x:c>
    </x:row>
    <x:row r="53" ht="51" customHeight="1">
      <x:c r="A53" s="32" t="str">
        <x:v>Not collected</x:v>
      </x:c>
      <x:c r="B53" s="34" t="n">
        <x:f>'Evaluation Plan'!B53</x:f>
        <x:v>51</x:v>
      </x:c>
      <x:c r="C53" s="32" t="str">
        <x:f>'Evaluation Plan'!C53</x:f>
        <x:v>Move the inverted glass spice container into the bowl.</x:v>
      </x:c>
      <x:c r="D53" s="32" t="str">
        <x:f>'Evaluation Plan'!D53</x:f>
        <x:v>glass spice container B (O, RU); glass spice container A (O, UD); yellow-white striped cup B (O, UD)</x:v>
      </x:c>
      <x:c r="E53" s="34" t="n">
        <x:f>'Evaluation Plan'!E53</x:f>
        <x:v>49</x:v>
      </x:c>
      <x:c r="F53" s="34" t="str">
        <x:f>'Evaluation Plan'!F53</x:f>
        <x:v>181</x:v>
      </x:c>
      <x:c r="G53" s="32" t="str">
        <x:f>'Evaluation Plan'!G53</x:f>
        <x:v>Canonical matched-control cell is training-supported; evaluation wording is paraphrased. No held-out composition is used.</x:v>
      </x:c>
      <x:c r="H53" s="32" t="str">
        <x:f>'Evaluation Plan'!H53</x:f>
        <x:v>glass spice container A</x:v>
      </x:c>
      <x:c r="I53" s="32" t="str"/>
      <x:c r="J53" s="38" t="str">
        <x:f>'Evaluation Plan'!J53</x:f>
        <x:v>Language robustness</x:v>
      </x:c>
      <x:c r="K53" s="34" t="str">
        <x:f>'Evaluation Plan'!K53</x:f>
        <x:v>SR-CT08</x:v>
      </x:c>
      <x:c r="L53" s="34" t="str">
        <x:f>'Evaluation Plan'!L53</x:f>
        <x:v>UD</x:v>
      </x:c>
      <x:c r="M53" s="34" t="str">
        <x:f>'Evaluation Plan'!M53</x:f>
        <x:v>glass spice container</x:v>
      </x:c>
      <x:c r="N53" s="34" t="n">
        <x:f>'Evaluation Plan'!N53</x:f>
        <x:v>3</x:v>
      </x:c>
      <x:c r="O53" s="34" t="n">
        <x:f>'Evaluation Plan'!O53</x:f>
        <x:v>1</x:v>
      </x:c>
      <x:c r="P53" s="34" t="str">
        <x:f>'Evaluation Plan'!P53</x:f>
        <x:v>Empty</x:v>
      </x:c>
      <x:c r="Q53" s="32" t="str">
        <x:f>'Evaluation Plan'!Q53</x:f>
        <x:v>Matched-control state prompt paraphrase</x:v>
      </x:c>
      <x:c r="R53" s="34" t="n">
        <x:f>'Evaluation Plan'!R53</x:f>
        <x:v>2</x:v>
      </x:c>
      <x:c r="S53" s="32" t="str">
        <x:f>'Evaluation Plan'!S53</x:f>
        <x:v>Reset the moved object exactly; preserve the scene; change only the prompt wording.</x:v>
      </x:c>
      <x:c r="T53" s="32" t="str">
        <x:f>'Evaluation Plan'!T53</x:f>
        <x:v>This is one of 10 language trials paired with a matched trained-state control.</x:v>
      </x:c>
      <x:c r="U53" s="32" t="n">
        <x:f>'Evaluation Plan'!U53</x:f>
        <x:v>0</x:v>
      </x:c>
    </x:row>
    <x:row r="54" ht="51" customHeight="1">
      <x:c r="A54" s="40" t="str">
        <x:v>Not collected</x:v>
      </x:c>
      <x:c r="B54" s="41" t="n">
        <x:f>'Evaluation Plan'!B54</x:f>
        <x:v>52</x:v>
      </x:c>
      <x:c r="C54" s="40" t="str">
        <x:f>'Evaluation Plan'!C54</x:f>
        <x:v>Place the upside-down white cup in the bowl.</x:v>
      </x:c>
      <x:c r="D54" s="40" t="str">
        <x:f>'Evaluation Plan'!D54</x:f>
        <x:v>white cup A (C, UD); white cup B (C, RU); glass spice container A (C, RU); yellow-white striped cup B (O, RU)</x:v>
      </x:c>
      <x:c r="E54" s="41" t="str">
        <x:f>'Evaluation Plan'!E54</x:f>
      </x:c>
      <x:c r="F54" s="41" t="str">
        <x:f>'Evaluation Plan'!F54</x:f>
        <x:v>39</x:v>
      </x:c>
      <x:c r="G54" s="40" t="str">
        <x:f>'Evaluation Plan'!G54</x:f>
        <x:v>Physical-state and manipulation-trajectory reference under a direct category prompt; the evaluated state word × object-category cell is intentionally absent from training.</x:v>
      </x:c>
      <x:c r="H54" s="40" t="str">
        <x:f>'Evaluation Plan'!H54</x:f>
        <x:v>white cup A</x:v>
      </x:c>
      <x:c r="I54" s="40" t="str"/>
      <x:c r="J54" s="45" t="str">
        <x:f>'Evaluation Plan'!J54</x:f>
        <x:v>Concept/compositional transfer</x:v>
      </x:c>
      <x:c r="K54" s="41" t="str">
        <x:f>'Evaluation Plan'!K54</x:f>
        <x:v>SR-CT09</x:v>
      </x:c>
      <x:c r="L54" s="41" t="str">
        <x:f>'Evaluation Plan'!L54</x:f>
        <x:v>UD</x:v>
      </x:c>
      <x:c r="M54" s="41" t="str">
        <x:f>'Evaluation Plan'!M54</x:f>
        <x:v>white cup</x:v>
      </x:c>
      <x:c r="N54" s="41" t="n">
        <x:f>'Evaluation Plan'!N54</x:f>
        <x:v>4</x:v>
      </x:c>
      <x:c r="O54" s="41" t="n">
        <x:f>'Evaluation Plan'!O54</x:f>
        <x:v>1</x:v>
      </x:c>
      <x:c r="P54" s="41" t="str">
        <x:f>'Evaluation Plan'!P54</x:f>
        <x:v>Empty</x:v>
      </x:c>
      <x:c r="Q54" s="40" t="str">
        <x:f>'Evaluation Plan'!Q54</x:f>
        <x:v>Primary held-out state-object composition</x:v>
      </x:c>
      <x:c r="R54" s="41" t="n">
        <x:f>'Evaluation Plan'!R54</x:f>
        <x:v>2</x:v>
      </x:c>
      <x:c r="S54" s="40" t="str">
        <x:f>'Evaluation Plan'!S54</x:f>
        <x:v>Build the listed same-category discrimination scene with the bowl empty.</x:v>
      </x:c>
      <x:c r="T54" s="40" t="str">
        <x:f>'Evaluation Plan'!T54</x:f>
        <x:v>Two same-category candidates share the non-queried state axis; only the held-out state word identifies the target.</x:v>
      </x:c>
      <x:c r="U54" s="40" t="n">
        <x:f>'Evaluation Plan'!U54</x:f>
        <x:v>0</x:v>
      </x:c>
    </x:row>
    <x:row r="55" ht="51" customHeight="1">
      <x:c r="A55" s="32" t="str">
        <x:v>Not collected</x:v>
      </x:c>
      <x:c r="B55" s="34" t="n">
        <x:f>'Evaluation Plan'!B55</x:f>
        <x:v>53</x:v>
      </x:c>
      <x:c r="C55" s="32" t="str">
        <x:f>'Evaluation Plan'!C55</x:f>
        <x:v>Place the upright white cup in the bowl.</x:v>
      </x:c>
      <x:c r="D55" s="32" t="str">
        <x:f>'Evaluation Plan'!D55</x:f>
        <x:v>white cup A (C, UD); white cup B (C, RU); glass spice container A (C, RU); yellow-white striped cup B (O, RU)</x:v>
      </x:c>
      <x:c r="E55" s="34" t="n">
        <x:f>'Evaluation Plan'!E55</x:f>
        <x:v>52</x:v>
      </x:c>
      <x:c r="F55" s="34" t="str">
        <x:f>'Evaluation Plan'!F55</x:f>
        <x:v>33</x:v>
      </x:c>
      <x:c r="G55" s="32" t="str">
        <x:f>'Evaluation Plan'!G55</x:f>
        <x:v>Training-supported state-object cell for the control. The evaluation scene is shared exactly with the paired transfer row, while the physical layout is manually recreated.</x:v>
      </x:c>
      <x:c r="H55" s="32" t="str">
        <x:f>'Evaluation Plan'!H55</x:f>
        <x:v>white cup B</x:v>
      </x:c>
      <x:c r="I55" s="32" t="str"/>
      <x:c r="J55" s="37" t="str">
        <x:f>'Evaluation Plan'!J55</x:f>
        <x:v>Matched manipulation control</x:v>
      </x:c>
      <x:c r="K55" s="34" t="str">
        <x:f>'Evaluation Plan'!K55</x:f>
        <x:v>SR-CT09</x:v>
      </x:c>
      <x:c r="L55" s="34" t="str">
        <x:f>'Evaluation Plan'!L55</x:f>
        <x:v>RU</x:v>
      </x:c>
      <x:c r="M55" s="34" t="str">
        <x:f>'Evaluation Plan'!M55</x:f>
        <x:v>white cup</x:v>
      </x:c>
      <x:c r="N55" s="34" t="n">
        <x:f>'Evaluation Plan'!N55</x:f>
        <x:v>4</x:v>
      </x:c>
      <x:c r="O55" s="34" t="n">
        <x:f>'Evaluation Plan'!O55</x:f>
        <x:v>1</x:v>
      </x:c>
      <x:c r="P55" s="34" t="str">
        <x:f>'Evaluation Plan'!P55</x:f>
        <x:v>Empty</x:v>
      </x:c>
      <x:c r="Q55" s="32" t="str">
        <x:f>'Evaluation Plan'!Q55</x:f>
        <x:v>Exact-scene trained state-object counterfactual</x:v>
      </x:c>
      <x:c r="R55" s="34" t="n">
        <x:f>'Evaluation Plan'!R55</x:f>
        <x:v>2</x:v>
      </x:c>
      <x:c r="S55" s="32" t="str">
        <x:f>'Evaluation Plan'!S55</x:f>
        <x:v>Reset the moved object exactly; preserve every object and state; change only the prompt and expected target.</x:v>
      </x:c>
      <x:c r="T55" s="32" t="str">
        <x:f>'Evaluation Plan'!T55</x:f>
        <x:v>The correct target switches to the other same-category instance. This cell is explicit in training and controls recognition/manipulation in the transfer scene.</x:v>
      </x:c>
      <x:c r="U55" s="32" t="n">
        <x:f>'Evaluation Plan'!U55</x:f>
        <x:v>0</x:v>
      </x:c>
    </x:row>
    <x:row r="56" ht="51" customHeight="1">
      <x:c r="A56" s="31" t="str">
        <x:v>Not collected</x:v>
      </x:c>
      <x:c r="B56" s="33" t="n">
        <x:f>'Evaluation Plan'!B56</x:f>
        <x:v>54</x:v>
      </x:c>
      <x:c r="C56" s="31" t="str">
        <x:f>'Evaluation Plan'!C56</x:f>
        <x:v>Move the inverted white cup into the bowl.</x:v>
      </x:c>
      <x:c r="D56" s="31" t="str">
        <x:f>'Evaluation Plan'!D56</x:f>
        <x:v>white cup A (C, UD); white cup B (C, RU); glass spice container A (C, RU); yellow-white striped cup B (O, RU)</x:v>
      </x:c>
      <x:c r="E56" s="33" t="n">
        <x:f>'Evaluation Plan'!E56</x:f>
        <x:v>52</x:v>
      </x:c>
      <x:c r="F56" s="33" t="str">
        <x:f>'Evaluation Plan'!F56</x:f>
        <x:v>39</x:v>
      </x:c>
      <x:c r="G56" s="31" t="str">
        <x:f>'Evaluation Plan'!G56</x:f>
        <x:v>The canonical transfer scene and masked trajectory reference are unchanged; only the evaluation wording is paraphrased. This remains a language diagnostic and is not pooled into the primary 50.</x:v>
      </x:c>
      <x:c r="H56" s="31" t="str">
        <x:f>'Evaluation Plan'!H56</x:f>
        <x:v>white cup A</x:v>
      </x:c>
      <x:c r="I56" s="31" t="str"/>
      <x:c r="J56" s="38" t="str">
        <x:f>'Evaluation Plan'!J56</x:f>
        <x:v>Language robustness</x:v>
      </x:c>
      <x:c r="K56" s="33" t="str">
        <x:f>'Evaluation Plan'!K56</x:f>
        <x:v>SR-CT09</x:v>
      </x:c>
      <x:c r="L56" s="33" t="str">
        <x:f>'Evaluation Plan'!L56</x:f>
        <x:v>UD</x:v>
      </x:c>
      <x:c r="M56" s="33" t="str">
        <x:f>'Evaluation Plan'!M56</x:f>
        <x:v>white cup</x:v>
      </x:c>
      <x:c r="N56" s="33" t="n">
        <x:f>'Evaluation Plan'!N56</x:f>
        <x:v>4</x:v>
      </x:c>
      <x:c r="O56" s="33" t="n">
        <x:f>'Evaluation Plan'!O56</x:f>
        <x:v>1</x:v>
      </x:c>
      <x:c r="P56" s="33" t="str">
        <x:f>'Evaluation Plan'!P56</x:f>
        <x:v>Empty</x:v>
      </x:c>
      <x:c r="Q56" s="31" t="str">
        <x:f>'Evaluation Plan'!Q56</x:f>
        <x:v>Primary compositional-transfer prompt paraphrase</x:v>
      </x:c>
      <x:c r="R56" s="33" t="n">
        <x:f>'Evaluation Plan'!R56</x:f>
        <x:v>2</x:v>
      </x:c>
      <x:c r="S56" s="31" t="str">
        <x:f>'Evaluation Plan'!S56</x:f>
        <x:v>Reset the moved object exactly; preserve every object and state; change only the prompt wording.</x:v>
      </x:c>
      <x:c r="T56" s="31" t="str">
        <x:f>'Evaluation Plan'!T56</x:f>
        <x:v>Exact-scene paraphrase of one of the 50 canonical compositional-transfer trials.</x:v>
      </x:c>
      <x:c r="U56" s="31" t="n">
        <x:f>'Evaluation Plan'!U56</x:f>
        <x:v>0</x:v>
      </x:c>
    </x:row>
    <x:row r="57" ht="51" customHeight="1">
      <x:c r="A57" s="32" t="str">
        <x:v>Not collected</x:v>
      </x:c>
      <x:c r="B57" s="34" t="n">
        <x:f>'Evaluation Plan'!B57</x:f>
        <x:v>55</x:v>
      </x:c>
      <x:c r="C57" s="32" t="str">
        <x:f>'Evaluation Plan'!C57</x:f>
        <x:v>Move the right-side-up white cup into the bowl.</x:v>
      </x:c>
      <x:c r="D57" s="32" t="str">
        <x:f>'Evaluation Plan'!D57</x:f>
        <x:v>white cup A (C, UD); white cup B (C, RU); glass spice container A (C, RU); yellow-white striped cup B (O, RU)</x:v>
      </x:c>
      <x:c r="E57" s="34" t="n">
        <x:f>'Evaluation Plan'!E57</x:f>
        <x:v>53</x:v>
      </x:c>
      <x:c r="F57" s="34" t="str">
        <x:f>'Evaluation Plan'!F57</x:f>
        <x:v>33</x:v>
      </x:c>
      <x:c r="G57" s="32" t="str">
        <x:f>'Evaluation Plan'!G57</x:f>
        <x:v>Canonical matched-control cell is training-supported; evaluation wording is paraphrased. No held-out composition is used.</x:v>
      </x:c>
      <x:c r="H57" s="32" t="str">
        <x:f>'Evaluation Plan'!H57</x:f>
        <x:v>white cup B</x:v>
      </x:c>
      <x:c r="I57" s="32" t="str"/>
      <x:c r="J57" s="38" t="str">
        <x:f>'Evaluation Plan'!J57</x:f>
        <x:v>Language robustness</x:v>
      </x:c>
      <x:c r="K57" s="34" t="str">
        <x:f>'Evaluation Plan'!K57</x:f>
        <x:v>SR-CT09</x:v>
      </x:c>
      <x:c r="L57" s="34" t="str">
        <x:f>'Evaluation Plan'!L57</x:f>
        <x:v>RU</x:v>
      </x:c>
      <x:c r="M57" s="34" t="str">
        <x:f>'Evaluation Plan'!M57</x:f>
        <x:v>white cup</x:v>
      </x:c>
      <x:c r="N57" s="34" t="n">
        <x:f>'Evaluation Plan'!N57</x:f>
        <x:v>4</x:v>
      </x:c>
      <x:c r="O57" s="34" t="n">
        <x:f>'Evaluation Plan'!O57</x:f>
        <x:v>1</x:v>
      </x:c>
      <x:c r="P57" s="34" t="str">
        <x:f>'Evaluation Plan'!P57</x:f>
        <x:v>Empty</x:v>
      </x:c>
      <x:c r="Q57" s="32" t="str">
        <x:f>'Evaluation Plan'!Q57</x:f>
        <x:v>Matched-control state prompt paraphrase</x:v>
      </x:c>
      <x:c r="R57" s="34" t="n">
        <x:f>'Evaluation Plan'!R57</x:f>
        <x:v>2</x:v>
      </x:c>
      <x:c r="S57" s="32" t="str">
        <x:f>'Evaluation Plan'!S57</x:f>
        <x:v>Reset the moved object exactly; preserve the scene; change only the prompt wording.</x:v>
      </x:c>
      <x:c r="T57" s="32" t="str">
        <x:f>'Evaluation Plan'!T57</x:f>
        <x:v>This is one of 10 language trials paired with a matched trained-state control.</x:v>
      </x:c>
      <x:c r="U57" s="32" t="n">
        <x:f>'Evaluation Plan'!U57</x:f>
        <x:v>0</x:v>
      </x:c>
    </x:row>
    <x:row r="58" ht="51" customHeight="1">
      <x:c r="A58" s="40" t="str">
        <x:v>Not collected</x:v>
      </x:c>
      <x:c r="B58" s="41" t="n">
        <x:f>'Evaluation Plan'!B58</x:f>
        <x:v>56</x:v>
      </x:c>
      <x:c r="C58" s="40" t="str">
        <x:f>'Evaluation Plan'!C58</x:f>
        <x:v>Place the open yellow-white striped cup in the bowl.</x:v>
      </x:c>
      <x:c r="D58" s="40" t="str">
        <x:f>'Evaluation Plan'!D58</x:f>
        <x:v>yellow-white striped cup B (O, RU); yellow-white striped cup A (C, RU)</x:v>
      </x:c>
      <x:c r="E58" s="41" t="str">
        <x:f>'Evaluation Plan'!E58</x:f>
      </x:c>
      <x:c r="F58" s="41" t="str">
        <x:f>'Evaluation Plan'!F58</x:f>
        <x:v>71</x:v>
      </x:c>
      <x:c r="G58" s="40" t="str">
        <x:f>'Evaluation Plan'!G58</x:f>
        <x:v>Physical-state and manipulation-trajectory reference under a direct category prompt; the evaluated state word × object-category cell is intentionally absent from training.</x:v>
      </x:c>
      <x:c r="H58" s="40" t="str">
        <x:f>'Evaluation Plan'!H58</x:f>
        <x:v>yellow-white striped cup B</x:v>
      </x:c>
      <x:c r="I58" s="40" t="str"/>
      <x:c r="J58" s="45" t="str">
        <x:f>'Evaluation Plan'!J58</x:f>
        <x:v>Concept/compositional transfer</x:v>
      </x:c>
      <x:c r="K58" s="41" t="str">
        <x:f>'Evaluation Plan'!K58</x:f>
        <x:v>SR-CT10</x:v>
      </x:c>
      <x:c r="L58" s="41" t="str">
        <x:f>'Evaluation Plan'!L58</x:f>
        <x:v>O</x:v>
      </x:c>
      <x:c r="M58" s="41" t="str">
        <x:f>'Evaluation Plan'!M58</x:f>
        <x:v>yellow-white striped cup</x:v>
      </x:c>
      <x:c r="N58" s="41" t="n">
        <x:f>'Evaluation Plan'!N58</x:f>
        <x:v>2</x:v>
      </x:c>
      <x:c r="O58" s="41" t="n">
        <x:f>'Evaluation Plan'!O58</x:f>
        <x:v>1</x:v>
      </x:c>
      <x:c r="P58" s="41" t="str">
        <x:f>'Evaluation Plan'!P58</x:f>
        <x:v>Empty</x:v>
      </x:c>
      <x:c r="Q58" s="40" t="str">
        <x:f>'Evaluation Plan'!Q58</x:f>
        <x:v>Primary held-out state-object composition</x:v>
      </x:c>
      <x:c r="R58" s="41" t="n">
        <x:f>'Evaluation Plan'!R58</x:f>
        <x:v>2</x:v>
      </x:c>
      <x:c r="S58" s="40" t="str">
        <x:f>'Evaluation Plan'!S58</x:f>
        <x:v>Build the listed same-category discrimination scene with the bowl empty.</x:v>
      </x:c>
      <x:c r="T58" s="40" t="str">
        <x:f>'Evaluation Plan'!T58</x:f>
        <x:v>Two same-category candidates share the non-queried state axis; only the held-out state word identifies the target.</x:v>
      </x:c>
      <x:c r="U58" s="40" t="n">
        <x:f>'Evaluation Plan'!U58</x:f>
        <x:v>0</x:v>
      </x:c>
    </x:row>
    <x:row r="59" ht="51" customHeight="1">
      <x:c r="A59" s="32" t="str">
        <x:v>Not collected</x:v>
      </x:c>
      <x:c r="B59" s="34" t="n">
        <x:f>'Evaluation Plan'!B59</x:f>
        <x:v>57</x:v>
      </x:c>
      <x:c r="C59" s="32" t="str">
        <x:f>'Evaluation Plan'!C59</x:f>
        <x:v>Place the closed yellow-white striped cup in the bowl.</x:v>
      </x:c>
      <x:c r="D59" s="32" t="str">
        <x:f>'Evaluation Plan'!D59</x:f>
        <x:v>yellow-white striped cup B (O, RU); yellow-white striped cup A (C, RU)</x:v>
      </x:c>
      <x:c r="E59" s="34" t="n">
        <x:f>'Evaluation Plan'!E59</x:f>
        <x:v>56</x:v>
      </x:c>
      <x:c r="F59" s="34" t="str">
        <x:f>'Evaluation Plan'!F59</x:f>
        <x:v>67</x:v>
      </x:c>
      <x:c r="G59" s="32" t="str">
        <x:f>'Evaluation Plan'!G59</x:f>
        <x:v>Training-supported state-object cell for the control. The evaluation scene is shared exactly with the paired transfer row, while the physical layout is manually recreated.</x:v>
      </x:c>
      <x:c r="H59" s="32" t="str">
        <x:f>'Evaluation Plan'!H59</x:f>
        <x:v>yellow-white striped cup A</x:v>
      </x:c>
      <x:c r="I59" s="32" t="str"/>
      <x:c r="J59" s="37" t="str">
        <x:f>'Evaluation Plan'!J59</x:f>
        <x:v>Matched manipulation control</x:v>
      </x:c>
      <x:c r="K59" s="34" t="str">
        <x:f>'Evaluation Plan'!K59</x:f>
        <x:v>SR-CT10</x:v>
      </x:c>
      <x:c r="L59" s="34" t="str">
        <x:f>'Evaluation Plan'!L59</x:f>
        <x:v>C</x:v>
      </x:c>
      <x:c r="M59" s="34" t="str">
        <x:f>'Evaluation Plan'!M59</x:f>
        <x:v>yellow-white striped cup</x:v>
      </x:c>
      <x:c r="N59" s="34" t="n">
        <x:f>'Evaluation Plan'!N59</x:f>
        <x:v>2</x:v>
      </x:c>
      <x:c r="O59" s="34" t="n">
        <x:f>'Evaluation Plan'!O59</x:f>
        <x:v>1</x:v>
      </x:c>
      <x:c r="P59" s="34" t="str">
        <x:f>'Evaluation Plan'!P59</x:f>
        <x:v>Empty</x:v>
      </x:c>
      <x:c r="Q59" s="32" t="str">
        <x:f>'Evaluation Plan'!Q59</x:f>
        <x:v>Exact-scene trained state-object counterfactual</x:v>
      </x:c>
      <x:c r="R59" s="34" t="n">
        <x:f>'Evaluation Plan'!R59</x:f>
        <x:v>2</x:v>
      </x:c>
      <x:c r="S59" s="32" t="str">
        <x:f>'Evaluation Plan'!S59</x:f>
        <x:v>Reset the moved object exactly; preserve every object and state; change only the prompt and expected target.</x:v>
      </x:c>
      <x:c r="T59" s="32" t="str">
        <x:f>'Evaluation Plan'!T59</x:f>
        <x:v>The correct target switches to the other same-category instance. This cell is explicit in training and controls recognition/manipulation in the transfer scene.</x:v>
      </x:c>
      <x:c r="U59" s="32" t="n">
        <x:f>'Evaluation Plan'!U59</x:f>
        <x:v>0</x:v>
      </x:c>
    </x:row>
    <x:row r="60" ht="51" customHeight="1">
      <x:c r="A60" s="31" t="str">
        <x:v>Not collected</x:v>
      </x:c>
      <x:c r="B60" s="33" t="n">
        <x:f>'Evaluation Plan'!B60</x:f>
        <x:v>58</x:v>
      </x:c>
      <x:c r="C60" s="31" t="str">
        <x:f>'Evaluation Plan'!C60</x:f>
        <x:v>Move the yellow-white striped cup whose opening is uncovered into the bowl.</x:v>
      </x:c>
      <x:c r="D60" s="31" t="str">
        <x:f>'Evaluation Plan'!D60</x:f>
        <x:v>yellow-white striped cup B (O, RU); yellow-white striped cup A (C, RU)</x:v>
      </x:c>
      <x:c r="E60" s="33" t="n">
        <x:f>'Evaluation Plan'!E60</x:f>
        <x:v>56</x:v>
      </x:c>
      <x:c r="F60" s="33" t="str">
        <x:f>'Evaluation Plan'!F60</x:f>
        <x:v>71</x:v>
      </x:c>
      <x:c r="G60" s="31" t="str">
        <x:f>'Evaluation Plan'!G60</x:f>
        <x:v>The canonical transfer scene and masked trajectory reference are unchanged; only the evaluation wording is paraphrased. This remains a language diagnostic and is not pooled into the primary 50.</x:v>
      </x:c>
      <x:c r="H60" s="31" t="str">
        <x:f>'Evaluation Plan'!H60</x:f>
        <x:v>yellow-white striped cup B</x:v>
      </x:c>
      <x:c r="I60" s="31" t="str"/>
      <x:c r="J60" s="38" t="str">
        <x:f>'Evaluation Plan'!J60</x:f>
        <x:v>Language robustness</x:v>
      </x:c>
      <x:c r="K60" s="33" t="str">
        <x:f>'Evaluation Plan'!K60</x:f>
        <x:v>SR-CT10</x:v>
      </x:c>
      <x:c r="L60" s="33" t="str">
        <x:f>'Evaluation Plan'!L60</x:f>
        <x:v>O</x:v>
      </x:c>
      <x:c r="M60" s="33" t="str">
        <x:f>'Evaluation Plan'!M60</x:f>
        <x:v>yellow-white striped cup</x:v>
      </x:c>
      <x:c r="N60" s="33" t="n">
        <x:f>'Evaluation Plan'!N60</x:f>
        <x:v>2</x:v>
      </x:c>
      <x:c r="O60" s="33" t="n">
        <x:f>'Evaluation Plan'!O60</x:f>
        <x:v>1</x:v>
      </x:c>
      <x:c r="P60" s="33" t="str">
        <x:f>'Evaluation Plan'!P60</x:f>
        <x:v>Empty</x:v>
      </x:c>
      <x:c r="Q60" s="31" t="str">
        <x:f>'Evaluation Plan'!Q60</x:f>
        <x:v>Primary compositional-transfer prompt paraphrase</x:v>
      </x:c>
      <x:c r="R60" s="33" t="n">
        <x:f>'Evaluation Plan'!R60</x:f>
        <x:v>2</x:v>
      </x:c>
      <x:c r="S60" s="31" t="str">
        <x:f>'Evaluation Plan'!S60</x:f>
        <x:v>Reset the moved object exactly; preserve every object and state; change only the prompt wording.</x:v>
      </x:c>
      <x:c r="T60" s="31" t="str">
        <x:f>'Evaluation Plan'!T60</x:f>
        <x:v>Exact-scene paraphrase of one of the 50 canonical compositional-transfer trials.</x:v>
      </x:c>
      <x:c r="U60" s="31" t="n">
        <x:f>'Evaluation Plan'!U60</x:f>
        <x:v>0</x:v>
      </x:c>
    </x:row>
    <x:row r="61" ht="51" customHeight="1">
      <x:c r="A61" s="32" t="str">
        <x:v>Not collected</x:v>
      </x:c>
      <x:c r="B61" s="34" t="n">
        <x:f>'Evaluation Plan'!B61</x:f>
        <x:v>59</x:v>
      </x:c>
      <x:c r="C61" s="32" t="str">
        <x:f>'Evaluation Plan'!C61</x:f>
        <x:v>Move the yellow-white striped cup whose opening is covered into the bowl.</x:v>
      </x:c>
      <x:c r="D61" s="32" t="str">
        <x:f>'Evaluation Plan'!D61</x:f>
        <x:v>yellow-white striped cup B (O, RU); yellow-white striped cup A (C, RU)</x:v>
      </x:c>
      <x:c r="E61" s="34" t="n">
        <x:f>'Evaluation Plan'!E61</x:f>
        <x:v>57</x:v>
      </x:c>
      <x:c r="F61" s="34" t="str">
        <x:f>'Evaluation Plan'!F61</x:f>
        <x:v>67</x:v>
      </x:c>
      <x:c r="G61" s="32" t="str">
        <x:f>'Evaluation Plan'!G61</x:f>
        <x:v>Canonical matched-control cell is training-supported; evaluation wording is paraphrased. No held-out composition is used.</x:v>
      </x:c>
      <x:c r="H61" s="32" t="str">
        <x:f>'Evaluation Plan'!H61</x:f>
        <x:v>yellow-white striped cup A</x:v>
      </x:c>
      <x:c r="I61" s="32" t="str"/>
      <x:c r="J61" s="38" t="str">
        <x:f>'Evaluation Plan'!J61</x:f>
        <x:v>Language robustness</x:v>
      </x:c>
      <x:c r="K61" s="34" t="str">
        <x:f>'Evaluation Plan'!K61</x:f>
        <x:v>SR-CT10</x:v>
      </x:c>
      <x:c r="L61" s="34" t="str">
        <x:f>'Evaluation Plan'!L61</x:f>
        <x:v>C</x:v>
      </x:c>
      <x:c r="M61" s="34" t="str">
        <x:f>'Evaluation Plan'!M61</x:f>
        <x:v>yellow-white striped cup</x:v>
      </x:c>
      <x:c r="N61" s="34" t="n">
        <x:f>'Evaluation Plan'!N61</x:f>
        <x:v>2</x:v>
      </x:c>
      <x:c r="O61" s="34" t="n">
        <x:f>'Evaluation Plan'!O61</x:f>
        <x:v>1</x:v>
      </x:c>
      <x:c r="P61" s="34" t="str">
        <x:f>'Evaluation Plan'!P61</x:f>
        <x:v>Empty</x:v>
      </x:c>
      <x:c r="Q61" s="32" t="str">
        <x:f>'Evaluation Plan'!Q61</x:f>
        <x:v>Matched-control state prompt paraphrase</x:v>
      </x:c>
      <x:c r="R61" s="34" t="n">
        <x:f>'Evaluation Plan'!R61</x:f>
        <x:v>2</x:v>
      </x:c>
      <x:c r="S61" s="32" t="str">
        <x:f>'Evaluation Plan'!S61</x:f>
        <x:v>Reset the moved object exactly; preserve the scene; change only the prompt wording.</x:v>
      </x:c>
      <x:c r="T61" s="32" t="str">
        <x:f>'Evaluation Plan'!T61</x:f>
        <x:v>This is one of 10 language trials paired with a matched trained-state control.</x:v>
      </x:c>
      <x:c r="U61" s="32" t="n">
        <x:f>'Evaluation Plan'!U61</x:f>
        <x:v>0</x:v>
      </x:c>
    </x:row>
    <x:row r="62" ht="51" customHeight="1">
      <x:c r="A62" s="40" t="str">
        <x:v>Not collected</x:v>
      </x:c>
      <x:c r="B62" s="41" t="n">
        <x:f>'Evaluation Plan'!B62</x:f>
        <x:v>60</x:v>
      </x:c>
      <x:c r="C62" s="40" t="str">
        <x:f>'Evaluation Plan'!C62</x:f>
        <x:v>Place the closed brown cup in the bowl.</x:v>
      </x:c>
      <x:c r="D62" s="40" t="str">
        <x:f>'Evaluation Plan'!D62</x:f>
        <x:v>brown cup A (C, RU); brown cup B (O, RU); yellow-white striped cup A (C, UD)</x:v>
      </x:c>
      <x:c r="E62" s="41" t="str">
        <x:f>'Evaluation Plan'!E62</x:f>
      </x:c>
      <x:c r="F62" s="41" t="str">
        <x:f>'Evaluation Plan'!F62</x:f>
        <x:v>102</x:v>
      </x:c>
      <x:c r="G62" s="40" t="str">
        <x:f>'Evaluation Plan'!G62</x:f>
        <x:v>Physical-state and manipulation-trajectory reference under a direct category prompt; the evaluated state word × object-category cell is intentionally absent from training.</x:v>
      </x:c>
      <x:c r="H62" s="40" t="str">
        <x:f>'Evaluation Plan'!H62</x:f>
        <x:v>brown cup A</x:v>
      </x:c>
      <x:c r="I62" s="40" t="str"/>
      <x:c r="J62" s="45" t="str">
        <x:f>'Evaluation Plan'!J62</x:f>
        <x:v>Concept/compositional transfer</x:v>
      </x:c>
      <x:c r="K62" s="41" t="str">
        <x:f>'Evaluation Plan'!K62</x:f>
        <x:v>SR-CT11</x:v>
      </x:c>
      <x:c r="L62" s="41" t="str">
        <x:f>'Evaluation Plan'!L62</x:f>
        <x:v>C</x:v>
      </x:c>
      <x:c r="M62" s="41" t="str">
        <x:f>'Evaluation Plan'!M62</x:f>
        <x:v>brown cup</x:v>
      </x:c>
      <x:c r="N62" s="41" t="n">
        <x:f>'Evaluation Plan'!N62</x:f>
        <x:v>3</x:v>
      </x:c>
      <x:c r="O62" s="41" t="n">
        <x:f>'Evaluation Plan'!O62</x:f>
        <x:v>1</x:v>
      </x:c>
      <x:c r="P62" s="41" t="str">
        <x:f>'Evaluation Plan'!P62</x:f>
        <x:v>Empty</x:v>
      </x:c>
      <x:c r="Q62" s="40" t="str">
        <x:f>'Evaluation Plan'!Q62</x:f>
        <x:v>Primary held-out state-object composition</x:v>
      </x:c>
      <x:c r="R62" s="41" t="n">
        <x:f>'Evaluation Plan'!R62</x:f>
        <x:v>3</x:v>
      </x:c>
      <x:c r="S62" s="40" t="str">
        <x:f>'Evaluation Plan'!S62</x:f>
        <x:v>Build the listed same-category discrimination scene with the bowl empty.</x:v>
      </x:c>
      <x:c r="T62" s="40" t="str">
        <x:f>'Evaluation Plan'!T62</x:f>
        <x:v>Two same-category candidates share the non-queried state axis; only the held-out state word identifies the target.</x:v>
      </x:c>
      <x:c r="U62" s="40" t="n">
        <x:f>'Evaluation Plan'!U62</x:f>
        <x:v>0</x:v>
      </x:c>
    </x:row>
    <x:row r="63" ht="51" customHeight="1">
      <x:c r="A63" s="32" t="str">
        <x:v>Not collected</x:v>
      </x:c>
      <x:c r="B63" s="34" t="n">
        <x:f>'Evaluation Plan'!B63</x:f>
        <x:v>61</x:v>
      </x:c>
      <x:c r="C63" s="32" t="str">
        <x:f>'Evaluation Plan'!C63</x:f>
        <x:v>Place the open brown cup in the bowl.</x:v>
      </x:c>
      <x:c r="D63" s="32" t="str">
        <x:f>'Evaluation Plan'!D63</x:f>
        <x:v>brown cup A (C, RU); brown cup B (O, RU); yellow-white striped cup A (C, UD)</x:v>
      </x:c>
      <x:c r="E63" s="34" t="n">
        <x:f>'Evaluation Plan'!E63</x:f>
        <x:v>60</x:v>
      </x:c>
      <x:c r="F63" s="34" t="str">
        <x:f>'Evaluation Plan'!F63</x:f>
        <x:v>110</x:v>
      </x:c>
      <x:c r="G63" s="32" t="str">
        <x:f>'Evaluation Plan'!G63</x:f>
        <x:v>Training-supported state-object cell for the control. The evaluation scene is shared exactly with the paired transfer row, while the physical layout is manually recreated.</x:v>
      </x:c>
      <x:c r="H63" s="32" t="str">
        <x:f>'Evaluation Plan'!H63</x:f>
        <x:v>brown cup B</x:v>
      </x:c>
      <x:c r="I63" s="32" t="str"/>
      <x:c r="J63" s="37" t="str">
        <x:f>'Evaluation Plan'!J63</x:f>
        <x:v>Matched manipulation control</x:v>
      </x:c>
      <x:c r="K63" s="34" t="str">
        <x:f>'Evaluation Plan'!K63</x:f>
        <x:v>SR-CT11</x:v>
      </x:c>
      <x:c r="L63" s="34" t="str">
        <x:f>'Evaluation Plan'!L63</x:f>
        <x:v>O</x:v>
      </x:c>
      <x:c r="M63" s="34" t="str">
        <x:f>'Evaluation Plan'!M63</x:f>
        <x:v>brown cup</x:v>
      </x:c>
      <x:c r="N63" s="34" t="n">
        <x:f>'Evaluation Plan'!N63</x:f>
        <x:v>3</x:v>
      </x:c>
      <x:c r="O63" s="34" t="n">
        <x:f>'Evaluation Plan'!O63</x:f>
        <x:v>1</x:v>
      </x:c>
      <x:c r="P63" s="34" t="str">
        <x:f>'Evaluation Plan'!P63</x:f>
        <x:v>Empty</x:v>
      </x:c>
      <x:c r="Q63" s="32" t="str">
        <x:f>'Evaluation Plan'!Q63</x:f>
        <x:v>Exact-scene trained state-object counterfactual</x:v>
      </x:c>
      <x:c r="R63" s="34" t="n">
        <x:f>'Evaluation Plan'!R63</x:f>
        <x:v>3</x:v>
      </x:c>
      <x:c r="S63" s="32" t="str">
        <x:f>'Evaluation Plan'!S63</x:f>
        <x:v>Reset the moved object exactly; preserve every object and state; change only the prompt and expected target.</x:v>
      </x:c>
      <x:c r="T63" s="32" t="str">
        <x:f>'Evaluation Plan'!T63</x:f>
        <x:v>The correct target switches to the other same-category instance. This cell is explicit in training and controls recognition/manipulation in the transfer scene.</x:v>
      </x:c>
      <x:c r="U63" s="32" t="n">
        <x:f>'Evaluation Plan'!U63</x:f>
        <x:v>0</x:v>
      </x:c>
    </x:row>
    <x:row r="64" ht="51" customHeight="1">
      <x:c r="A64" s="40" t="str">
        <x:v>Not collected</x:v>
      </x:c>
      <x:c r="B64" s="41" t="n">
        <x:f>'Evaluation Plan'!B64</x:f>
        <x:v>62</x:v>
      </x:c>
      <x:c r="C64" s="40" t="str">
        <x:f>'Evaluation Plan'!C64</x:f>
        <x:v>Place the upright glass spice container in the bowl.</x:v>
      </x:c>
      <x:c r="D64" s="40" t="str">
        <x:f>'Evaluation Plan'!D64</x:f>
        <x:v>glass spice container B (C, RU); glass spice container A (C, UD); brown cup B (O, UD); white cup A (C, RU)</x:v>
      </x:c>
      <x:c r="E64" s="41" t="str">
        <x:f>'Evaluation Plan'!E64</x:f>
      </x:c>
      <x:c r="F64" s="41" t="str">
        <x:f>'Evaluation Plan'!F64</x:f>
        <x:v>172</x:v>
      </x:c>
      <x:c r="G64" s="40" t="str">
        <x:f>'Evaluation Plan'!G64</x:f>
        <x:v>Physical-state and manipulation-trajectory reference under a direct category prompt; the evaluated state word × object-category cell is intentionally absent from training.</x:v>
      </x:c>
      <x:c r="H64" s="40" t="str">
        <x:f>'Evaluation Plan'!H64</x:f>
        <x:v>glass spice container B</x:v>
      </x:c>
      <x:c r="I64" s="40" t="str"/>
      <x:c r="J64" s="45" t="str">
        <x:f>'Evaluation Plan'!J64</x:f>
        <x:v>Concept/compositional transfer</x:v>
      </x:c>
      <x:c r="K64" s="41" t="str">
        <x:f>'Evaluation Plan'!K64</x:f>
        <x:v>SR-CT12</x:v>
      </x:c>
      <x:c r="L64" s="41" t="str">
        <x:f>'Evaluation Plan'!L64</x:f>
        <x:v>RU</x:v>
      </x:c>
      <x:c r="M64" s="41" t="str">
        <x:f>'Evaluation Plan'!M64</x:f>
        <x:v>glass spice container</x:v>
      </x:c>
      <x:c r="N64" s="41" t="n">
        <x:f>'Evaluation Plan'!N64</x:f>
        <x:v>4</x:v>
      </x:c>
      <x:c r="O64" s="41" t="n">
        <x:f>'Evaluation Plan'!O64</x:f>
        <x:v>1</x:v>
      </x:c>
      <x:c r="P64" s="41" t="str">
        <x:f>'Evaluation Plan'!P64</x:f>
        <x:v>Empty</x:v>
      </x:c>
      <x:c r="Q64" s="40" t="str">
        <x:f>'Evaluation Plan'!Q64</x:f>
        <x:v>Primary held-out state-object composition</x:v>
      </x:c>
      <x:c r="R64" s="41" t="n">
        <x:f>'Evaluation Plan'!R64</x:f>
        <x:v>3</x:v>
      </x:c>
      <x:c r="S64" s="40" t="str">
        <x:f>'Evaluation Plan'!S64</x:f>
        <x:v>Build the listed same-category discrimination scene with the bowl empty.</x:v>
      </x:c>
      <x:c r="T64" s="40" t="str">
        <x:f>'Evaluation Plan'!T64</x:f>
        <x:v>Two same-category candidates share the non-queried state axis; only the held-out state word identifies the target.</x:v>
      </x:c>
      <x:c r="U64" s="40" t="n">
        <x:f>'Evaluation Plan'!U64</x:f>
        <x:v>0</x:v>
      </x:c>
    </x:row>
    <x:row r="65" ht="51" customHeight="1">
      <x:c r="A65" s="32" t="str">
        <x:v>Not collected</x:v>
      </x:c>
      <x:c r="B65" s="34" t="n">
        <x:f>'Evaluation Plan'!B65</x:f>
        <x:v>63</x:v>
      </x:c>
      <x:c r="C65" s="32" t="str">
        <x:f>'Evaluation Plan'!C65</x:f>
        <x:v>Place the upside-down glass spice container in the bowl.</x:v>
      </x:c>
      <x:c r="D65" s="32" t="str">
        <x:f>'Evaluation Plan'!D65</x:f>
        <x:v>glass spice container B (C, RU); glass spice container A (C, UD); brown cup B (O, UD); white cup A (C, RU)</x:v>
      </x:c>
      <x:c r="E65" s="34" t="n">
        <x:f>'Evaluation Plan'!E65</x:f>
        <x:v>62</x:v>
      </x:c>
      <x:c r="F65" s="34" t="str">
        <x:f>'Evaluation Plan'!F65</x:f>
        <x:v>186</x:v>
      </x:c>
      <x:c r="G65" s="32" t="str">
        <x:f>'Evaluation Plan'!G65</x:f>
        <x:v>Training-supported state-object cell for the control. The evaluation scene is shared exactly with the paired transfer row, while the physical layout is manually recreated.</x:v>
      </x:c>
      <x:c r="H65" s="32" t="str">
        <x:f>'Evaluation Plan'!H65</x:f>
        <x:v>glass spice container A</x:v>
      </x:c>
      <x:c r="I65" s="32" t="str"/>
      <x:c r="J65" s="37" t="str">
        <x:f>'Evaluation Plan'!J65</x:f>
        <x:v>Matched manipulation control</x:v>
      </x:c>
      <x:c r="K65" s="34" t="str">
        <x:f>'Evaluation Plan'!K65</x:f>
        <x:v>SR-CT12</x:v>
      </x:c>
      <x:c r="L65" s="34" t="str">
        <x:f>'Evaluation Plan'!L65</x:f>
        <x:v>UD</x:v>
      </x:c>
      <x:c r="M65" s="34" t="str">
        <x:f>'Evaluation Plan'!M65</x:f>
        <x:v>glass spice container</x:v>
      </x:c>
      <x:c r="N65" s="34" t="n">
        <x:f>'Evaluation Plan'!N65</x:f>
        <x:v>4</x:v>
      </x:c>
      <x:c r="O65" s="34" t="n">
        <x:f>'Evaluation Plan'!O65</x:f>
        <x:v>1</x:v>
      </x:c>
      <x:c r="P65" s="34" t="str">
        <x:f>'Evaluation Plan'!P65</x:f>
        <x:v>Empty</x:v>
      </x:c>
      <x:c r="Q65" s="32" t="str">
        <x:f>'Evaluation Plan'!Q65</x:f>
        <x:v>Exact-scene trained state-object counterfactual</x:v>
      </x:c>
      <x:c r="R65" s="34" t="n">
        <x:f>'Evaluation Plan'!R65</x:f>
        <x:v>3</x:v>
      </x:c>
      <x:c r="S65" s="32" t="str">
        <x:f>'Evaluation Plan'!S65</x:f>
        <x:v>Reset the moved object exactly; preserve every object and state; change only the prompt and expected target.</x:v>
      </x:c>
      <x:c r="T65" s="32" t="str">
        <x:f>'Evaluation Plan'!T65</x:f>
        <x:v>The correct target switches to the other same-category instance. This cell is explicit in training and controls recognition/manipulation in the transfer scene.</x:v>
      </x:c>
      <x:c r="U65" s="32" t="n">
        <x:f>'Evaluation Plan'!U65</x:f>
        <x:v>0</x:v>
      </x:c>
    </x:row>
    <x:row r="66" ht="51" customHeight="1">
      <x:c r="A66" s="40" t="str">
        <x:v>Not collected</x:v>
      </x:c>
      <x:c r="B66" s="41" t="n">
        <x:f>'Evaluation Plan'!B66</x:f>
        <x:v>64</x:v>
      </x:c>
      <x:c r="C66" s="40" t="str">
        <x:f>'Evaluation Plan'!C66</x:f>
        <x:v>Place the upside-down white cup in the bowl.</x:v>
      </x:c>
      <x:c r="D66" s="40" t="str">
        <x:f>'Evaluation Plan'!D66</x:f>
        <x:v>white cup A (O, UD); white cup B (O, RU)</x:v>
      </x:c>
      <x:c r="E66" s="41" t="str">
        <x:f>'Evaluation Plan'!E66</x:f>
      </x:c>
      <x:c r="F66" s="41" t="str">
        <x:f>'Evaluation Plan'!F66</x:f>
        <x:v>32</x:v>
      </x:c>
      <x:c r="G66" s="40" t="str">
        <x:f>'Evaluation Plan'!G66</x:f>
        <x:v>Physical-state and manipulation-trajectory reference under a direct category prompt; the evaluated state word × object-category cell is intentionally absent from training.</x:v>
      </x:c>
      <x:c r="H66" s="40" t="str">
        <x:f>'Evaluation Plan'!H66</x:f>
        <x:v>white cup A</x:v>
      </x:c>
      <x:c r="I66" s="40" t="str"/>
      <x:c r="J66" s="45" t="str">
        <x:f>'Evaluation Plan'!J66</x:f>
        <x:v>Concept/compositional transfer</x:v>
      </x:c>
      <x:c r="K66" s="41" t="str">
        <x:f>'Evaluation Plan'!K66</x:f>
        <x:v>SR-CT13</x:v>
      </x:c>
      <x:c r="L66" s="41" t="str">
        <x:f>'Evaluation Plan'!L66</x:f>
        <x:v>UD</x:v>
      </x:c>
      <x:c r="M66" s="41" t="str">
        <x:f>'Evaluation Plan'!M66</x:f>
        <x:v>white cup</x:v>
      </x:c>
      <x:c r="N66" s="41" t="n">
        <x:f>'Evaluation Plan'!N66</x:f>
        <x:v>2</x:v>
      </x:c>
      <x:c r="O66" s="41" t="n">
        <x:f>'Evaluation Plan'!O66</x:f>
        <x:v>1</x:v>
      </x:c>
      <x:c r="P66" s="41" t="str">
        <x:f>'Evaluation Plan'!P66</x:f>
        <x:v>Empty</x:v>
      </x:c>
      <x:c r="Q66" s="40" t="str">
        <x:f>'Evaluation Plan'!Q66</x:f>
        <x:v>Primary held-out state-object composition</x:v>
      </x:c>
      <x:c r="R66" s="41" t="n">
        <x:f>'Evaluation Plan'!R66</x:f>
        <x:v>3</x:v>
      </x:c>
      <x:c r="S66" s="40" t="str">
        <x:f>'Evaluation Plan'!S66</x:f>
        <x:v>Build the listed same-category discrimination scene with the bowl empty.</x:v>
      </x:c>
      <x:c r="T66" s="40" t="str">
        <x:f>'Evaluation Plan'!T66</x:f>
        <x:v>Two same-category candidates share the non-queried state axis; only the held-out state word identifies the target.</x:v>
      </x:c>
      <x:c r="U66" s="40" t="n">
        <x:f>'Evaluation Plan'!U66</x:f>
        <x:v>0</x:v>
      </x:c>
    </x:row>
    <x:row r="67" ht="51" customHeight="1">
      <x:c r="A67" s="32" t="str">
        <x:v>Not collected</x:v>
      </x:c>
      <x:c r="B67" s="34" t="n">
        <x:f>'Evaluation Plan'!B67</x:f>
        <x:v>65</x:v>
      </x:c>
      <x:c r="C67" s="32" t="str">
        <x:f>'Evaluation Plan'!C67</x:f>
        <x:v>Place the upright white cup in the bowl.</x:v>
      </x:c>
      <x:c r="D67" s="32" t="str">
        <x:f>'Evaluation Plan'!D67</x:f>
        <x:v>white cup A (O, UD); white cup B (O, RU)</x:v>
      </x:c>
      <x:c r="E67" s="34" t="n">
        <x:f>'Evaluation Plan'!E67</x:f>
        <x:v>64</x:v>
      </x:c>
      <x:c r="F67" s="34" t="str">
        <x:f>'Evaluation Plan'!F67</x:f>
        <x:v>44</x:v>
      </x:c>
      <x:c r="G67" s="32" t="str">
        <x:f>'Evaluation Plan'!G67</x:f>
        <x:v>Training-supported state-object cell for the control. The evaluation scene is shared exactly with the paired transfer row, while the physical layout is manually recreated.</x:v>
      </x:c>
      <x:c r="H67" s="32" t="str">
        <x:f>'Evaluation Plan'!H67</x:f>
        <x:v>white cup B</x:v>
      </x:c>
      <x:c r="I67" s="32" t="str"/>
      <x:c r="J67" s="37" t="str">
        <x:f>'Evaluation Plan'!J67</x:f>
        <x:v>Matched manipulation control</x:v>
      </x:c>
      <x:c r="K67" s="34" t="str">
        <x:f>'Evaluation Plan'!K67</x:f>
        <x:v>SR-CT13</x:v>
      </x:c>
      <x:c r="L67" s="34" t="str">
        <x:f>'Evaluation Plan'!L67</x:f>
        <x:v>RU</x:v>
      </x:c>
      <x:c r="M67" s="34" t="str">
        <x:f>'Evaluation Plan'!M67</x:f>
        <x:v>white cup</x:v>
      </x:c>
      <x:c r="N67" s="34" t="n">
        <x:f>'Evaluation Plan'!N67</x:f>
        <x:v>2</x:v>
      </x:c>
      <x:c r="O67" s="34" t="n">
        <x:f>'Evaluation Plan'!O67</x:f>
        <x:v>1</x:v>
      </x:c>
      <x:c r="P67" s="34" t="str">
        <x:f>'Evaluation Plan'!P67</x:f>
        <x:v>Empty</x:v>
      </x:c>
      <x:c r="Q67" s="32" t="str">
        <x:f>'Evaluation Plan'!Q67</x:f>
        <x:v>Exact-scene trained state-object counterfactual</x:v>
      </x:c>
      <x:c r="R67" s="34" t="n">
        <x:f>'Evaluation Plan'!R67</x:f>
        <x:v>3</x:v>
      </x:c>
      <x:c r="S67" s="32" t="str">
        <x:f>'Evaluation Plan'!S67</x:f>
        <x:v>Reset the moved object exactly; preserve every object and state; change only the prompt and expected target.</x:v>
      </x:c>
      <x:c r="T67" s="32" t="str">
        <x:f>'Evaluation Plan'!T67</x:f>
        <x:v>The correct target switches to the other same-category instance. This cell is explicit in training and controls recognition/manipulation in the transfer scene.</x:v>
      </x:c>
      <x:c r="U67" s="32" t="n">
        <x:f>'Evaluation Plan'!U67</x:f>
        <x:v>0</x:v>
      </x:c>
    </x:row>
    <x:row r="68" ht="51" customHeight="1">
      <x:c r="A68" s="40" t="str">
        <x:v>Not collected</x:v>
      </x:c>
      <x:c r="B68" s="41" t="n">
        <x:f>'Evaluation Plan'!B68</x:f>
        <x:v>66</x:v>
      </x:c>
      <x:c r="C68" s="40" t="str">
        <x:f>'Evaluation Plan'!C68</x:f>
        <x:v>Place the open yellow-white striped cup in the bowl.</x:v>
      </x:c>
      <x:c r="D68" s="40" t="str">
        <x:f>'Evaluation Plan'!D68</x:f>
        <x:v>yellow-white striped cup B (O, UD); yellow-white striped cup A (C, UD); brown cup B (O, RU)</x:v>
      </x:c>
      <x:c r="E68" s="41" t="str">
        <x:f>'Evaluation Plan'!E68</x:f>
      </x:c>
      <x:c r="F68" s="41" t="str">
        <x:f>'Evaluation Plan'!F68</x:f>
        <x:v>53</x:v>
      </x:c>
      <x:c r="G68" s="40" t="str">
        <x:f>'Evaluation Plan'!G68</x:f>
        <x:v>Physical-state and manipulation-trajectory reference under a direct category prompt; the evaluated state word × object-category cell is intentionally absent from training.</x:v>
      </x:c>
      <x:c r="H68" s="40" t="str">
        <x:f>'Evaluation Plan'!H68</x:f>
        <x:v>yellow-white striped cup B</x:v>
      </x:c>
      <x:c r="I68" s="40" t="str"/>
      <x:c r="J68" s="45" t="str">
        <x:f>'Evaluation Plan'!J68</x:f>
        <x:v>Concept/compositional transfer</x:v>
      </x:c>
      <x:c r="K68" s="41" t="str">
        <x:f>'Evaluation Plan'!K68</x:f>
        <x:v>SR-CT14</x:v>
      </x:c>
      <x:c r="L68" s="41" t="str">
        <x:f>'Evaluation Plan'!L68</x:f>
        <x:v>O</x:v>
      </x:c>
      <x:c r="M68" s="41" t="str">
        <x:f>'Evaluation Plan'!M68</x:f>
        <x:v>yellow-white striped cup</x:v>
      </x:c>
      <x:c r="N68" s="41" t="n">
        <x:f>'Evaluation Plan'!N68</x:f>
        <x:v>3</x:v>
      </x:c>
      <x:c r="O68" s="41" t="n">
        <x:f>'Evaluation Plan'!O68</x:f>
        <x:v>1</x:v>
      </x:c>
      <x:c r="P68" s="41" t="str">
        <x:f>'Evaluation Plan'!P68</x:f>
        <x:v>Empty</x:v>
      </x:c>
      <x:c r="Q68" s="40" t="str">
        <x:f>'Evaluation Plan'!Q68</x:f>
        <x:v>Primary held-out state-object composition</x:v>
      </x:c>
      <x:c r="R68" s="41" t="n">
        <x:f>'Evaluation Plan'!R68</x:f>
        <x:v>3</x:v>
      </x:c>
      <x:c r="S68" s="40" t="str">
        <x:f>'Evaluation Plan'!S68</x:f>
        <x:v>Build the listed same-category discrimination scene with the bowl empty.</x:v>
      </x:c>
      <x:c r="T68" s="40" t="str">
        <x:f>'Evaluation Plan'!T68</x:f>
        <x:v>Two same-category candidates share the non-queried state axis; only the held-out state word identifies the target.</x:v>
      </x:c>
      <x:c r="U68" s="40" t="n">
        <x:f>'Evaluation Plan'!U68</x:f>
        <x:v>0</x:v>
      </x:c>
    </x:row>
    <x:row r="69" ht="51" customHeight="1">
      <x:c r="A69" s="32" t="str">
        <x:v>Not collected</x:v>
      </x:c>
      <x:c r="B69" s="34" t="n">
        <x:f>'Evaluation Plan'!B69</x:f>
        <x:v>67</x:v>
      </x:c>
      <x:c r="C69" s="32" t="str">
        <x:f>'Evaluation Plan'!C69</x:f>
        <x:v>Place the closed yellow-white striped cup in the bowl.</x:v>
      </x:c>
      <x:c r="D69" s="32" t="str">
        <x:f>'Evaluation Plan'!D69</x:f>
        <x:v>yellow-white striped cup B (O, UD); yellow-white striped cup A (C, UD); brown cup B (O, RU)</x:v>
      </x:c>
      <x:c r="E69" s="34" t="n">
        <x:f>'Evaluation Plan'!E69</x:f>
        <x:v>66</x:v>
      </x:c>
      <x:c r="F69" s="34" t="str">
        <x:f>'Evaluation Plan'!F69</x:f>
        <x:v>73</x:v>
      </x:c>
      <x:c r="G69" s="32" t="str">
        <x:f>'Evaluation Plan'!G69</x:f>
        <x:v>Training-supported state-object cell for the control. The evaluation scene is shared exactly with the paired transfer row, while the physical layout is manually recreated.</x:v>
      </x:c>
      <x:c r="H69" s="32" t="str">
        <x:f>'Evaluation Plan'!H69</x:f>
        <x:v>yellow-white striped cup A</x:v>
      </x:c>
      <x:c r="I69" s="32" t="str"/>
      <x:c r="J69" s="37" t="str">
        <x:f>'Evaluation Plan'!J69</x:f>
        <x:v>Matched manipulation control</x:v>
      </x:c>
      <x:c r="K69" s="34" t="str">
        <x:f>'Evaluation Plan'!K69</x:f>
        <x:v>SR-CT14</x:v>
      </x:c>
      <x:c r="L69" s="34" t="str">
        <x:f>'Evaluation Plan'!L69</x:f>
        <x:v>C</x:v>
      </x:c>
      <x:c r="M69" s="34" t="str">
        <x:f>'Evaluation Plan'!M69</x:f>
        <x:v>yellow-white striped cup</x:v>
      </x:c>
      <x:c r="N69" s="34" t="n">
        <x:f>'Evaluation Plan'!N69</x:f>
        <x:v>3</x:v>
      </x:c>
      <x:c r="O69" s="34" t="n">
        <x:f>'Evaluation Plan'!O69</x:f>
        <x:v>1</x:v>
      </x:c>
      <x:c r="P69" s="34" t="str">
        <x:f>'Evaluation Plan'!P69</x:f>
        <x:v>Empty</x:v>
      </x:c>
      <x:c r="Q69" s="32" t="str">
        <x:f>'Evaluation Plan'!Q69</x:f>
        <x:v>Exact-scene trained state-object counterfactual</x:v>
      </x:c>
      <x:c r="R69" s="34" t="n">
        <x:f>'Evaluation Plan'!R69</x:f>
        <x:v>3</x:v>
      </x:c>
      <x:c r="S69" s="32" t="str">
        <x:f>'Evaluation Plan'!S69</x:f>
        <x:v>Reset the moved object exactly; preserve every object and state; change only the prompt and expected target.</x:v>
      </x:c>
      <x:c r="T69" s="32" t="str">
        <x:f>'Evaluation Plan'!T69</x:f>
        <x:v>The correct target switches to the other same-category instance. This cell is explicit in training and controls recognition/manipulation in the transfer scene.</x:v>
      </x:c>
      <x:c r="U69" s="32" t="n">
        <x:f>'Evaluation Plan'!U69</x:f>
        <x:v>0</x:v>
      </x:c>
    </x:row>
    <x:row r="70" ht="51" customHeight="1">
      <x:c r="A70" s="40" t="str">
        <x:v>Not collected</x:v>
      </x:c>
      <x:c r="B70" s="41" t="n">
        <x:f>'Evaluation Plan'!B70</x:f>
        <x:v>68</x:v>
      </x:c>
      <x:c r="C70" s="40" t="str">
        <x:f>'Evaluation Plan'!C70</x:f>
        <x:v>Place the closed brown cup in the bowl.</x:v>
      </x:c>
      <x:c r="D70" s="40" t="str">
        <x:f>'Evaluation Plan'!D70</x:f>
        <x:v>brown cup A (C, UD); brown cup B (O, UD); glass spice container A (C, UD); white cup B (O, UD)</x:v>
      </x:c>
      <x:c r="E70" s="41" t="str">
        <x:f>'Evaluation Plan'!E70</x:f>
      </x:c>
      <x:c r="F70" s="41" t="str">
        <x:f>'Evaluation Plan'!F70</x:f>
        <x:v>129</x:v>
      </x:c>
      <x:c r="G70" s="40" t="str">
        <x:f>'Evaluation Plan'!G70</x:f>
        <x:v>Physical-state and manipulation-trajectory reference under a direct category prompt; the evaluated state word × object-category cell is intentionally absent from training.</x:v>
      </x:c>
      <x:c r="H70" s="40" t="str">
        <x:f>'Evaluation Plan'!H70</x:f>
        <x:v>brown cup A</x:v>
      </x:c>
      <x:c r="I70" s="40" t="str"/>
      <x:c r="J70" s="45" t="str">
        <x:f>'Evaluation Plan'!J70</x:f>
        <x:v>Concept/compositional transfer</x:v>
      </x:c>
      <x:c r="K70" s="41" t="str">
        <x:f>'Evaluation Plan'!K70</x:f>
        <x:v>SR-CT15</x:v>
      </x:c>
      <x:c r="L70" s="41" t="str">
        <x:f>'Evaluation Plan'!L70</x:f>
        <x:v>C</x:v>
      </x:c>
      <x:c r="M70" s="41" t="str">
        <x:f>'Evaluation Plan'!M70</x:f>
        <x:v>brown cup</x:v>
      </x:c>
      <x:c r="N70" s="41" t="n">
        <x:f>'Evaluation Plan'!N70</x:f>
        <x:v>4</x:v>
      </x:c>
      <x:c r="O70" s="41" t="n">
        <x:f>'Evaluation Plan'!O70</x:f>
        <x:v>1</x:v>
      </x:c>
      <x:c r="P70" s="41" t="str">
        <x:f>'Evaluation Plan'!P70</x:f>
        <x:v>Empty</x:v>
      </x:c>
      <x:c r="Q70" s="40" t="str">
        <x:f>'Evaluation Plan'!Q70</x:f>
        <x:v>Primary held-out state-object composition</x:v>
      </x:c>
      <x:c r="R70" s="41" t="n">
        <x:f>'Evaluation Plan'!R70</x:f>
        <x:v>3</x:v>
      </x:c>
      <x:c r="S70" s="40" t="str">
        <x:f>'Evaluation Plan'!S70</x:f>
        <x:v>Build the listed same-category discrimination scene with the bowl empty.</x:v>
      </x:c>
      <x:c r="T70" s="40" t="str">
        <x:f>'Evaluation Plan'!T70</x:f>
        <x:v>Two same-category candidates share the non-queried state axis; only the held-out state word identifies the target.</x:v>
      </x:c>
      <x:c r="U70" s="40" t="n">
        <x:f>'Evaluation Plan'!U70</x:f>
        <x:v>0</x:v>
      </x:c>
    </x:row>
    <x:row r="71" ht="51" customHeight="1">
      <x:c r="A71" s="32" t="str">
        <x:v>Not collected</x:v>
      </x:c>
      <x:c r="B71" s="34" t="n">
        <x:f>'Evaluation Plan'!B71</x:f>
        <x:v>69</x:v>
      </x:c>
      <x:c r="C71" s="32" t="str">
        <x:f>'Evaluation Plan'!C71</x:f>
        <x:v>Place the open brown cup in the bowl.</x:v>
      </x:c>
      <x:c r="D71" s="32" t="str">
        <x:f>'Evaluation Plan'!D71</x:f>
        <x:v>brown cup A (C, UD); brown cup B (O, UD); glass spice container A (C, UD); white cup B (O, UD)</x:v>
      </x:c>
      <x:c r="E71" s="34" t="n">
        <x:f>'Evaluation Plan'!E71</x:f>
        <x:v>68</x:v>
      </x:c>
      <x:c r="F71" s="34" t="str">
        <x:f>'Evaluation Plan'!F71</x:f>
        <x:v>112</x:v>
      </x:c>
      <x:c r="G71" s="32" t="str">
        <x:f>'Evaluation Plan'!G71</x:f>
        <x:v>Training-supported state-object cell for the control. The evaluation scene is shared exactly with the paired transfer row, while the physical layout is manually recreated.</x:v>
      </x:c>
      <x:c r="H71" s="32" t="str">
        <x:f>'Evaluation Plan'!H71</x:f>
        <x:v>brown cup B</x:v>
      </x:c>
      <x:c r="I71" s="32" t="str"/>
      <x:c r="J71" s="37" t="str">
        <x:f>'Evaluation Plan'!J71</x:f>
        <x:v>Matched manipulation control</x:v>
      </x:c>
      <x:c r="K71" s="34" t="str">
        <x:f>'Evaluation Plan'!K71</x:f>
        <x:v>SR-CT15</x:v>
      </x:c>
      <x:c r="L71" s="34" t="str">
        <x:f>'Evaluation Plan'!L71</x:f>
        <x:v>O</x:v>
      </x:c>
      <x:c r="M71" s="34" t="str">
        <x:f>'Evaluation Plan'!M71</x:f>
        <x:v>brown cup</x:v>
      </x:c>
      <x:c r="N71" s="34" t="n">
        <x:f>'Evaluation Plan'!N71</x:f>
        <x:v>4</x:v>
      </x:c>
      <x:c r="O71" s="34" t="n">
        <x:f>'Evaluation Plan'!O71</x:f>
        <x:v>1</x:v>
      </x:c>
      <x:c r="P71" s="34" t="str">
        <x:f>'Evaluation Plan'!P71</x:f>
        <x:v>Empty</x:v>
      </x:c>
      <x:c r="Q71" s="32" t="str">
        <x:f>'Evaluation Plan'!Q71</x:f>
        <x:v>Exact-scene trained state-object counterfactual</x:v>
      </x:c>
      <x:c r="R71" s="34" t="n">
        <x:f>'Evaluation Plan'!R71</x:f>
        <x:v>3</x:v>
      </x:c>
      <x:c r="S71" s="32" t="str">
        <x:f>'Evaluation Plan'!S71</x:f>
        <x:v>Reset the moved object exactly; preserve every object and state; change only the prompt and expected target.</x:v>
      </x:c>
      <x:c r="T71" s="32" t="str">
        <x:f>'Evaluation Plan'!T71</x:f>
        <x:v>The correct target switches to the other same-category instance. This cell is explicit in training and controls recognition/manipulation in the transfer scene.</x:v>
      </x:c>
      <x:c r="U71" s="32" t="n">
        <x:f>'Evaluation Plan'!U71</x:f>
        <x:v>0</x:v>
      </x:c>
    </x:row>
    <x:row r="72" ht="51" customHeight="1">
      <x:c r="A72" s="40" t="str">
        <x:v>Not collected</x:v>
      </x:c>
      <x:c r="B72" s="41" t="n">
        <x:f>'Evaluation Plan'!B72</x:f>
        <x:v>70</x:v>
      </x:c>
      <x:c r="C72" s="40" t="str">
        <x:f>'Evaluation Plan'!C72</x:f>
        <x:v>Place the upright glass spice container in the bowl.</x:v>
      </x:c>
      <x:c r="D72" s="40" t="str">
        <x:f>'Evaluation Plan'!D72</x:f>
        <x:v>glass spice container B (O, RU); glass spice container A (O, UD)</x:v>
      </x:c>
      <x:c r="E72" s="41" t="str">
        <x:f>'Evaluation Plan'!E72</x:f>
      </x:c>
      <x:c r="F72" s="41" t="str">
        <x:f>'Evaluation Plan'!F72</x:f>
        <x:v>157</x:v>
      </x:c>
      <x:c r="G72" s="40" t="str">
        <x:f>'Evaluation Plan'!G72</x:f>
        <x:v>Physical-state and manipulation-trajectory reference under a direct category prompt; the evaluated state word × object-category cell is intentionally absent from training.</x:v>
      </x:c>
      <x:c r="H72" s="40" t="str">
        <x:f>'Evaluation Plan'!H72</x:f>
        <x:v>glass spice container B</x:v>
      </x:c>
      <x:c r="I72" s="40" t="str"/>
      <x:c r="J72" s="45" t="str">
        <x:f>'Evaluation Plan'!J72</x:f>
        <x:v>Concept/compositional transfer</x:v>
      </x:c>
      <x:c r="K72" s="41" t="str">
        <x:f>'Evaluation Plan'!K72</x:f>
        <x:v>SR-CT16</x:v>
      </x:c>
      <x:c r="L72" s="41" t="str">
        <x:f>'Evaluation Plan'!L72</x:f>
        <x:v>RU</x:v>
      </x:c>
      <x:c r="M72" s="41" t="str">
        <x:f>'Evaluation Plan'!M72</x:f>
        <x:v>glass spice container</x:v>
      </x:c>
      <x:c r="N72" s="41" t="n">
        <x:f>'Evaluation Plan'!N72</x:f>
        <x:v>2</x:v>
      </x:c>
      <x:c r="O72" s="41" t="n">
        <x:f>'Evaluation Plan'!O72</x:f>
        <x:v>1</x:v>
      </x:c>
      <x:c r="P72" s="41" t="str">
        <x:f>'Evaluation Plan'!P72</x:f>
        <x:v>Empty</x:v>
      </x:c>
      <x:c r="Q72" s="40" t="str">
        <x:f>'Evaluation Plan'!Q72</x:f>
        <x:v>Primary held-out state-object composition</x:v>
      </x:c>
      <x:c r="R72" s="41" t="n">
        <x:f>'Evaluation Plan'!R72</x:f>
        <x:v>3</x:v>
      </x:c>
      <x:c r="S72" s="40" t="str">
        <x:f>'Evaluation Plan'!S72</x:f>
        <x:v>Build the listed same-category discrimination scene with the bowl empty.</x:v>
      </x:c>
      <x:c r="T72" s="40" t="str">
        <x:f>'Evaluation Plan'!T72</x:f>
        <x:v>Two same-category candidates share the non-queried state axis; only the held-out state word identifies the target.</x:v>
      </x:c>
      <x:c r="U72" s="40" t="n">
        <x:f>'Evaluation Plan'!U72</x:f>
        <x:v>0</x:v>
      </x:c>
    </x:row>
    <x:row r="73" ht="51" customHeight="1">
      <x:c r="A73" s="32" t="str">
        <x:v>Not collected</x:v>
      </x:c>
      <x:c r="B73" s="34" t="n">
        <x:f>'Evaluation Plan'!B73</x:f>
        <x:v>71</x:v>
      </x:c>
      <x:c r="C73" s="32" t="str">
        <x:f>'Evaluation Plan'!C73</x:f>
        <x:v>Place the upside-down glass spice container in the bowl.</x:v>
      </x:c>
      <x:c r="D73" s="32" t="str">
        <x:f>'Evaluation Plan'!D73</x:f>
        <x:v>glass spice container B (O, RU); glass spice container A (O, UD)</x:v>
      </x:c>
      <x:c r="E73" s="34" t="n">
        <x:f>'Evaluation Plan'!E73</x:f>
        <x:v>70</x:v>
      </x:c>
      <x:c r="F73" s="34" t="str">
        <x:f>'Evaluation Plan'!F73</x:f>
        <x:v>189</x:v>
      </x:c>
      <x:c r="G73" s="32" t="str">
        <x:f>'Evaluation Plan'!G73</x:f>
        <x:v>Training-supported state-object cell for the control. The evaluation scene is shared exactly with the paired transfer row, while the physical layout is manually recreated.</x:v>
      </x:c>
      <x:c r="H73" s="32" t="str">
        <x:f>'Evaluation Plan'!H73</x:f>
        <x:v>glass spice container A</x:v>
      </x:c>
      <x:c r="I73" s="32" t="str"/>
      <x:c r="J73" s="37" t="str">
        <x:f>'Evaluation Plan'!J73</x:f>
        <x:v>Matched manipulation control</x:v>
      </x:c>
      <x:c r="K73" s="34" t="str">
        <x:f>'Evaluation Plan'!K73</x:f>
        <x:v>SR-CT16</x:v>
      </x:c>
      <x:c r="L73" s="34" t="str">
        <x:f>'Evaluation Plan'!L73</x:f>
        <x:v>UD</x:v>
      </x:c>
      <x:c r="M73" s="34" t="str">
        <x:f>'Evaluation Plan'!M73</x:f>
        <x:v>glass spice container</x:v>
      </x:c>
      <x:c r="N73" s="34" t="n">
        <x:f>'Evaluation Plan'!N73</x:f>
        <x:v>2</x:v>
      </x:c>
      <x:c r="O73" s="34" t="n">
        <x:f>'Evaluation Plan'!O73</x:f>
        <x:v>1</x:v>
      </x:c>
      <x:c r="P73" s="34" t="str">
        <x:f>'Evaluation Plan'!P73</x:f>
        <x:v>Empty</x:v>
      </x:c>
      <x:c r="Q73" s="32" t="str">
        <x:f>'Evaluation Plan'!Q73</x:f>
        <x:v>Exact-scene trained state-object counterfactual</x:v>
      </x:c>
      <x:c r="R73" s="34" t="n">
        <x:f>'Evaluation Plan'!R73</x:f>
        <x:v>3</x:v>
      </x:c>
      <x:c r="S73" s="32" t="str">
        <x:f>'Evaluation Plan'!S73</x:f>
        <x:v>Reset the moved object exactly; preserve every object and state; change only the prompt and expected target.</x:v>
      </x:c>
      <x:c r="T73" s="32" t="str">
        <x:f>'Evaluation Plan'!T73</x:f>
        <x:v>The correct target switches to the other same-category instance. This cell is explicit in training and controls recognition/manipulation in the transfer scene.</x:v>
      </x:c>
      <x:c r="U73" s="32" t="n">
        <x:f>'Evaluation Plan'!U73</x:f>
        <x:v>0</x:v>
      </x:c>
    </x:row>
    <x:row r="74" ht="51" customHeight="1">
      <x:c r="A74" s="40" t="str">
        <x:v>Not collected</x:v>
      </x:c>
      <x:c r="B74" s="41" t="n">
        <x:f>'Evaluation Plan'!B74</x:f>
        <x:v>72</x:v>
      </x:c>
      <x:c r="C74" s="40" t="str">
        <x:f>'Evaluation Plan'!C74</x:f>
        <x:v>Place the upside-down white cup in the bowl.</x:v>
      </x:c>
      <x:c r="D74" s="40" t="str">
        <x:f>'Evaluation Plan'!D74</x:f>
        <x:v>white cup A (C, UD); white cup B (C, RU); brown cup A (C, RU)</x:v>
      </x:c>
      <x:c r="E74" s="41" t="str">
        <x:f>'Evaluation Plan'!E74</x:f>
      </x:c>
      <x:c r="F74" s="41" t="str">
        <x:f>'Evaluation Plan'!F74</x:f>
        <x:v>35</x:v>
      </x:c>
      <x:c r="G74" s="40" t="str">
        <x:f>'Evaluation Plan'!G74</x:f>
        <x:v>Physical-state and manipulation-trajectory reference under a direct category prompt; the evaluated state word × object-category cell is intentionally absent from training.</x:v>
      </x:c>
      <x:c r="H74" s="40" t="str">
        <x:f>'Evaluation Plan'!H74</x:f>
        <x:v>white cup A</x:v>
      </x:c>
      <x:c r="I74" s="40" t="str"/>
      <x:c r="J74" s="45" t="str">
        <x:f>'Evaluation Plan'!J74</x:f>
        <x:v>Concept/compositional transfer</x:v>
      </x:c>
      <x:c r="K74" s="41" t="str">
        <x:f>'Evaluation Plan'!K74</x:f>
        <x:v>SR-CT17</x:v>
      </x:c>
      <x:c r="L74" s="41" t="str">
        <x:f>'Evaluation Plan'!L74</x:f>
        <x:v>UD</x:v>
      </x:c>
      <x:c r="M74" s="41" t="str">
        <x:f>'Evaluation Plan'!M74</x:f>
        <x:v>white cup</x:v>
      </x:c>
      <x:c r="N74" s="41" t="n">
        <x:f>'Evaluation Plan'!N74</x:f>
        <x:v>3</x:v>
      </x:c>
      <x:c r="O74" s="41" t="n">
        <x:f>'Evaluation Plan'!O74</x:f>
        <x:v>1</x:v>
      </x:c>
      <x:c r="P74" s="41" t="str">
        <x:f>'Evaluation Plan'!P74</x:f>
        <x:v>Empty</x:v>
      </x:c>
      <x:c r="Q74" s="40" t="str">
        <x:f>'Evaluation Plan'!Q74</x:f>
        <x:v>Primary held-out state-object composition</x:v>
      </x:c>
      <x:c r="R74" s="41" t="n">
        <x:f>'Evaluation Plan'!R74</x:f>
        <x:v>3</x:v>
      </x:c>
      <x:c r="S74" s="40" t="str">
        <x:f>'Evaluation Plan'!S74</x:f>
        <x:v>Build the listed same-category discrimination scene with the bowl empty.</x:v>
      </x:c>
      <x:c r="T74" s="40" t="str">
        <x:f>'Evaluation Plan'!T74</x:f>
        <x:v>Two same-category candidates share the non-queried state axis; only the held-out state word identifies the target.</x:v>
      </x:c>
      <x:c r="U74" s="40" t="n">
        <x:f>'Evaluation Plan'!U74</x:f>
        <x:v>0</x:v>
      </x:c>
    </x:row>
    <x:row r="75" ht="51" customHeight="1">
      <x:c r="A75" s="32" t="str">
        <x:v>Not collected</x:v>
      </x:c>
      <x:c r="B75" s="34" t="n">
        <x:f>'Evaluation Plan'!B75</x:f>
        <x:v>73</x:v>
      </x:c>
      <x:c r="C75" s="32" t="str">
        <x:f>'Evaluation Plan'!C75</x:f>
        <x:v>Place the upright white cup in the bowl.</x:v>
      </x:c>
      <x:c r="D75" s="32" t="str">
        <x:f>'Evaluation Plan'!D75</x:f>
        <x:v>white cup A (C, UD); white cup B (C, RU); brown cup A (C, RU)</x:v>
      </x:c>
      <x:c r="E75" s="34" t="n">
        <x:f>'Evaluation Plan'!E75</x:f>
        <x:v>72</x:v>
      </x:c>
      <x:c r="F75" s="34" t="str">
        <x:f>'Evaluation Plan'!F75</x:f>
        <x:v>48</x:v>
      </x:c>
      <x:c r="G75" s="32" t="str">
        <x:f>'Evaluation Plan'!G75</x:f>
        <x:v>Training-supported state-object cell for the control. The evaluation scene is shared exactly with the paired transfer row, while the physical layout is manually recreated.</x:v>
      </x:c>
      <x:c r="H75" s="32" t="str">
        <x:f>'Evaluation Plan'!H75</x:f>
        <x:v>white cup B</x:v>
      </x:c>
      <x:c r="I75" s="32" t="str"/>
      <x:c r="J75" s="37" t="str">
        <x:f>'Evaluation Plan'!J75</x:f>
        <x:v>Matched manipulation control</x:v>
      </x:c>
      <x:c r="K75" s="34" t="str">
        <x:f>'Evaluation Plan'!K75</x:f>
        <x:v>SR-CT17</x:v>
      </x:c>
      <x:c r="L75" s="34" t="str">
        <x:f>'Evaluation Plan'!L75</x:f>
        <x:v>RU</x:v>
      </x:c>
      <x:c r="M75" s="34" t="str">
        <x:f>'Evaluation Plan'!M75</x:f>
        <x:v>white cup</x:v>
      </x:c>
      <x:c r="N75" s="34" t="n">
        <x:f>'Evaluation Plan'!N75</x:f>
        <x:v>3</x:v>
      </x:c>
      <x:c r="O75" s="34" t="n">
        <x:f>'Evaluation Plan'!O75</x:f>
        <x:v>1</x:v>
      </x:c>
      <x:c r="P75" s="34" t="str">
        <x:f>'Evaluation Plan'!P75</x:f>
        <x:v>Empty</x:v>
      </x:c>
      <x:c r="Q75" s="32" t="str">
        <x:f>'Evaluation Plan'!Q75</x:f>
        <x:v>Exact-scene trained state-object counterfactual</x:v>
      </x:c>
      <x:c r="R75" s="34" t="n">
        <x:f>'Evaluation Plan'!R75</x:f>
        <x:v>3</x:v>
      </x:c>
      <x:c r="S75" s="32" t="str">
        <x:f>'Evaluation Plan'!S75</x:f>
        <x:v>Reset the moved object exactly; preserve every object and state; change only the prompt and expected target.</x:v>
      </x:c>
      <x:c r="T75" s="32" t="str">
        <x:f>'Evaluation Plan'!T75</x:f>
        <x:v>The correct target switches to the other same-category instance. This cell is explicit in training and controls recognition/manipulation in the transfer scene.</x:v>
      </x:c>
      <x:c r="U75" s="32" t="n">
        <x:f>'Evaluation Plan'!U75</x:f>
        <x:v>0</x:v>
      </x:c>
    </x:row>
    <x:row r="76" ht="51" customHeight="1">
      <x:c r="A76" s="40" t="str">
        <x:v>Not collected</x:v>
      </x:c>
      <x:c r="B76" s="41" t="n">
        <x:f>'Evaluation Plan'!B76</x:f>
        <x:v>74</x:v>
      </x:c>
      <x:c r="C76" s="40" t="str">
        <x:f>'Evaluation Plan'!C76</x:f>
        <x:v>Place the open yellow-white striped cup in the bowl.</x:v>
      </x:c>
      <x:c r="D76" s="40" t="str">
        <x:f>'Evaluation Plan'!D76</x:f>
        <x:v>yellow-white striped cup B (O, RU); yellow-white striped cup A (C, RU); glass spice container B (O, RU); white cup A (C, UD)</x:v>
      </x:c>
      <x:c r="E76" s="41" t="str">
        <x:f>'Evaluation Plan'!E76</x:f>
      </x:c>
      <x:c r="F76" s="41" t="str">
        <x:f>'Evaluation Plan'!F76</x:f>
        <x:v>72</x:v>
      </x:c>
      <x:c r="G76" s="40" t="str">
        <x:f>'Evaluation Plan'!G76</x:f>
        <x:v>Physical-state and manipulation-trajectory reference under a direct category prompt; the evaluated state word × object-category cell is intentionally absent from training.</x:v>
      </x:c>
      <x:c r="H76" s="40" t="str">
        <x:f>'Evaluation Plan'!H76</x:f>
        <x:v>yellow-white striped cup B</x:v>
      </x:c>
      <x:c r="I76" s="40" t="str"/>
      <x:c r="J76" s="45" t="str">
        <x:f>'Evaluation Plan'!J76</x:f>
        <x:v>Concept/compositional transfer</x:v>
      </x:c>
      <x:c r="K76" s="41" t="str">
        <x:f>'Evaluation Plan'!K76</x:f>
        <x:v>SR-CT18</x:v>
      </x:c>
      <x:c r="L76" s="41" t="str">
        <x:f>'Evaluation Plan'!L76</x:f>
        <x:v>O</x:v>
      </x:c>
      <x:c r="M76" s="41" t="str">
        <x:f>'Evaluation Plan'!M76</x:f>
        <x:v>yellow-white striped cup</x:v>
      </x:c>
      <x:c r="N76" s="41" t="n">
        <x:f>'Evaluation Plan'!N76</x:f>
        <x:v>4</x:v>
      </x:c>
      <x:c r="O76" s="41" t="n">
        <x:f>'Evaluation Plan'!O76</x:f>
        <x:v>1</x:v>
      </x:c>
      <x:c r="P76" s="41" t="str">
        <x:f>'Evaluation Plan'!P76</x:f>
        <x:v>Empty</x:v>
      </x:c>
      <x:c r="Q76" s="40" t="str">
        <x:f>'Evaluation Plan'!Q76</x:f>
        <x:v>Primary held-out state-object composition</x:v>
      </x:c>
      <x:c r="R76" s="41" t="n">
        <x:f>'Evaluation Plan'!R76</x:f>
        <x:v>3</x:v>
      </x:c>
      <x:c r="S76" s="40" t="str">
        <x:f>'Evaluation Plan'!S76</x:f>
        <x:v>Build the listed same-category discrimination scene with the bowl empty.</x:v>
      </x:c>
      <x:c r="T76" s="40" t="str">
        <x:f>'Evaluation Plan'!T76</x:f>
        <x:v>Two same-category candidates share the non-queried state axis; only the held-out state word identifies the target.</x:v>
      </x:c>
      <x:c r="U76" s="40" t="n">
        <x:f>'Evaluation Plan'!U76</x:f>
        <x:v>0</x:v>
      </x:c>
    </x:row>
    <x:row r="77" ht="51" customHeight="1">
      <x:c r="A77" s="32" t="str">
        <x:v>Not collected</x:v>
      </x:c>
      <x:c r="B77" s="34" t="n">
        <x:f>'Evaluation Plan'!B77</x:f>
        <x:v>75</x:v>
      </x:c>
      <x:c r="C77" s="32" t="str">
        <x:f>'Evaluation Plan'!C77</x:f>
        <x:v>Place the closed yellow-white striped cup in the bowl.</x:v>
      </x:c>
      <x:c r="D77" s="32" t="str">
        <x:f>'Evaluation Plan'!D77</x:f>
        <x:v>yellow-white striped cup B (O, RU); yellow-white striped cup A (C, RU); glass spice container B (O, RU); white cup A (C, UD)</x:v>
      </x:c>
      <x:c r="E77" s="34" t="n">
        <x:f>'Evaluation Plan'!E77</x:f>
        <x:v>74</x:v>
      </x:c>
      <x:c r="F77" s="34" t="str">
        <x:f>'Evaluation Plan'!F77</x:f>
        <x:v>74</x:v>
      </x:c>
      <x:c r="G77" s="32" t="str">
        <x:f>'Evaluation Plan'!G77</x:f>
        <x:v>Training-supported state-object cell for the control. The evaluation scene is shared exactly with the paired transfer row, while the physical layout is manually recreated.</x:v>
      </x:c>
      <x:c r="H77" s="32" t="str">
        <x:f>'Evaluation Plan'!H77</x:f>
        <x:v>yellow-white striped cup A</x:v>
      </x:c>
      <x:c r="I77" s="32" t="str"/>
      <x:c r="J77" s="37" t="str">
        <x:f>'Evaluation Plan'!J77</x:f>
        <x:v>Matched manipulation control</x:v>
      </x:c>
      <x:c r="K77" s="34" t="str">
        <x:f>'Evaluation Plan'!K77</x:f>
        <x:v>SR-CT18</x:v>
      </x:c>
      <x:c r="L77" s="34" t="str">
        <x:f>'Evaluation Plan'!L77</x:f>
        <x:v>C</x:v>
      </x:c>
      <x:c r="M77" s="34" t="str">
        <x:f>'Evaluation Plan'!M77</x:f>
        <x:v>yellow-white striped cup</x:v>
      </x:c>
      <x:c r="N77" s="34" t="n">
        <x:f>'Evaluation Plan'!N77</x:f>
        <x:v>4</x:v>
      </x:c>
      <x:c r="O77" s="34" t="n">
        <x:f>'Evaluation Plan'!O77</x:f>
        <x:v>1</x:v>
      </x:c>
      <x:c r="P77" s="34" t="str">
        <x:f>'Evaluation Plan'!P77</x:f>
        <x:v>Empty</x:v>
      </x:c>
      <x:c r="Q77" s="32" t="str">
        <x:f>'Evaluation Plan'!Q77</x:f>
        <x:v>Exact-scene trained state-object counterfactual</x:v>
      </x:c>
      <x:c r="R77" s="34" t="n">
        <x:f>'Evaluation Plan'!R77</x:f>
        <x:v>3</x:v>
      </x:c>
      <x:c r="S77" s="32" t="str">
        <x:f>'Evaluation Plan'!S77</x:f>
        <x:v>Reset the moved object exactly; preserve every object and state; change only the prompt and expected target.</x:v>
      </x:c>
      <x:c r="T77" s="32" t="str">
        <x:f>'Evaluation Plan'!T77</x:f>
        <x:v>The correct target switches to the other same-category instance. This cell is explicit in training and controls recognition/manipulation in the transfer scene.</x:v>
      </x:c>
      <x:c r="U77" s="32" t="n">
        <x:f>'Evaluation Plan'!U77</x:f>
        <x:v>0</x:v>
      </x:c>
    </x:row>
    <x:row r="78" ht="51" customHeight="1">
      <x:c r="A78" s="40" t="str">
        <x:v>Not collected</x:v>
      </x:c>
      <x:c r="B78" s="41" t="n">
        <x:f>'Evaluation Plan'!B78</x:f>
        <x:v>76</x:v>
      </x:c>
      <x:c r="C78" s="40" t="str">
        <x:f>'Evaluation Plan'!C78</x:f>
        <x:v>Place the closed brown cup in the bowl.</x:v>
      </x:c>
      <x:c r="D78" s="40" t="str">
        <x:f>'Evaluation Plan'!D78</x:f>
        <x:v>brown cup A (C, RU); brown cup B (O, RU)</x:v>
      </x:c>
      <x:c r="E78" s="41" t="str">
        <x:f>'Evaluation Plan'!E78</x:f>
      </x:c>
      <x:c r="F78" s="41" t="str">
        <x:f>'Evaluation Plan'!F78</x:f>
        <x:v>105</x:v>
      </x:c>
      <x:c r="G78" s="40" t="str">
        <x:f>'Evaluation Plan'!G78</x:f>
        <x:v>Physical-state and manipulation-trajectory reference under a direct category prompt; the evaluated state word × object-category cell is intentionally absent from training.</x:v>
      </x:c>
      <x:c r="H78" s="40" t="str">
        <x:f>'Evaluation Plan'!H78</x:f>
        <x:v>brown cup A</x:v>
      </x:c>
      <x:c r="I78" s="40" t="str"/>
      <x:c r="J78" s="45" t="str">
        <x:f>'Evaluation Plan'!J78</x:f>
        <x:v>Concept/compositional transfer</x:v>
      </x:c>
      <x:c r="K78" s="41" t="str">
        <x:f>'Evaluation Plan'!K78</x:f>
        <x:v>SR-CT19</x:v>
      </x:c>
      <x:c r="L78" s="41" t="str">
        <x:f>'Evaluation Plan'!L78</x:f>
        <x:v>C</x:v>
      </x:c>
      <x:c r="M78" s="41" t="str">
        <x:f>'Evaluation Plan'!M78</x:f>
        <x:v>brown cup</x:v>
      </x:c>
      <x:c r="N78" s="41" t="n">
        <x:f>'Evaluation Plan'!N78</x:f>
        <x:v>2</x:v>
      </x:c>
      <x:c r="O78" s="41" t="n">
        <x:f>'Evaluation Plan'!O78</x:f>
        <x:v>1</x:v>
      </x:c>
      <x:c r="P78" s="41" t="str">
        <x:f>'Evaluation Plan'!P78</x:f>
        <x:v>Empty</x:v>
      </x:c>
      <x:c r="Q78" s="40" t="str">
        <x:f>'Evaluation Plan'!Q78</x:f>
        <x:v>Primary held-out state-object composition</x:v>
      </x:c>
      <x:c r="R78" s="41" t="n">
        <x:f>'Evaluation Plan'!R78</x:f>
        <x:v>3</x:v>
      </x:c>
      <x:c r="S78" s="40" t="str">
        <x:f>'Evaluation Plan'!S78</x:f>
        <x:v>Build the listed same-category discrimination scene with the bowl empty.</x:v>
      </x:c>
      <x:c r="T78" s="40" t="str">
        <x:f>'Evaluation Plan'!T78</x:f>
        <x:v>Two same-category candidates share the non-queried state axis; only the held-out state word identifies the target.</x:v>
      </x:c>
      <x:c r="U78" s="40" t="n">
        <x:f>'Evaluation Plan'!U78</x:f>
        <x:v>0</x:v>
      </x:c>
    </x:row>
    <x:row r="79" ht="51" customHeight="1">
      <x:c r="A79" s="32" t="str">
        <x:v>Not collected</x:v>
      </x:c>
      <x:c r="B79" s="34" t="n">
        <x:f>'Evaluation Plan'!B79</x:f>
        <x:v>77</x:v>
      </x:c>
      <x:c r="C79" s="32" t="str">
        <x:f>'Evaluation Plan'!C79</x:f>
        <x:v>Place the open brown cup in the bowl.</x:v>
      </x:c>
      <x:c r="D79" s="32" t="str">
        <x:f>'Evaluation Plan'!D79</x:f>
        <x:v>brown cup A (C, RU); brown cup B (O, RU)</x:v>
      </x:c>
      <x:c r="E79" s="34" t="n">
        <x:f>'Evaluation Plan'!E79</x:f>
        <x:v>76</x:v>
      </x:c>
      <x:c r="F79" s="34" t="str">
        <x:f>'Evaluation Plan'!F79</x:f>
        <x:v>121</x:v>
      </x:c>
      <x:c r="G79" s="32" t="str">
        <x:f>'Evaluation Plan'!G79</x:f>
        <x:v>Training-supported state-object cell for the control. The evaluation scene is shared exactly with the paired transfer row, while the physical layout is manually recreated.</x:v>
      </x:c>
      <x:c r="H79" s="32" t="str">
        <x:f>'Evaluation Plan'!H79</x:f>
        <x:v>brown cup B</x:v>
      </x:c>
      <x:c r="I79" s="32" t="str"/>
      <x:c r="J79" s="37" t="str">
        <x:f>'Evaluation Plan'!J79</x:f>
        <x:v>Matched manipulation control</x:v>
      </x:c>
      <x:c r="K79" s="34" t="str">
        <x:f>'Evaluation Plan'!K79</x:f>
        <x:v>SR-CT19</x:v>
      </x:c>
      <x:c r="L79" s="34" t="str">
        <x:f>'Evaluation Plan'!L79</x:f>
        <x:v>O</x:v>
      </x:c>
      <x:c r="M79" s="34" t="str">
        <x:f>'Evaluation Plan'!M79</x:f>
        <x:v>brown cup</x:v>
      </x:c>
      <x:c r="N79" s="34" t="n">
        <x:f>'Evaluation Plan'!N79</x:f>
        <x:v>2</x:v>
      </x:c>
      <x:c r="O79" s="34" t="n">
        <x:f>'Evaluation Plan'!O79</x:f>
        <x:v>1</x:v>
      </x:c>
      <x:c r="P79" s="34" t="str">
        <x:f>'Evaluation Plan'!P79</x:f>
        <x:v>Empty</x:v>
      </x:c>
      <x:c r="Q79" s="32" t="str">
        <x:f>'Evaluation Plan'!Q79</x:f>
        <x:v>Exact-scene trained state-object counterfactual</x:v>
      </x:c>
      <x:c r="R79" s="34" t="n">
        <x:f>'Evaluation Plan'!R79</x:f>
        <x:v>3</x:v>
      </x:c>
      <x:c r="S79" s="32" t="str">
        <x:f>'Evaluation Plan'!S79</x:f>
        <x:v>Reset the moved object exactly; preserve every object and state; change only the prompt and expected target.</x:v>
      </x:c>
      <x:c r="T79" s="32" t="str">
        <x:f>'Evaluation Plan'!T79</x:f>
        <x:v>The correct target switches to the other same-category instance. This cell is explicit in training and controls recognition/manipulation in the transfer scene.</x:v>
      </x:c>
      <x:c r="U79" s="32" t="n">
        <x:f>'Evaluation Plan'!U79</x:f>
        <x:v>0</x:v>
      </x:c>
    </x:row>
    <x:row r="80" ht="51" customHeight="1">
      <x:c r="A80" s="40" t="str">
        <x:v>Not collected</x:v>
      </x:c>
      <x:c r="B80" s="41" t="n">
        <x:f>'Evaluation Plan'!B80</x:f>
        <x:v>78</x:v>
      </x:c>
      <x:c r="C80" s="40" t="str">
        <x:f>'Evaluation Plan'!C80</x:f>
        <x:v>Place the upright glass spice container in the bowl.</x:v>
      </x:c>
      <x:c r="D80" s="40" t="str">
        <x:f>'Evaluation Plan'!D80</x:f>
        <x:v>glass spice container B (C, RU); glass spice container A (C, UD); yellow-white striped cup B (O, UD)</x:v>
      </x:c>
      <x:c r="E80" s="41" t="str">
        <x:f>'Evaluation Plan'!E80</x:f>
      </x:c>
      <x:c r="F80" s="41" t="str">
        <x:f>'Evaluation Plan'!F80</x:f>
        <x:v>179</x:v>
      </x:c>
      <x:c r="G80" s="40" t="str">
        <x:f>'Evaluation Plan'!G80</x:f>
        <x:v>Physical-state and manipulation-trajectory reference under a direct category prompt; the evaluated state word × object-category cell is intentionally absent from training.</x:v>
      </x:c>
      <x:c r="H80" s="40" t="str">
        <x:f>'Evaluation Plan'!H80</x:f>
        <x:v>glass spice container B</x:v>
      </x:c>
      <x:c r="I80" s="40" t="str"/>
      <x:c r="J80" s="45" t="str">
        <x:f>'Evaluation Plan'!J80</x:f>
        <x:v>Concept/compositional transfer</x:v>
      </x:c>
      <x:c r="K80" s="41" t="str">
        <x:f>'Evaluation Plan'!K80</x:f>
        <x:v>SR-CT20</x:v>
      </x:c>
      <x:c r="L80" s="41" t="str">
        <x:f>'Evaluation Plan'!L80</x:f>
        <x:v>RU</x:v>
      </x:c>
      <x:c r="M80" s="41" t="str">
        <x:f>'Evaluation Plan'!M80</x:f>
        <x:v>glass spice container</x:v>
      </x:c>
      <x:c r="N80" s="41" t="n">
        <x:f>'Evaluation Plan'!N80</x:f>
        <x:v>3</x:v>
      </x:c>
      <x:c r="O80" s="41" t="n">
        <x:f>'Evaluation Plan'!O80</x:f>
        <x:v>1</x:v>
      </x:c>
      <x:c r="P80" s="41" t="str">
        <x:f>'Evaluation Plan'!P80</x:f>
        <x:v>Empty</x:v>
      </x:c>
      <x:c r="Q80" s="40" t="str">
        <x:f>'Evaluation Plan'!Q80</x:f>
        <x:v>Primary held-out state-object composition</x:v>
      </x:c>
      <x:c r="R80" s="41" t="n">
        <x:f>'Evaluation Plan'!R80</x:f>
        <x:v>3</x:v>
      </x:c>
      <x:c r="S80" s="40" t="str">
        <x:f>'Evaluation Plan'!S80</x:f>
        <x:v>Build the listed same-category discrimination scene with the bowl empty.</x:v>
      </x:c>
      <x:c r="T80" s="40" t="str">
        <x:f>'Evaluation Plan'!T80</x:f>
        <x:v>Two same-category candidates share the non-queried state axis; only the held-out state word identifies the target.</x:v>
      </x:c>
      <x:c r="U80" s="40" t="n">
        <x:f>'Evaluation Plan'!U80</x:f>
        <x:v>0</x:v>
      </x:c>
    </x:row>
    <x:row r="81" ht="51" customHeight="1">
      <x:c r="A81" s="32" t="str">
        <x:v>Not collected</x:v>
      </x:c>
      <x:c r="B81" s="34" t="n">
        <x:f>'Evaluation Plan'!B81</x:f>
        <x:v>79</x:v>
      </x:c>
      <x:c r="C81" s="32" t="str">
        <x:f>'Evaluation Plan'!C81</x:f>
        <x:v>Place the upside-down glass spice container in the bowl.</x:v>
      </x:c>
      <x:c r="D81" s="32" t="str">
        <x:f>'Evaluation Plan'!D81</x:f>
        <x:v>glass spice container B (C, RU); glass spice container A (C, UD); yellow-white striped cup B (O, UD)</x:v>
      </x:c>
      <x:c r="E81" s="34" t="n">
        <x:f>'Evaluation Plan'!E81</x:f>
        <x:v>78</x:v>
      </x:c>
      <x:c r="F81" s="34" t="str">
        <x:f>'Evaluation Plan'!F81</x:f>
        <x:v>177</x:v>
      </x:c>
      <x:c r="G81" s="32" t="str">
        <x:f>'Evaluation Plan'!G81</x:f>
        <x:v>Training-supported state-object cell for the control. The evaluation scene is shared exactly with the paired transfer row, while the physical layout is manually recreated.</x:v>
      </x:c>
      <x:c r="H81" s="32" t="str">
        <x:f>'Evaluation Plan'!H81</x:f>
        <x:v>glass spice container A</x:v>
      </x:c>
      <x:c r="I81" s="32" t="str"/>
      <x:c r="J81" s="37" t="str">
        <x:f>'Evaluation Plan'!J81</x:f>
        <x:v>Matched manipulation control</x:v>
      </x:c>
      <x:c r="K81" s="34" t="str">
        <x:f>'Evaluation Plan'!K81</x:f>
        <x:v>SR-CT20</x:v>
      </x:c>
      <x:c r="L81" s="34" t="str">
        <x:f>'Evaluation Plan'!L81</x:f>
        <x:v>UD</x:v>
      </x:c>
      <x:c r="M81" s="34" t="str">
        <x:f>'Evaluation Plan'!M81</x:f>
        <x:v>glass spice container</x:v>
      </x:c>
      <x:c r="N81" s="34" t="n">
        <x:f>'Evaluation Plan'!N81</x:f>
        <x:v>3</x:v>
      </x:c>
      <x:c r="O81" s="34" t="n">
        <x:f>'Evaluation Plan'!O81</x:f>
        <x:v>1</x:v>
      </x:c>
      <x:c r="P81" s="34" t="str">
        <x:f>'Evaluation Plan'!P81</x:f>
        <x:v>Empty</x:v>
      </x:c>
      <x:c r="Q81" s="32" t="str">
        <x:f>'Evaluation Plan'!Q81</x:f>
        <x:v>Exact-scene trained state-object counterfactual</x:v>
      </x:c>
      <x:c r="R81" s="34" t="n">
        <x:f>'Evaluation Plan'!R81</x:f>
        <x:v>3</x:v>
      </x:c>
      <x:c r="S81" s="32" t="str">
        <x:f>'Evaluation Plan'!S81</x:f>
        <x:v>Reset the moved object exactly; preserve every object and state; change only the prompt and expected target.</x:v>
      </x:c>
      <x:c r="T81" s="32" t="str">
        <x:f>'Evaluation Plan'!T81</x:f>
        <x:v>The correct target switches to the other same-category instance. This cell is explicit in training and controls recognition/manipulation in the transfer scene.</x:v>
      </x:c>
      <x:c r="U81" s="32" t="n">
        <x:f>'Evaluation Plan'!U81</x:f>
        <x:v>0</x:v>
      </x:c>
    </x:row>
    <x:row r="82" ht="51" customHeight="1">
      <x:c r="A82" s="40" t="str">
        <x:v>Not collected</x:v>
      </x:c>
      <x:c r="B82" s="41" t="n">
        <x:f>'Evaluation Plan'!B82</x:f>
        <x:v>80</x:v>
      </x:c>
      <x:c r="C82" s="40" t="str">
        <x:f>'Evaluation Plan'!C82</x:f>
        <x:v>Place the upside-down white cup in the bowl.</x:v>
      </x:c>
      <x:c r="D82" s="40" t="str">
        <x:f>'Evaluation Plan'!D82</x:f>
        <x:v>white cup A (O, UD); white cup B (O, RU); glass spice container A (C, RU); yellow-white striped cup B (O, RU)</x:v>
      </x:c>
      <x:c r="E82" s="41" t="str">
        <x:f>'Evaluation Plan'!E82</x:f>
      </x:c>
      <x:c r="F82" s="41" t="str">
        <x:f>'Evaluation Plan'!F82</x:f>
        <x:v>34</x:v>
      </x:c>
      <x:c r="G82" s="40" t="str">
        <x:f>'Evaluation Plan'!G82</x:f>
        <x:v>Physical-state and manipulation-trajectory reference under a direct category prompt; the evaluated state word × object-category cell is intentionally absent from training.</x:v>
      </x:c>
      <x:c r="H82" s="40" t="str">
        <x:f>'Evaluation Plan'!H82</x:f>
        <x:v>white cup A</x:v>
      </x:c>
      <x:c r="I82" s="40" t="str"/>
      <x:c r="J82" s="45" t="str">
        <x:f>'Evaluation Plan'!J82</x:f>
        <x:v>Concept/compositional transfer</x:v>
      </x:c>
      <x:c r="K82" s="41" t="str">
        <x:f>'Evaluation Plan'!K82</x:f>
        <x:v>SR-CT21</x:v>
      </x:c>
      <x:c r="L82" s="41" t="str">
        <x:f>'Evaluation Plan'!L82</x:f>
        <x:v>UD</x:v>
      </x:c>
      <x:c r="M82" s="41" t="str">
        <x:f>'Evaluation Plan'!M82</x:f>
        <x:v>white cup</x:v>
      </x:c>
      <x:c r="N82" s="41" t="n">
        <x:f>'Evaluation Plan'!N82</x:f>
        <x:v>4</x:v>
      </x:c>
      <x:c r="O82" s="41" t="n">
        <x:f>'Evaluation Plan'!O82</x:f>
        <x:v>1</x:v>
      </x:c>
      <x:c r="P82" s="41" t="str">
        <x:f>'Evaluation Plan'!P82</x:f>
        <x:v>Empty</x:v>
      </x:c>
      <x:c r="Q82" s="40" t="str">
        <x:f>'Evaluation Plan'!Q82</x:f>
        <x:v>Primary held-out state-object composition</x:v>
      </x:c>
      <x:c r="R82" s="41" t="n">
        <x:f>'Evaluation Plan'!R82</x:f>
        <x:v>4</x:v>
      </x:c>
      <x:c r="S82" s="40" t="str">
        <x:f>'Evaluation Plan'!S82</x:f>
        <x:v>Build the listed same-category discrimination scene with the bowl empty.</x:v>
      </x:c>
      <x:c r="T82" s="40" t="str">
        <x:f>'Evaluation Plan'!T82</x:f>
        <x:v>Two same-category candidates share the non-queried state axis; only the held-out state word identifies the target.</x:v>
      </x:c>
      <x:c r="U82" s="40" t="n">
        <x:f>'Evaluation Plan'!U82</x:f>
        <x:v>0</x:v>
      </x:c>
    </x:row>
    <x:row r="83" ht="51" customHeight="1">
      <x:c r="A83" s="43" t="str">
        <x:v>Not collected</x:v>
      </x:c>
      <x:c r="B83" s="44" t="n">
        <x:f>'Evaluation Plan'!B83</x:f>
        <x:v>81</x:v>
      </x:c>
      <x:c r="C83" s="43" t="str">
        <x:f>'Evaluation Plan'!C83</x:f>
        <x:v>Place the open yellow-white striped cup in the bowl.</x:v>
      </x:c>
      <x:c r="D83" s="43" t="str">
        <x:f>'Evaluation Plan'!D83</x:f>
        <x:v>yellow-white striped cup B (O, UD); yellow-white striped cup A (C, UD)</x:v>
      </x:c>
      <x:c r="E83" s="44" t="str">
        <x:f>'Evaluation Plan'!E83</x:f>
      </x:c>
      <x:c r="F83" s="44" t="str">
        <x:f>'Evaluation Plan'!F83</x:f>
        <x:v>53</x:v>
      </x:c>
      <x:c r="G83" s="43" t="str">
        <x:f>'Evaluation Plan'!G83</x:f>
        <x:v>Physical-state and manipulation-trajectory reference under a direct category prompt; the evaluated state word × object-category cell is intentionally absent from training.</x:v>
      </x:c>
      <x:c r="H83" s="43" t="str">
        <x:f>'Evaluation Plan'!H83</x:f>
        <x:v>yellow-white striped cup B</x:v>
      </x:c>
      <x:c r="I83" s="43" t="str"/>
      <x:c r="J83" s="45" t="str">
        <x:f>'Evaluation Plan'!J83</x:f>
        <x:v>Concept/compositional transfer</x:v>
      </x:c>
      <x:c r="K83" s="44" t="str">
        <x:f>'Evaluation Plan'!K83</x:f>
        <x:v>SR-CT22</x:v>
      </x:c>
      <x:c r="L83" s="44" t="str">
        <x:f>'Evaluation Plan'!L83</x:f>
        <x:v>O</x:v>
      </x:c>
      <x:c r="M83" s="44" t="str">
        <x:f>'Evaluation Plan'!M83</x:f>
        <x:v>yellow-white striped cup</x:v>
      </x:c>
      <x:c r="N83" s="44" t="n">
        <x:f>'Evaluation Plan'!N83</x:f>
        <x:v>2</x:v>
      </x:c>
      <x:c r="O83" s="44" t="n">
        <x:f>'Evaluation Plan'!O83</x:f>
        <x:v>1</x:v>
      </x:c>
      <x:c r="P83" s="44" t="str">
        <x:f>'Evaluation Plan'!P83</x:f>
        <x:v>Empty</x:v>
      </x:c>
      <x:c r="Q83" s="43" t="str">
        <x:f>'Evaluation Plan'!Q83</x:f>
        <x:v>Primary held-out state-object composition</x:v>
      </x:c>
      <x:c r="R83" s="44" t="n">
        <x:f>'Evaluation Plan'!R83</x:f>
        <x:v>4</x:v>
      </x:c>
      <x:c r="S83" s="43" t="str">
        <x:f>'Evaluation Plan'!S83</x:f>
        <x:v>Build the listed same-category discrimination scene with the bowl empty.</x:v>
      </x:c>
      <x:c r="T83" s="43" t="str">
        <x:f>'Evaluation Plan'!T83</x:f>
        <x:v>Two same-category candidates share the non-queried state axis; only the held-out state word identifies the target.</x:v>
      </x:c>
      <x:c r="U83" s="43" t="n">
        <x:f>'Evaluation Plan'!U83</x:f>
        <x:v>0</x:v>
      </x:c>
    </x:row>
    <x:row r="84" ht="51" customHeight="1">
      <x:c r="A84" s="40" t="str">
        <x:v>Not collected</x:v>
      </x:c>
      <x:c r="B84" s="41" t="n">
        <x:f>'Evaluation Plan'!B84</x:f>
        <x:v>82</x:v>
      </x:c>
      <x:c r="C84" s="40" t="str">
        <x:f>'Evaluation Plan'!C84</x:f>
        <x:v>Place the closed brown cup in the bowl.</x:v>
      </x:c>
      <x:c r="D84" s="40" t="str">
        <x:f>'Evaluation Plan'!D84</x:f>
        <x:v>brown cup A (C, UD); brown cup B (O, UD); yellow-white striped cup A (C, UD)</x:v>
      </x:c>
      <x:c r="E84" s="41" t="str">
        <x:f>'Evaluation Plan'!E84</x:f>
      </x:c>
      <x:c r="F84" s="41" t="str">
        <x:f>'Evaluation Plan'!F84</x:f>
        <x:v>107</x:v>
      </x:c>
      <x:c r="G84" s="40" t="str">
        <x:f>'Evaluation Plan'!G84</x:f>
        <x:v>Physical-state and manipulation-trajectory reference under a direct category prompt; the evaluated state word × object-category cell is intentionally absent from training.</x:v>
      </x:c>
      <x:c r="H84" s="40" t="str">
        <x:f>'Evaluation Plan'!H84</x:f>
        <x:v>brown cup A</x:v>
      </x:c>
      <x:c r="I84" s="40" t="str"/>
      <x:c r="J84" s="45" t="str">
        <x:f>'Evaluation Plan'!J84</x:f>
        <x:v>Concept/compositional transfer</x:v>
      </x:c>
      <x:c r="K84" s="41" t="str">
        <x:f>'Evaluation Plan'!K84</x:f>
        <x:v>SR-CT23</x:v>
      </x:c>
      <x:c r="L84" s="41" t="str">
        <x:f>'Evaluation Plan'!L84</x:f>
        <x:v>C</x:v>
      </x:c>
      <x:c r="M84" s="41" t="str">
        <x:f>'Evaluation Plan'!M84</x:f>
        <x:v>brown cup</x:v>
      </x:c>
      <x:c r="N84" s="41" t="n">
        <x:f>'Evaluation Plan'!N84</x:f>
        <x:v>3</x:v>
      </x:c>
      <x:c r="O84" s="41" t="n">
        <x:f>'Evaluation Plan'!O84</x:f>
        <x:v>1</x:v>
      </x:c>
      <x:c r="P84" s="41" t="str">
        <x:f>'Evaluation Plan'!P84</x:f>
        <x:v>Empty</x:v>
      </x:c>
      <x:c r="Q84" s="40" t="str">
        <x:f>'Evaluation Plan'!Q84</x:f>
        <x:v>Primary held-out state-object composition</x:v>
      </x:c>
      <x:c r="R84" s="41" t="n">
        <x:f>'Evaluation Plan'!R84</x:f>
        <x:v>4</x:v>
      </x:c>
      <x:c r="S84" s="40" t="str">
        <x:f>'Evaluation Plan'!S84</x:f>
        <x:v>Build the listed same-category discrimination scene with the bowl empty.</x:v>
      </x:c>
      <x:c r="T84" s="40" t="str">
        <x:f>'Evaluation Plan'!T84</x:f>
        <x:v>Two same-category candidates share the non-queried state axis; only the held-out state word identifies the target.</x:v>
      </x:c>
      <x:c r="U84" s="40" t="n">
        <x:f>'Evaluation Plan'!U84</x:f>
        <x:v>0</x:v>
      </x:c>
    </x:row>
    <x:row r="85" ht="51" customHeight="1">
      <x:c r="A85" s="43" t="str">
        <x:v>Not collected</x:v>
      </x:c>
      <x:c r="B85" s="44" t="n">
        <x:f>'Evaluation Plan'!B85</x:f>
        <x:v>83</x:v>
      </x:c>
      <x:c r="C85" s="43" t="str">
        <x:f>'Evaluation Plan'!C85</x:f>
        <x:v>Place the upright glass spice container in the bowl.</x:v>
      </x:c>
      <x:c r="D85" s="43" t="str">
        <x:f>'Evaluation Plan'!D85</x:f>
        <x:v>glass spice container B (O, RU); glass spice container A (O, UD); brown cup B (O, UD); white cup A (C, RU)</x:v>
      </x:c>
      <x:c r="E85" s="44" t="str">
        <x:f>'Evaluation Plan'!E85</x:f>
      </x:c>
      <x:c r="F85" s="44" t="str">
        <x:f>'Evaluation Plan'!F85</x:f>
        <x:v>183</x:v>
      </x:c>
      <x:c r="G85" s="43" t="str">
        <x:f>'Evaluation Plan'!G85</x:f>
        <x:v>Physical-state and manipulation-trajectory reference under a direct category prompt; the evaluated state word × object-category cell is intentionally absent from training.</x:v>
      </x:c>
      <x:c r="H85" s="43" t="str">
        <x:f>'Evaluation Plan'!H85</x:f>
        <x:v>glass spice container B</x:v>
      </x:c>
      <x:c r="I85" s="43" t="str"/>
      <x:c r="J85" s="45" t="str">
        <x:f>'Evaluation Plan'!J85</x:f>
        <x:v>Concept/compositional transfer</x:v>
      </x:c>
      <x:c r="K85" s="44" t="str">
        <x:f>'Evaluation Plan'!K85</x:f>
        <x:v>SR-CT24</x:v>
      </x:c>
      <x:c r="L85" s="44" t="str">
        <x:f>'Evaluation Plan'!L85</x:f>
        <x:v>RU</x:v>
      </x:c>
      <x:c r="M85" s="44" t="str">
        <x:f>'Evaluation Plan'!M85</x:f>
        <x:v>glass spice container</x:v>
      </x:c>
      <x:c r="N85" s="44" t="n">
        <x:f>'Evaluation Plan'!N85</x:f>
        <x:v>4</x:v>
      </x:c>
      <x:c r="O85" s="44" t="n">
        <x:f>'Evaluation Plan'!O85</x:f>
        <x:v>1</x:v>
      </x:c>
      <x:c r="P85" s="44" t="str">
        <x:f>'Evaluation Plan'!P85</x:f>
        <x:v>Empty</x:v>
      </x:c>
      <x:c r="Q85" s="43" t="str">
        <x:f>'Evaluation Plan'!Q85</x:f>
        <x:v>Primary held-out state-object composition</x:v>
      </x:c>
      <x:c r="R85" s="44" t="n">
        <x:f>'Evaluation Plan'!R85</x:f>
        <x:v>4</x:v>
      </x:c>
      <x:c r="S85" s="43" t="str">
        <x:f>'Evaluation Plan'!S85</x:f>
        <x:v>Build the listed same-category discrimination scene with the bowl empty.</x:v>
      </x:c>
      <x:c r="T85" s="43" t="str">
        <x:f>'Evaluation Plan'!T85</x:f>
        <x:v>Two same-category candidates share the non-queried state axis; only the held-out state word identifies the target.</x:v>
      </x:c>
      <x:c r="U85" s="43" t="n">
        <x:f>'Evaluation Plan'!U85</x:f>
        <x:v>0</x:v>
      </x:c>
    </x:row>
    <x:row r="86" ht="51" customHeight="1">
      <x:c r="A86" s="40" t="str">
        <x:v>Not collected</x:v>
      </x:c>
      <x:c r="B86" s="41" t="n">
        <x:f>'Evaluation Plan'!B86</x:f>
        <x:v>84</x:v>
      </x:c>
      <x:c r="C86" s="40" t="str">
        <x:f>'Evaluation Plan'!C86</x:f>
        <x:v>Place the upside-down white cup in the bowl.</x:v>
      </x:c>
      <x:c r="D86" s="40" t="str">
        <x:f>'Evaluation Plan'!D86</x:f>
        <x:v>white cup A (C, UD); white cup B (C, RU)</x:v>
      </x:c>
      <x:c r="E86" s="41" t="str">
        <x:f>'Evaluation Plan'!E86</x:f>
      </x:c>
      <x:c r="F86" s="41" t="str">
        <x:f>'Evaluation Plan'!F86</x:f>
        <x:v>39</x:v>
      </x:c>
      <x:c r="G86" s="40" t="str">
        <x:f>'Evaluation Plan'!G86</x:f>
        <x:v>Physical-state and manipulation-trajectory reference under a direct category prompt; the evaluated state word × object-category cell is intentionally absent from training.</x:v>
      </x:c>
      <x:c r="H86" s="40" t="str">
        <x:f>'Evaluation Plan'!H86</x:f>
        <x:v>white cup A</x:v>
      </x:c>
      <x:c r="I86" s="40" t="str"/>
      <x:c r="J86" s="45" t="str">
        <x:f>'Evaluation Plan'!J86</x:f>
        <x:v>Concept/compositional transfer</x:v>
      </x:c>
      <x:c r="K86" s="41" t="str">
        <x:f>'Evaluation Plan'!K86</x:f>
        <x:v>SR-CT25</x:v>
      </x:c>
      <x:c r="L86" s="41" t="str">
        <x:f>'Evaluation Plan'!L86</x:f>
        <x:v>UD</x:v>
      </x:c>
      <x:c r="M86" s="41" t="str">
        <x:f>'Evaluation Plan'!M86</x:f>
        <x:v>white cup</x:v>
      </x:c>
      <x:c r="N86" s="41" t="n">
        <x:f>'Evaluation Plan'!N86</x:f>
        <x:v>2</x:v>
      </x:c>
      <x:c r="O86" s="41" t="n">
        <x:f>'Evaluation Plan'!O86</x:f>
        <x:v>1</x:v>
      </x:c>
      <x:c r="P86" s="41" t="str">
        <x:f>'Evaluation Plan'!P86</x:f>
        <x:v>Empty</x:v>
      </x:c>
      <x:c r="Q86" s="40" t="str">
        <x:f>'Evaluation Plan'!Q86</x:f>
        <x:v>Primary held-out state-object composition</x:v>
      </x:c>
      <x:c r="R86" s="41" t="n">
        <x:f>'Evaluation Plan'!R86</x:f>
        <x:v>4</x:v>
      </x:c>
      <x:c r="S86" s="40" t="str">
        <x:f>'Evaluation Plan'!S86</x:f>
        <x:v>Build the listed same-category discrimination scene with the bowl empty.</x:v>
      </x:c>
      <x:c r="T86" s="40" t="str">
        <x:f>'Evaluation Plan'!T86</x:f>
        <x:v>Two same-category candidates share the non-queried state axis; only the held-out state word identifies the target.</x:v>
      </x:c>
      <x:c r="U86" s="40" t="n">
        <x:f>'Evaluation Plan'!U86</x:f>
        <x:v>0</x:v>
      </x:c>
    </x:row>
    <x:row r="87" ht="51" customHeight="1">
      <x:c r="A87" s="43" t="str">
        <x:v>Not collected</x:v>
      </x:c>
      <x:c r="B87" s="44" t="n">
        <x:f>'Evaluation Plan'!B87</x:f>
        <x:v>85</x:v>
      </x:c>
      <x:c r="C87" s="43" t="str">
        <x:f>'Evaluation Plan'!C87</x:f>
        <x:v>Place the open yellow-white striped cup in the bowl.</x:v>
      </x:c>
      <x:c r="D87" s="43" t="str">
        <x:f>'Evaluation Plan'!D87</x:f>
        <x:v>yellow-white striped cup B (O, RU); yellow-white striped cup A (C, RU); brown cup B (O, RU)</x:v>
      </x:c>
      <x:c r="E87" s="44" t="str">
        <x:f>'Evaluation Plan'!E87</x:f>
      </x:c>
      <x:c r="F87" s="44" t="str">
        <x:f>'Evaluation Plan'!F87</x:f>
        <x:v>64</x:v>
      </x:c>
      <x:c r="G87" s="43" t="str">
        <x:f>'Evaluation Plan'!G87</x:f>
        <x:v>Physical-state and manipulation-trajectory reference under a direct category prompt; the evaluated state word × object-category cell is intentionally absent from training.</x:v>
      </x:c>
      <x:c r="H87" s="43" t="str">
        <x:f>'Evaluation Plan'!H87</x:f>
        <x:v>yellow-white striped cup B</x:v>
      </x:c>
      <x:c r="I87" s="43" t="str"/>
      <x:c r="J87" s="45" t="str">
        <x:f>'Evaluation Plan'!J87</x:f>
        <x:v>Concept/compositional transfer</x:v>
      </x:c>
      <x:c r="K87" s="44" t="str">
        <x:f>'Evaluation Plan'!K87</x:f>
        <x:v>SR-CT26</x:v>
      </x:c>
      <x:c r="L87" s="44" t="str">
        <x:f>'Evaluation Plan'!L87</x:f>
        <x:v>O</x:v>
      </x:c>
      <x:c r="M87" s="44" t="str">
        <x:f>'Evaluation Plan'!M87</x:f>
        <x:v>yellow-white striped cup</x:v>
      </x:c>
      <x:c r="N87" s="44" t="n">
        <x:f>'Evaluation Plan'!N87</x:f>
        <x:v>3</x:v>
      </x:c>
      <x:c r="O87" s="44" t="n">
        <x:f>'Evaluation Plan'!O87</x:f>
        <x:v>1</x:v>
      </x:c>
      <x:c r="P87" s="44" t="str">
        <x:f>'Evaluation Plan'!P87</x:f>
        <x:v>Empty</x:v>
      </x:c>
      <x:c r="Q87" s="43" t="str">
        <x:f>'Evaluation Plan'!Q87</x:f>
        <x:v>Primary held-out state-object composition</x:v>
      </x:c>
      <x:c r="R87" s="44" t="n">
        <x:f>'Evaluation Plan'!R87</x:f>
        <x:v>4</x:v>
      </x:c>
      <x:c r="S87" s="43" t="str">
        <x:f>'Evaluation Plan'!S87</x:f>
        <x:v>Build the listed same-category discrimination scene with the bowl empty.</x:v>
      </x:c>
      <x:c r="T87" s="43" t="str">
        <x:f>'Evaluation Plan'!T87</x:f>
        <x:v>Two same-category candidates share the non-queried state axis; only the held-out state word identifies the target.</x:v>
      </x:c>
      <x:c r="U87" s="43" t="n">
        <x:f>'Evaluation Plan'!U87</x:f>
        <x:v>0</x:v>
      </x:c>
    </x:row>
    <x:row r="88" ht="51" customHeight="1">
      <x:c r="A88" s="40" t="str">
        <x:v>Not collected</x:v>
      </x:c>
      <x:c r="B88" s="41" t="n">
        <x:f>'Evaluation Plan'!B88</x:f>
        <x:v>86</x:v>
      </x:c>
      <x:c r="C88" s="40" t="str">
        <x:f>'Evaluation Plan'!C88</x:f>
        <x:v>Place the closed brown cup in the bowl.</x:v>
      </x:c>
      <x:c r="D88" s="40" t="str">
        <x:f>'Evaluation Plan'!D88</x:f>
        <x:v>brown cup A (C, RU); brown cup B (O, RU); glass spice container A (C, UD); white cup B (O, UD)</x:v>
      </x:c>
      <x:c r="E88" s="41" t="str">
        <x:f>'Evaluation Plan'!E88</x:f>
      </x:c>
      <x:c r="F88" s="41" t="str">
        <x:f>'Evaluation Plan'!F88</x:f>
        <x:v>143</x:v>
      </x:c>
      <x:c r="G88" s="40" t="str">
        <x:f>'Evaluation Plan'!G88</x:f>
        <x:v>Physical-state and manipulation-trajectory reference under a direct category prompt; the evaluated state word × object-category cell is intentionally absent from training.</x:v>
      </x:c>
      <x:c r="H88" s="40" t="str">
        <x:f>'Evaluation Plan'!H88</x:f>
        <x:v>brown cup A</x:v>
      </x:c>
      <x:c r="I88" s="40" t="str"/>
      <x:c r="J88" s="45" t="str">
        <x:f>'Evaluation Plan'!J88</x:f>
        <x:v>Concept/compositional transfer</x:v>
      </x:c>
      <x:c r="K88" s="41" t="str">
        <x:f>'Evaluation Plan'!K88</x:f>
        <x:v>SR-CT27</x:v>
      </x:c>
      <x:c r="L88" s="41" t="str">
        <x:f>'Evaluation Plan'!L88</x:f>
        <x:v>C</x:v>
      </x:c>
      <x:c r="M88" s="41" t="str">
        <x:f>'Evaluation Plan'!M88</x:f>
        <x:v>brown cup</x:v>
      </x:c>
      <x:c r="N88" s="41" t="n">
        <x:f>'Evaluation Plan'!N88</x:f>
        <x:v>4</x:v>
      </x:c>
      <x:c r="O88" s="41" t="n">
        <x:f>'Evaluation Plan'!O88</x:f>
        <x:v>1</x:v>
      </x:c>
      <x:c r="P88" s="41" t="str">
        <x:f>'Evaluation Plan'!P88</x:f>
        <x:v>Empty</x:v>
      </x:c>
      <x:c r="Q88" s="40" t="str">
        <x:f>'Evaluation Plan'!Q88</x:f>
        <x:v>Primary held-out state-object composition</x:v>
      </x:c>
      <x:c r="R88" s="41" t="n">
        <x:f>'Evaluation Plan'!R88</x:f>
        <x:v>4</x:v>
      </x:c>
      <x:c r="S88" s="40" t="str">
        <x:f>'Evaluation Plan'!S88</x:f>
        <x:v>Build the listed same-category discrimination scene with the bowl empty.</x:v>
      </x:c>
      <x:c r="T88" s="40" t="str">
        <x:f>'Evaluation Plan'!T88</x:f>
        <x:v>Two same-category candidates share the non-queried state axis; only the held-out state word identifies the target.</x:v>
      </x:c>
      <x:c r="U88" s="40" t="n">
        <x:f>'Evaluation Plan'!U88</x:f>
        <x:v>0</x:v>
      </x:c>
    </x:row>
    <x:row r="89" ht="51" customHeight="1">
      <x:c r="A89" s="43" t="str">
        <x:v>Not collected</x:v>
      </x:c>
      <x:c r="B89" s="44" t="n">
        <x:f>'Evaluation Plan'!B89</x:f>
        <x:v>87</x:v>
      </x:c>
      <x:c r="C89" s="43" t="str">
        <x:f>'Evaluation Plan'!C89</x:f>
        <x:v>Place the upright glass spice container in the bowl.</x:v>
      </x:c>
      <x:c r="D89" s="43" t="str">
        <x:f>'Evaluation Plan'!D89</x:f>
        <x:v>glass spice container B (C, RU); glass spice container A (C, UD)</x:v>
      </x:c>
      <x:c r="E89" s="44" t="str">
        <x:f>'Evaluation Plan'!E89</x:f>
      </x:c>
      <x:c r="F89" s="44" t="str">
        <x:f>'Evaluation Plan'!F89</x:f>
        <x:v>182</x:v>
      </x:c>
      <x:c r="G89" s="43" t="str">
        <x:f>'Evaluation Plan'!G89</x:f>
        <x:v>Physical-state and manipulation-trajectory reference under a direct category prompt; the evaluated state word × object-category cell is intentionally absent from training.</x:v>
      </x:c>
      <x:c r="H89" s="43" t="str">
        <x:f>'Evaluation Plan'!H89</x:f>
        <x:v>glass spice container B</x:v>
      </x:c>
      <x:c r="I89" s="43" t="str"/>
      <x:c r="J89" s="45" t="str">
        <x:f>'Evaluation Plan'!J89</x:f>
        <x:v>Concept/compositional transfer</x:v>
      </x:c>
      <x:c r="K89" s="44" t="str">
        <x:f>'Evaluation Plan'!K89</x:f>
        <x:v>SR-CT28</x:v>
      </x:c>
      <x:c r="L89" s="44" t="str">
        <x:f>'Evaluation Plan'!L89</x:f>
        <x:v>RU</x:v>
      </x:c>
      <x:c r="M89" s="44" t="str">
        <x:f>'Evaluation Plan'!M89</x:f>
        <x:v>glass spice container</x:v>
      </x:c>
      <x:c r="N89" s="44" t="n">
        <x:f>'Evaluation Plan'!N89</x:f>
        <x:v>2</x:v>
      </x:c>
      <x:c r="O89" s="44" t="n">
        <x:f>'Evaluation Plan'!O89</x:f>
        <x:v>1</x:v>
      </x:c>
      <x:c r="P89" s="44" t="str">
        <x:f>'Evaluation Plan'!P89</x:f>
        <x:v>Empty</x:v>
      </x:c>
      <x:c r="Q89" s="43" t="str">
        <x:f>'Evaluation Plan'!Q89</x:f>
        <x:v>Primary held-out state-object composition</x:v>
      </x:c>
      <x:c r="R89" s="44" t="n">
        <x:f>'Evaluation Plan'!R89</x:f>
        <x:v>4</x:v>
      </x:c>
      <x:c r="S89" s="43" t="str">
        <x:f>'Evaluation Plan'!S89</x:f>
        <x:v>Build the listed same-category discrimination scene with the bowl empty.</x:v>
      </x:c>
      <x:c r="T89" s="43" t="str">
        <x:f>'Evaluation Plan'!T89</x:f>
        <x:v>Two same-category candidates share the non-queried state axis; only the held-out state word identifies the target.</x:v>
      </x:c>
      <x:c r="U89" s="43" t="n">
        <x:f>'Evaluation Plan'!U89</x:f>
        <x:v>0</x:v>
      </x:c>
    </x:row>
    <x:row r="90" ht="51" customHeight="1">
      <x:c r="A90" s="40" t="str">
        <x:v>Not collected</x:v>
      </x:c>
      <x:c r="B90" s="41" t="n">
        <x:f>'Evaluation Plan'!B90</x:f>
        <x:v>88</x:v>
      </x:c>
      <x:c r="C90" s="40" t="str">
        <x:f>'Evaluation Plan'!C90</x:f>
        <x:v>Place the upside-down white cup in the bowl.</x:v>
      </x:c>
      <x:c r="D90" s="40" t="str">
        <x:f>'Evaluation Plan'!D90</x:f>
        <x:v>white cup A (O, UD); white cup B (O, RU); brown cup A (C, RU)</x:v>
      </x:c>
      <x:c r="E90" s="41" t="str">
        <x:f>'Evaluation Plan'!E90</x:f>
      </x:c>
      <x:c r="F90" s="41" t="str">
        <x:f>'Evaluation Plan'!F90</x:f>
        <x:v>49</x:v>
      </x:c>
      <x:c r="G90" s="40" t="str">
        <x:f>'Evaluation Plan'!G90</x:f>
        <x:v>Physical-state and manipulation-trajectory reference under a direct category prompt; the evaluated state word × object-category cell is intentionally absent from training.</x:v>
      </x:c>
      <x:c r="H90" s="40" t="str">
        <x:f>'Evaluation Plan'!H90</x:f>
        <x:v>white cup A</x:v>
      </x:c>
      <x:c r="I90" s="40" t="str"/>
      <x:c r="J90" s="45" t="str">
        <x:f>'Evaluation Plan'!J90</x:f>
        <x:v>Concept/compositional transfer</x:v>
      </x:c>
      <x:c r="K90" s="41" t="str">
        <x:f>'Evaluation Plan'!K90</x:f>
        <x:v>SR-CT29</x:v>
      </x:c>
      <x:c r="L90" s="41" t="str">
        <x:f>'Evaluation Plan'!L90</x:f>
        <x:v>UD</x:v>
      </x:c>
      <x:c r="M90" s="41" t="str">
        <x:f>'Evaluation Plan'!M90</x:f>
        <x:v>white cup</x:v>
      </x:c>
      <x:c r="N90" s="41" t="n">
        <x:f>'Evaluation Plan'!N90</x:f>
        <x:v>3</x:v>
      </x:c>
      <x:c r="O90" s="41" t="n">
        <x:f>'Evaluation Plan'!O90</x:f>
        <x:v>1</x:v>
      </x:c>
      <x:c r="P90" s="41" t="str">
        <x:f>'Evaluation Plan'!P90</x:f>
        <x:v>Empty</x:v>
      </x:c>
      <x:c r="Q90" s="40" t="str">
        <x:f>'Evaluation Plan'!Q90</x:f>
        <x:v>Primary held-out state-object composition</x:v>
      </x:c>
      <x:c r="R90" s="41" t="n">
        <x:f>'Evaluation Plan'!R90</x:f>
        <x:v>4</x:v>
      </x:c>
      <x:c r="S90" s="40" t="str">
        <x:f>'Evaluation Plan'!S90</x:f>
        <x:v>Build the listed same-category discrimination scene with the bowl empty.</x:v>
      </x:c>
      <x:c r="T90" s="40" t="str">
        <x:f>'Evaluation Plan'!T90</x:f>
        <x:v>Two same-category candidates share the non-queried state axis; only the held-out state word identifies the target.</x:v>
      </x:c>
      <x:c r="U90" s="40" t="n">
        <x:f>'Evaluation Plan'!U90</x:f>
        <x:v>0</x:v>
      </x:c>
    </x:row>
    <x:row r="91" ht="51" customHeight="1">
      <x:c r="A91" s="43" t="str">
        <x:v>Not collected</x:v>
      </x:c>
      <x:c r="B91" s="44" t="n">
        <x:f>'Evaluation Plan'!B91</x:f>
        <x:v>89</x:v>
      </x:c>
      <x:c r="C91" s="43" t="str">
        <x:f>'Evaluation Plan'!C91</x:f>
        <x:v>Place the open yellow-white striped cup in the bowl.</x:v>
      </x:c>
      <x:c r="D91" s="43" t="str">
        <x:f>'Evaluation Plan'!D91</x:f>
        <x:v>yellow-white striped cup B (O, UD); yellow-white striped cup A (C, UD); glass spice container B (O, RU); white cup A (C, UD)</x:v>
      </x:c>
      <x:c r="E91" s="44" t="str">
        <x:f>'Evaluation Plan'!E91</x:f>
      </x:c>
      <x:c r="F91" s="44" t="str">
        <x:f>'Evaluation Plan'!F91</x:f>
        <x:v>53</x:v>
      </x:c>
      <x:c r="G91" s="43" t="str">
        <x:f>'Evaluation Plan'!G91</x:f>
        <x:v>Physical-state and manipulation-trajectory reference under a direct category prompt; the evaluated state word × object-category cell is intentionally absent from training.</x:v>
      </x:c>
      <x:c r="H91" s="43" t="str">
        <x:f>'Evaluation Plan'!H91</x:f>
        <x:v>yellow-white striped cup B</x:v>
      </x:c>
      <x:c r="I91" s="43" t="str"/>
      <x:c r="J91" s="45" t="str">
        <x:f>'Evaluation Plan'!J91</x:f>
        <x:v>Concept/compositional transfer</x:v>
      </x:c>
      <x:c r="K91" s="44" t="str">
        <x:f>'Evaluation Plan'!K91</x:f>
        <x:v>SR-CT30</x:v>
      </x:c>
      <x:c r="L91" s="44" t="str">
        <x:f>'Evaluation Plan'!L91</x:f>
        <x:v>O</x:v>
      </x:c>
      <x:c r="M91" s="44" t="str">
        <x:f>'Evaluation Plan'!M91</x:f>
        <x:v>yellow-white striped cup</x:v>
      </x:c>
      <x:c r="N91" s="44" t="n">
        <x:f>'Evaluation Plan'!N91</x:f>
        <x:v>4</x:v>
      </x:c>
      <x:c r="O91" s="44" t="n">
        <x:f>'Evaluation Plan'!O91</x:f>
        <x:v>1</x:v>
      </x:c>
      <x:c r="P91" s="44" t="str">
        <x:f>'Evaluation Plan'!P91</x:f>
        <x:v>Empty</x:v>
      </x:c>
      <x:c r="Q91" s="43" t="str">
        <x:f>'Evaluation Plan'!Q91</x:f>
        <x:v>Primary held-out state-object composition</x:v>
      </x:c>
      <x:c r="R91" s="44" t="n">
        <x:f>'Evaluation Plan'!R91</x:f>
        <x:v>4</x:v>
      </x:c>
      <x:c r="S91" s="43" t="str">
        <x:f>'Evaluation Plan'!S91</x:f>
        <x:v>Build the listed same-category discrimination scene with the bowl empty.</x:v>
      </x:c>
      <x:c r="T91" s="43" t="str">
        <x:f>'Evaluation Plan'!T91</x:f>
        <x:v>Two same-category candidates share the non-queried state axis; only the held-out state word identifies the target.</x:v>
      </x:c>
      <x:c r="U91" s="43" t="n">
        <x:f>'Evaluation Plan'!U91</x:f>
        <x:v>0</x:v>
      </x:c>
    </x:row>
    <x:row r="92" ht="51" customHeight="1">
      <x:c r="A92" s="40" t="str">
        <x:v>Not collected</x:v>
      </x:c>
      <x:c r="B92" s="41" t="n">
        <x:f>'Evaluation Plan'!B92</x:f>
        <x:v>90</x:v>
      </x:c>
      <x:c r="C92" s="40" t="str">
        <x:f>'Evaluation Plan'!C92</x:f>
        <x:v>Place the closed brown cup in the bowl.</x:v>
      </x:c>
      <x:c r="D92" s="40" t="str">
        <x:f>'Evaluation Plan'!D92</x:f>
        <x:v>brown cup A (C, UD); brown cup B (O, UD)</x:v>
      </x:c>
      <x:c r="E92" s="41" t="str">
        <x:f>'Evaluation Plan'!E92</x:f>
      </x:c>
      <x:c r="F92" s="41" t="str">
        <x:f>'Evaluation Plan'!F92</x:f>
        <x:v>129</x:v>
      </x:c>
      <x:c r="G92" s="40" t="str">
        <x:f>'Evaluation Plan'!G92</x:f>
        <x:v>Physical-state and manipulation-trajectory reference under a direct category prompt; the evaluated state word × object-category cell is intentionally absent from training.</x:v>
      </x:c>
      <x:c r="H92" s="40" t="str">
        <x:f>'Evaluation Plan'!H92</x:f>
        <x:v>brown cup A</x:v>
      </x:c>
      <x:c r="I92" s="40" t="str"/>
      <x:c r="J92" s="45" t="str">
        <x:f>'Evaluation Plan'!J92</x:f>
        <x:v>Concept/compositional transfer</x:v>
      </x:c>
      <x:c r="K92" s="41" t="str">
        <x:f>'Evaluation Plan'!K92</x:f>
        <x:v>SR-CT31</x:v>
      </x:c>
      <x:c r="L92" s="41" t="str">
        <x:f>'Evaluation Plan'!L92</x:f>
        <x:v>C</x:v>
      </x:c>
      <x:c r="M92" s="41" t="str">
        <x:f>'Evaluation Plan'!M92</x:f>
        <x:v>brown cup</x:v>
      </x:c>
      <x:c r="N92" s="41" t="n">
        <x:f>'Evaluation Plan'!N92</x:f>
        <x:v>2</x:v>
      </x:c>
      <x:c r="O92" s="41" t="n">
        <x:f>'Evaluation Plan'!O92</x:f>
        <x:v>1</x:v>
      </x:c>
      <x:c r="P92" s="41" t="str">
        <x:f>'Evaluation Plan'!P92</x:f>
        <x:v>Empty</x:v>
      </x:c>
      <x:c r="Q92" s="40" t="str">
        <x:f>'Evaluation Plan'!Q92</x:f>
        <x:v>Primary held-out state-object composition</x:v>
      </x:c>
      <x:c r="R92" s="41" t="n">
        <x:f>'Evaluation Plan'!R92</x:f>
        <x:v>4</x:v>
      </x:c>
      <x:c r="S92" s="40" t="str">
        <x:f>'Evaluation Plan'!S92</x:f>
        <x:v>Build the listed same-category discrimination scene with the bowl empty.</x:v>
      </x:c>
      <x:c r="T92" s="40" t="str">
        <x:f>'Evaluation Plan'!T92</x:f>
        <x:v>Two same-category candidates share the non-queried state axis; only the held-out state word identifies the target.</x:v>
      </x:c>
      <x:c r="U92" s="40" t="n">
        <x:f>'Evaluation Plan'!U92</x:f>
        <x:v>0</x:v>
      </x:c>
    </x:row>
    <x:row r="93" ht="51" customHeight="1">
      <x:c r="A93" s="43" t="str">
        <x:v>Not collected</x:v>
      </x:c>
      <x:c r="B93" s="44" t="n">
        <x:f>'Evaluation Plan'!B93</x:f>
        <x:v>91</x:v>
      </x:c>
      <x:c r="C93" s="43" t="str">
        <x:f>'Evaluation Plan'!C93</x:f>
        <x:v>Place the upright glass spice container in the bowl.</x:v>
      </x:c>
      <x:c r="D93" s="43" t="str">
        <x:f>'Evaluation Plan'!D93</x:f>
        <x:v>glass spice container B (O, RU); glass spice container A (O, UD); yellow-white striped cup B (O, UD)</x:v>
      </x:c>
      <x:c r="E93" s="44" t="str">
        <x:f>'Evaluation Plan'!E93</x:f>
      </x:c>
      <x:c r="F93" s="44" t="str">
        <x:f>'Evaluation Plan'!F93</x:f>
        <x:v>197</x:v>
      </x:c>
      <x:c r="G93" s="43" t="str">
        <x:f>'Evaluation Plan'!G93</x:f>
        <x:v>Physical-state and manipulation-trajectory reference under a direct category prompt; the evaluated state word × object-category cell is intentionally absent from training.</x:v>
      </x:c>
      <x:c r="H93" s="43" t="str">
        <x:f>'Evaluation Plan'!H93</x:f>
        <x:v>glass spice container B</x:v>
      </x:c>
      <x:c r="I93" s="43" t="str"/>
      <x:c r="J93" s="45" t="str">
        <x:f>'Evaluation Plan'!J93</x:f>
        <x:v>Concept/compositional transfer</x:v>
      </x:c>
      <x:c r="K93" s="44" t="str">
        <x:f>'Evaluation Plan'!K93</x:f>
        <x:v>SR-CT32</x:v>
      </x:c>
      <x:c r="L93" s="44" t="str">
        <x:f>'Evaluation Plan'!L93</x:f>
        <x:v>RU</x:v>
      </x:c>
      <x:c r="M93" s="44" t="str">
        <x:f>'Evaluation Plan'!M93</x:f>
        <x:v>glass spice container</x:v>
      </x:c>
      <x:c r="N93" s="44" t="n">
        <x:f>'Evaluation Plan'!N93</x:f>
        <x:v>3</x:v>
      </x:c>
      <x:c r="O93" s="44" t="n">
        <x:f>'Evaluation Plan'!O93</x:f>
        <x:v>1</x:v>
      </x:c>
      <x:c r="P93" s="44" t="str">
        <x:f>'Evaluation Plan'!P93</x:f>
        <x:v>Empty</x:v>
      </x:c>
      <x:c r="Q93" s="43" t="str">
        <x:f>'Evaluation Plan'!Q93</x:f>
        <x:v>Primary held-out state-object composition</x:v>
      </x:c>
      <x:c r="R93" s="44" t="n">
        <x:f>'Evaluation Plan'!R93</x:f>
        <x:v>4</x:v>
      </x:c>
      <x:c r="S93" s="43" t="str">
        <x:f>'Evaluation Plan'!S93</x:f>
        <x:v>Build the listed same-category discrimination scene with the bowl empty.</x:v>
      </x:c>
      <x:c r="T93" s="43" t="str">
        <x:f>'Evaluation Plan'!T93</x:f>
        <x:v>Two same-category candidates share the non-queried state axis; only the held-out state word identifies the target.</x:v>
      </x:c>
      <x:c r="U93" s="43" t="n">
        <x:f>'Evaluation Plan'!U93</x:f>
        <x:v>0</x:v>
      </x:c>
    </x:row>
    <x:row r="94" ht="51" customHeight="1">
      <x:c r="A94" s="40" t="str">
        <x:v>Not collected</x:v>
      </x:c>
      <x:c r="B94" s="41" t="n">
        <x:f>'Evaluation Plan'!B94</x:f>
        <x:v>92</x:v>
      </x:c>
      <x:c r="C94" s="40" t="str">
        <x:f>'Evaluation Plan'!C94</x:f>
        <x:v>Place the upside-down white cup in the bowl.</x:v>
      </x:c>
      <x:c r="D94" s="40" t="str">
        <x:f>'Evaluation Plan'!D94</x:f>
        <x:v>white cup A (C, UD); white cup B (C, RU); glass spice container A (C, RU); yellow-white striped cup B (O, RU)</x:v>
      </x:c>
      <x:c r="E94" s="41" t="str">
        <x:f>'Evaluation Plan'!E94</x:f>
      </x:c>
      <x:c r="F94" s="41" t="str">
        <x:f>'Evaluation Plan'!F94</x:f>
        <x:v>35</x:v>
      </x:c>
      <x:c r="G94" s="40" t="str">
        <x:f>'Evaluation Plan'!G94</x:f>
        <x:v>Physical-state and manipulation-trajectory reference under a direct category prompt; the evaluated state word × object-category cell is intentionally absent from training.</x:v>
      </x:c>
      <x:c r="H94" s="40" t="str">
        <x:f>'Evaluation Plan'!H94</x:f>
        <x:v>white cup A</x:v>
      </x:c>
      <x:c r="I94" s="40" t="str"/>
      <x:c r="J94" s="45" t="str">
        <x:f>'Evaluation Plan'!J94</x:f>
        <x:v>Concept/compositional transfer</x:v>
      </x:c>
      <x:c r="K94" s="41" t="str">
        <x:f>'Evaluation Plan'!K94</x:f>
        <x:v>SR-CT33</x:v>
      </x:c>
      <x:c r="L94" s="41" t="str">
        <x:f>'Evaluation Plan'!L94</x:f>
        <x:v>UD</x:v>
      </x:c>
      <x:c r="M94" s="41" t="str">
        <x:f>'Evaluation Plan'!M94</x:f>
        <x:v>white cup</x:v>
      </x:c>
      <x:c r="N94" s="41" t="n">
        <x:f>'Evaluation Plan'!N94</x:f>
        <x:v>4</x:v>
      </x:c>
      <x:c r="O94" s="41" t="n">
        <x:f>'Evaluation Plan'!O94</x:f>
        <x:v>1</x:v>
      </x:c>
      <x:c r="P94" s="41" t="str">
        <x:f>'Evaluation Plan'!P94</x:f>
        <x:v>Empty</x:v>
      </x:c>
      <x:c r="Q94" s="40" t="str">
        <x:f>'Evaluation Plan'!Q94</x:f>
        <x:v>Primary held-out state-object composition</x:v>
      </x:c>
      <x:c r="R94" s="41" t="n">
        <x:f>'Evaluation Plan'!R94</x:f>
        <x:v>4</x:v>
      </x:c>
      <x:c r="S94" s="40" t="str">
        <x:f>'Evaluation Plan'!S94</x:f>
        <x:v>Build the listed same-category discrimination scene with the bowl empty.</x:v>
      </x:c>
      <x:c r="T94" s="40" t="str">
        <x:f>'Evaluation Plan'!T94</x:f>
        <x:v>Two same-category candidates share the non-queried state axis; only the held-out state word identifies the target.</x:v>
      </x:c>
      <x:c r="U94" s="40" t="n">
        <x:f>'Evaluation Plan'!U94</x:f>
        <x:v>0</x:v>
      </x:c>
    </x:row>
    <x:row r="95" ht="51" customHeight="1">
      <x:c r="A95" s="43" t="str">
        <x:v>Not collected</x:v>
      </x:c>
      <x:c r="B95" s="44" t="n">
        <x:f>'Evaluation Plan'!B95</x:f>
        <x:v>93</x:v>
      </x:c>
      <x:c r="C95" s="43" t="str">
        <x:f>'Evaluation Plan'!C95</x:f>
        <x:v>Place the open yellow-white striped cup in the bowl.</x:v>
      </x:c>
      <x:c r="D95" s="43" t="str">
        <x:f>'Evaluation Plan'!D95</x:f>
        <x:v>yellow-white striped cup B (O, RU); yellow-white striped cup A (C, RU)</x:v>
      </x:c>
      <x:c r="E95" s="44" t="str">
        <x:f>'Evaluation Plan'!E95</x:f>
      </x:c>
      <x:c r="F95" s="44" t="str">
        <x:f>'Evaluation Plan'!F95</x:f>
        <x:v>71</x:v>
      </x:c>
      <x:c r="G95" s="43" t="str">
        <x:f>'Evaluation Plan'!G95</x:f>
        <x:v>Physical-state and manipulation-trajectory reference under a direct category prompt; the evaluated state word × object-category cell is intentionally absent from training.</x:v>
      </x:c>
      <x:c r="H95" s="43" t="str">
        <x:f>'Evaluation Plan'!H95</x:f>
        <x:v>yellow-white striped cup B</x:v>
      </x:c>
      <x:c r="I95" s="43" t="str"/>
      <x:c r="J95" s="45" t="str">
        <x:f>'Evaluation Plan'!J95</x:f>
        <x:v>Concept/compositional transfer</x:v>
      </x:c>
      <x:c r="K95" s="44" t="str">
        <x:f>'Evaluation Plan'!K95</x:f>
        <x:v>SR-CT34</x:v>
      </x:c>
      <x:c r="L95" s="44" t="str">
        <x:f>'Evaluation Plan'!L95</x:f>
        <x:v>O</x:v>
      </x:c>
      <x:c r="M95" s="44" t="str">
        <x:f>'Evaluation Plan'!M95</x:f>
        <x:v>yellow-white striped cup</x:v>
      </x:c>
      <x:c r="N95" s="44" t="n">
        <x:f>'Evaluation Plan'!N95</x:f>
        <x:v>2</x:v>
      </x:c>
      <x:c r="O95" s="44" t="n">
        <x:f>'Evaluation Plan'!O95</x:f>
        <x:v>1</x:v>
      </x:c>
      <x:c r="P95" s="44" t="str">
        <x:f>'Evaluation Plan'!P95</x:f>
        <x:v>Empty</x:v>
      </x:c>
      <x:c r="Q95" s="43" t="str">
        <x:f>'Evaluation Plan'!Q95</x:f>
        <x:v>Primary held-out state-object composition</x:v>
      </x:c>
      <x:c r="R95" s="44" t="n">
        <x:f>'Evaluation Plan'!R95</x:f>
        <x:v>4</x:v>
      </x:c>
      <x:c r="S95" s="43" t="str">
        <x:f>'Evaluation Plan'!S95</x:f>
        <x:v>Build the listed same-category discrimination scene with the bowl empty.</x:v>
      </x:c>
      <x:c r="T95" s="43" t="str">
        <x:f>'Evaluation Plan'!T95</x:f>
        <x:v>Two same-category candidates share the non-queried state axis; only the held-out state word identifies the target.</x:v>
      </x:c>
      <x:c r="U95" s="43" t="n">
        <x:f>'Evaluation Plan'!U95</x:f>
        <x:v>0</x:v>
      </x:c>
    </x:row>
    <x:row r="96" ht="51" customHeight="1">
      <x:c r="A96" s="40" t="str">
        <x:v>Not collected</x:v>
      </x:c>
      <x:c r="B96" s="41" t="n">
        <x:f>'Evaluation Plan'!B96</x:f>
        <x:v>94</x:v>
      </x:c>
      <x:c r="C96" s="40" t="str">
        <x:f>'Evaluation Plan'!C96</x:f>
        <x:v>Place the closed brown cup in the bowl.</x:v>
      </x:c>
      <x:c r="D96" s="40" t="str">
        <x:f>'Evaluation Plan'!D96</x:f>
        <x:v>brown cup A (C, RU); brown cup B (O, RU); yellow-white striped cup A (C, UD)</x:v>
      </x:c>
      <x:c r="E96" s="41" t="str">
        <x:f>'Evaluation Plan'!E96</x:f>
      </x:c>
      <x:c r="F96" s="41" t="str">
        <x:f>'Evaluation Plan'!F96</x:f>
        <x:v>100</x:v>
      </x:c>
      <x:c r="G96" s="40" t="str">
        <x:f>'Evaluation Plan'!G96</x:f>
        <x:v>Physical-state and manipulation-trajectory reference under a direct category prompt; the evaluated state word × object-category cell is intentionally absent from training.</x:v>
      </x:c>
      <x:c r="H96" s="40" t="str">
        <x:f>'Evaluation Plan'!H96</x:f>
        <x:v>brown cup A</x:v>
      </x:c>
      <x:c r="I96" s="40" t="str"/>
      <x:c r="J96" s="45" t="str">
        <x:f>'Evaluation Plan'!J96</x:f>
        <x:v>Concept/compositional transfer</x:v>
      </x:c>
      <x:c r="K96" s="41" t="str">
        <x:f>'Evaluation Plan'!K96</x:f>
        <x:v>SR-CT35</x:v>
      </x:c>
      <x:c r="L96" s="41" t="str">
        <x:f>'Evaluation Plan'!L96</x:f>
        <x:v>C</x:v>
      </x:c>
      <x:c r="M96" s="41" t="str">
        <x:f>'Evaluation Plan'!M96</x:f>
        <x:v>brown cup</x:v>
      </x:c>
      <x:c r="N96" s="41" t="n">
        <x:f>'Evaluation Plan'!N96</x:f>
        <x:v>3</x:v>
      </x:c>
      <x:c r="O96" s="41" t="n">
        <x:f>'Evaluation Plan'!O96</x:f>
        <x:v>1</x:v>
      </x:c>
      <x:c r="P96" s="41" t="str">
        <x:f>'Evaluation Plan'!P96</x:f>
        <x:v>Empty</x:v>
      </x:c>
      <x:c r="Q96" s="40" t="str">
        <x:f>'Evaluation Plan'!Q96</x:f>
        <x:v>Primary held-out state-object composition</x:v>
      </x:c>
      <x:c r="R96" s="41" t="n">
        <x:f>'Evaluation Plan'!R96</x:f>
        <x:v>4</x:v>
      </x:c>
      <x:c r="S96" s="40" t="str">
        <x:f>'Evaluation Plan'!S96</x:f>
        <x:v>Build the listed same-category discrimination scene with the bowl empty.</x:v>
      </x:c>
      <x:c r="T96" s="40" t="str">
        <x:f>'Evaluation Plan'!T96</x:f>
        <x:v>Two same-category candidates share the non-queried state axis; only the held-out state word identifies the target.</x:v>
      </x:c>
      <x:c r="U96" s="40" t="n">
        <x:f>'Evaluation Plan'!U96</x:f>
        <x:v>0</x:v>
      </x:c>
    </x:row>
    <x:row r="97" ht="51" customHeight="1">
      <x:c r="A97" s="43" t="str">
        <x:v>Not collected</x:v>
      </x:c>
      <x:c r="B97" s="44" t="n">
        <x:f>'Evaluation Plan'!B97</x:f>
        <x:v>95</x:v>
      </x:c>
      <x:c r="C97" s="43" t="str">
        <x:f>'Evaluation Plan'!C97</x:f>
        <x:v>Place the upright glass spice container in the bowl.</x:v>
      </x:c>
      <x:c r="D97" s="43" t="str">
        <x:f>'Evaluation Plan'!D97</x:f>
        <x:v>glass spice container B (C, RU); glass spice container A (C, UD); brown cup B (O, UD); white cup A (C, RU)</x:v>
      </x:c>
      <x:c r="E97" s="44" t="str">
        <x:f>'Evaluation Plan'!E97</x:f>
      </x:c>
      <x:c r="F97" s="44" t="str">
        <x:f>'Evaluation Plan'!F97</x:f>
        <x:v>169</x:v>
      </x:c>
      <x:c r="G97" s="43" t="str">
        <x:f>'Evaluation Plan'!G97</x:f>
        <x:v>Physical-state and manipulation-trajectory reference under a direct category prompt; the evaluated state word × object-category cell is intentionally absent from training.</x:v>
      </x:c>
      <x:c r="H97" s="43" t="str">
        <x:f>'Evaluation Plan'!H97</x:f>
        <x:v>glass spice container B</x:v>
      </x:c>
      <x:c r="I97" s="43" t="str"/>
      <x:c r="J97" s="45" t="str">
        <x:f>'Evaluation Plan'!J97</x:f>
        <x:v>Concept/compositional transfer</x:v>
      </x:c>
      <x:c r="K97" s="44" t="str">
        <x:f>'Evaluation Plan'!K97</x:f>
        <x:v>SR-CT36</x:v>
      </x:c>
      <x:c r="L97" s="44" t="str">
        <x:f>'Evaluation Plan'!L97</x:f>
        <x:v>RU</x:v>
      </x:c>
      <x:c r="M97" s="44" t="str">
        <x:f>'Evaluation Plan'!M97</x:f>
        <x:v>glass spice container</x:v>
      </x:c>
      <x:c r="N97" s="44" t="n">
        <x:f>'Evaluation Plan'!N97</x:f>
        <x:v>4</x:v>
      </x:c>
      <x:c r="O97" s="44" t="n">
        <x:f>'Evaluation Plan'!O97</x:f>
        <x:v>1</x:v>
      </x:c>
      <x:c r="P97" s="44" t="str">
        <x:f>'Evaluation Plan'!P97</x:f>
        <x:v>Empty</x:v>
      </x:c>
      <x:c r="Q97" s="43" t="str">
        <x:f>'Evaluation Plan'!Q97</x:f>
        <x:v>Primary held-out state-object composition</x:v>
      </x:c>
      <x:c r="R97" s="44" t="n">
        <x:f>'Evaluation Plan'!R97</x:f>
        <x:v>4</x:v>
      </x:c>
      <x:c r="S97" s="43" t="str">
        <x:f>'Evaluation Plan'!S97</x:f>
        <x:v>Build the listed same-category discrimination scene with the bowl empty.</x:v>
      </x:c>
      <x:c r="T97" s="43" t="str">
        <x:f>'Evaluation Plan'!T97</x:f>
        <x:v>Two same-category candidates share the non-queried state axis; only the held-out state word identifies the target.</x:v>
      </x:c>
      <x:c r="U97" s="43" t="n">
        <x:f>'Evaluation Plan'!U97</x:f>
        <x:v>0</x:v>
      </x:c>
    </x:row>
    <x:row r="98" ht="51" customHeight="1">
      <x:c r="A98" s="40" t="str">
        <x:v>Not collected</x:v>
      </x:c>
      <x:c r="B98" s="41" t="n">
        <x:f>'Evaluation Plan'!B98</x:f>
        <x:v>96</x:v>
      </x:c>
      <x:c r="C98" s="40" t="str">
        <x:f>'Evaluation Plan'!C98</x:f>
        <x:v>Place the upside-down white cup in the bowl.</x:v>
      </x:c>
      <x:c r="D98" s="40" t="str">
        <x:f>'Evaluation Plan'!D98</x:f>
        <x:v>white cup A (O, UD); white cup B (O, RU)</x:v>
      </x:c>
      <x:c r="E98" s="41" t="str">
        <x:f>'Evaluation Plan'!E98</x:f>
      </x:c>
      <x:c r="F98" s="41" t="str">
        <x:f>'Evaluation Plan'!F98</x:f>
        <x:v>30</x:v>
      </x:c>
      <x:c r="G98" s="40" t="str">
        <x:f>'Evaluation Plan'!G98</x:f>
        <x:v>Physical-state and manipulation-trajectory reference under a direct category prompt; the evaluated state word × object-category cell is intentionally absent from training.</x:v>
      </x:c>
      <x:c r="H98" s="40" t="str">
        <x:f>'Evaluation Plan'!H98</x:f>
        <x:v>white cup A</x:v>
      </x:c>
      <x:c r="I98" s="40" t="str"/>
      <x:c r="J98" s="45" t="str">
        <x:f>'Evaluation Plan'!J98</x:f>
        <x:v>Concept/compositional transfer</x:v>
      </x:c>
      <x:c r="K98" s="41" t="str">
        <x:f>'Evaluation Plan'!K98</x:f>
        <x:v>SR-CT37</x:v>
      </x:c>
      <x:c r="L98" s="41" t="str">
        <x:f>'Evaluation Plan'!L98</x:f>
        <x:v>UD</x:v>
      </x:c>
      <x:c r="M98" s="41" t="str">
        <x:f>'Evaluation Plan'!M98</x:f>
        <x:v>white cup</x:v>
      </x:c>
      <x:c r="N98" s="41" t="n">
        <x:f>'Evaluation Plan'!N98</x:f>
        <x:v>2</x:v>
      </x:c>
      <x:c r="O98" s="41" t="n">
        <x:f>'Evaluation Plan'!O98</x:f>
        <x:v>1</x:v>
      </x:c>
      <x:c r="P98" s="41" t="str">
        <x:f>'Evaluation Plan'!P98</x:f>
        <x:v>Empty</x:v>
      </x:c>
      <x:c r="Q98" s="40" t="str">
        <x:f>'Evaluation Plan'!Q98</x:f>
        <x:v>Primary held-out state-object composition</x:v>
      </x:c>
      <x:c r="R98" s="41" t="n">
        <x:f>'Evaluation Plan'!R98</x:f>
        <x:v>4</x:v>
      </x:c>
      <x:c r="S98" s="40" t="str">
        <x:f>'Evaluation Plan'!S98</x:f>
        <x:v>Build the listed same-category discrimination scene with the bowl empty.</x:v>
      </x:c>
      <x:c r="T98" s="40" t="str">
        <x:f>'Evaluation Plan'!T98</x:f>
        <x:v>Two same-category candidates share the non-queried state axis; only the held-out state word identifies the target.</x:v>
      </x:c>
      <x:c r="U98" s="40" t="n">
        <x:f>'Evaluation Plan'!U98</x:f>
        <x:v>0</x:v>
      </x:c>
    </x:row>
    <x:row r="99" ht="51" customHeight="1">
      <x:c r="A99" s="43" t="str">
        <x:v>Not collected</x:v>
      </x:c>
      <x:c r="B99" s="44" t="n">
        <x:f>'Evaluation Plan'!B99</x:f>
        <x:v>97</x:v>
      </x:c>
      <x:c r="C99" s="43" t="str">
        <x:f>'Evaluation Plan'!C99</x:f>
        <x:v>Place the open yellow-white striped cup in the bowl.</x:v>
      </x:c>
      <x:c r="D99" s="43" t="str">
        <x:f>'Evaluation Plan'!D99</x:f>
        <x:v>yellow-white striped cup B (O, UD); yellow-white striped cup A (C, UD); brown cup B (O, RU)</x:v>
      </x:c>
      <x:c r="E99" s="44" t="str">
        <x:f>'Evaluation Plan'!E99</x:f>
      </x:c>
      <x:c r="F99" s="44" t="str">
        <x:f>'Evaluation Plan'!F99</x:f>
        <x:v>53</x:v>
      </x:c>
      <x:c r="G99" s="43" t="str">
        <x:f>'Evaluation Plan'!G99</x:f>
        <x:v>Physical-state and manipulation-trajectory reference under a direct category prompt; the evaluated state word × object-category cell is intentionally absent from training.</x:v>
      </x:c>
      <x:c r="H99" s="43" t="str">
        <x:f>'Evaluation Plan'!H99</x:f>
        <x:v>yellow-white striped cup B</x:v>
      </x:c>
      <x:c r="I99" s="43" t="str"/>
      <x:c r="J99" s="45" t="str">
        <x:f>'Evaluation Plan'!J99</x:f>
        <x:v>Concept/compositional transfer</x:v>
      </x:c>
      <x:c r="K99" s="44" t="str">
        <x:f>'Evaluation Plan'!K99</x:f>
        <x:v>SR-CT38</x:v>
      </x:c>
      <x:c r="L99" s="44" t="str">
        <x:f>'Evaluation Plan'!L99</x:f>
        <x:v>O</x:v>
      </x:c>
      <x:c r="M99" s="44" t="str">
        <x:f>'Evaluation Plan'!M99</x:f>
        <x:v>yellow-white striped cup</x:v>
      </x:c>
      <x:c r="N99" s="44" t="n">
        <x:f>'Evaluation Plan'!N99</x:f>
        <x:v>3</x:v>
      </x:c>
      <x:c r="O99" s="44" t="n">
        <x:f>'Evaluation Plan'!O99</x:f>
        <x:v>1</x:v>
      </x:c>
      <x:c r="P99" s="44" t="str">
        <x:f>'Evaluation Plan'!P99</x:f>
        <x:v>Empty</x:v>
      </x:c>
      <x:c r="Q99" s="43" t="str">
        <x:f>'Evaluation Plan'!Q99</x:f>
        <x:v>Primary held-out state-object composition</x:v>
      </x:c>
      <x:c r="R99" s="44" t="n">
        <x:f>'Evaluation Plan'!R99</x:f>
        <x:v>4</x:v>
      </x:c>
      <x:c r="S99" s="43" t="str">
        <x:f>'Evaluation Plan'!S99</x:f>
        <x:v>Build the listed same-category discrimination scene with the bowl empty.</x:v>
      </x:c>
      <x:c r="T99" s="43" t="str">
        <x:f>'Evaluation Plan'!T99</x:f>
        <x:v>Two same-category candidates share the non-queried state axis; only the held-out state word identifies the target.</x:v>
      </x:c>
      <x:c r="U99" s="43" t="n">
        <x:f>'Evaluation Plan'!U99</x:f>
        <x:v>0</x:v>
      </x:c>
    </x:row>
    <x:row r="100" ht="51" customHeight="1">
      <x:c r="A100" s="40" t="str">
        <x:v>Not collected</x:v>
      </x:c>
      <x:c r="B100" s="41" t="n">
        <x:f>'Evaluation Plan'!B100</x:f>
        <x:v>98</x:v>
      </x:c>
      <x:c r="C100" s="40" t="str">
        <x:f>'Evaluation Plan'!C100</x:f>
        <x:v>Place the closed brown cup in the bowl.</x:v>
      </x:c>
      <x:c r="D100" s="40" t="str">
        <x:f>'Evaluation Plan'!D100</x:f>
        <x:v>brown cup A (C, UD); brown cup B (O, UD); glass spice container A (C, UD); white cup B (O, UD)</x:v>
      </x:c>
      <x:c r="E100" s="41" t="str">
        <x:f>'Evaluation Plan'!E100</x:f>
      </x:c>
      <x:c r="F100" s="41" t="str">
        <x:f>'Evaluation Plan'!F100</x:f>
        <x:v>107</x:v>
      </x:c>
      <x:c r="G100" s="40" t="str">
        <x:f>'Evaluation Plan'!G100</x:f>
        <x:v>Physical-state and manipulation-trajectory reference under a direct category prompt; the evaluated state word × object-category cell is intentionally absent from training.</x:v>
      </x:c>
      <x:c r="H100" s="40" t="str">
        <x:f>'Evaluation Plan'!H100</x:f>
        <x:v>brown cup A</x:v>
      </x:c>
      <x:c r="I100" s="40" t="str"/>
      <x:c r="J100" s="45" t="str">
        <x:f>'Evaluation Plan'!J100</x:f>
        <x:v>Concept/compositional transfer</x:v>
      </x:c>
      <x:c r="K100" s="41" t="str">
        <x:f>'Evaluation Plan'!K100</x:f>
        <x:v>SR-CT39</x:v>
      </x:c>
      <x:c r="L100" s="41" t="str">
        <x:f>'Evaluation Plan'!L100</x:f>
        <x:v>C</x:v>
      </x:c>
      <x:c r="M100" s="41" t="str">
        <x:f>'Evaluation Plan'!M100</x:f>
        <x:v>brown cup</x:v>
      </x:c>
      <x:c r="N100" s="41" t="n">
        <x:f>'Evaluation Plan'!N100</x:f>
        <x:v>4</x:v>
      </x:c>
      <x:c r="O100" s="41" t="n">
        <x:f>'Evaluation Plan'!O100</x:f>
        <x:v>1</x:v>
      </x:c>
      <x:c r="P100" s="41" t="str">
        <x:f>'Evaluation Plan'!P100</x:f>
        <x:v>Empty</x:v>
      </x:c>
      <x:c r="Q100" s="40" t="str">
        <x:f>'Evaluation Plan'!Q100</x:f>
        <x:v>Primary held-out state-object composition</x:v>
      </x:c>
      <x:c r="R100" s="41" t="n">
        <x:f>'Evaluation Plan'!R100</x:f>
        <x:v>4</x:v>
      </x:c>
      <x:c r="S100" s="40" t="str">
        <x:f>'Evaluation Plan'!S100</x:f>
        <x:v>Build the listed same-category discrimination scene with the bowl empty.</x:v>
      </x:c>
      <x:c r="T100" s="40" t="str">
        <x:f>'Evaluation Plan'!T100</x:f>
        <x:v>Two same-category candidates share the non-queried state axis; only the held-out state word identifies the target.</x:v>
      </x:c>
      <x:c r="U100" s="40" t="n">
        <x:f>'Evaluation Plan'!U100</x:f>
        <x:v>0</x:v>
      </x:c>
    </x:row>
    <x:row r="101" ht="51" customHeight="1">
      <x:c r="A101" s="43" t="str">
        <x:v>Not collected</x:v>
      </x:c>
      <x:c r="B101" s="44" t="n">
        <x:f>'Evaluation Plan'!B101</x:f>
        <x:v>99</x:v>
      </x:c>
      <x:c r="C101" s="43" t="str">
        <x:f>'Evaluation Plan'!C101</x:f>
        <x:v>Place the upright glass spice container in the bowl.</x:v>
      </x:c>
      <x:c r="D101" s="43" t="str">
        <x:f>'Evaluation Plan'!D101</x:f>
        <x:v>glass spice container B (O, RU); glass spice container A (O, UD)</x:v>
      </x:c>
      <x:c r="E101" s="44" t="str">
        <x:f>'Evaluation Plan'!E101</x:f>
      </x:c>
      <x:c r="F101" s="44" t="str">
        <x:f>'Evaluation Plan'!F101</x:f>
        <x:v>153</x:v>
      </x:c>
      <x:c r="G101" s="43" t="str">
        <x:f>'Evaluation Plan'!G101</x:f>
        <x:v>Physical-state and manipulation-trajectory reference under a direct category prompt; the evaluated state word × object-category cell is intentionally absent from training.</x:v>
      </x:c>
      <x:c r="H101" s="43" t="str">
        <x:f>'Evaluation Plan'!H101</x:f>
        <x:v>glass spice container B</x:v>
      </x:c>
      <x:c r="I101" s="43" t="str"/>
      <x:c r="J101" s="45" t="str">
        <x:f>'Evaluation Plan'!J101</x:f>
        <x:v>Concept/compositional transfer</x:v>
      </x:c>
      <x:c r="K101" s="44" t="str">
        <x:f>'Evaluation Plan'!K101</x:f>
        <x:v>SR-CT40</x:v>
      </x:c>
      <x:c r="L101" s="44" t="str">
        <x:f>'Evaluation Plan'!L101</x:f>
        <x:v>RU</x:v>
      </x:c>
      <x:c r="M101" s="44" t="str">
        <x:f>'Evaluation Plan'!M101</x:f>
        <x:v>glass spice container</x:v>
      </x:c>
      <x:c r="N101" s="44" t="n">
        <x:f>'Evaluation Plan'!N101</x:f>
        <x:v>2</x:v>
      </x:c>
      <x:c r="O101" s="44" t="n">
        <x:f>'Evaluation Plan'!O101</x:f>
        <x:v>1</x:v>
      </x:c>
      <x:c r="P101" s="44" t="str">
        <x:f>'Evaluation Plan'!P101</x:f>
        <x:v>Empty</x:v>
      </x:c>
      <x:c r="Q101" s="43" t="str">
        <x:f>'Evaluation Plan'!Q101</x:f>
        <x:v>Primary held-out state-object composition</x:v>
      </x:c>
      <x:c r="R101" s="44" t="n">
        <x:f>'Evaluation Plan'!R101</x:f>
        <x:v>4</x:v>
      </x:c>
      <x:c r="S101" s="43" t="str">
        <x:f>'Evaluation Plan'!S101</x:f>
        <x:v>Build the listed same-category discrimination scene with the bowl empty.</x:v>
      </x:c>
      <x:c r="T101" s="43" t="str">
        <x:f>'Evaluation Plan'!T101</x:f>
        <x:v>Two same-category candidates share the non-queried state axis; only the held-out state word identifies the target.</x:v>
      </x:c>
      <x:c r="U101" s="43" t="n">
        <x:f>'Evaluation Plan'!U101</x:f>
        <x:v>0</x:v>
      </x:c>
    </x:row>
    <x:row r="102" ht="51" customHeight="1">
      <x:c r="A102" s="40" t="str">
        <x:v>Not collected</x:v>
      </x:c>
      <x:c r="B102" s="41" t="n">
        <x:f>'Evaluation Plan'!B102</x:f>
        <x:v>100</x:v>
      </x:c>
      <x:c r="C102" s="40" t="str">
        <x:f>'Evaluation Plan'!C102</x:f>
        <x:v>Place the upside-down white cup in the bowl.</x:v>
      </x:c>
      <x:c r="D102" s="40" t="str">
        <x:f>'Evaluation Plan'!D102</x:f>
        <x:v>white cup A (C, UD); white cup B (C, RU); brown cup A (C, RU)</x:v>
      </x:c>
      <x:c r="E102" s="41" t="str">
        <x:f>'Evaluation Plan'!E102</x:f>
      </x:c>
      <x:c r="F102" s="41" t="str">
        <x:f>'Evaluation Plan'!F102</x:f>
        <x:v>39</x:v>
      </x:c>
      <x:c r="G102" s="40" t="str">
        <x:f>'Evaluation Plan'!G102</x:f>
        <x:v>Physical-state and manipulation-trajectory reference under a direct category prompt; the evaluated state word × object-category cell is intentionally absent from training.</x:v>
      </x:c>
      <x:c r="H102" s="40" t="str">
        <x:f>'Evaluation Plan'!H102</x:f>
        <x:v>white cup A</x:v>
      </x:c>
      <x:c r="I102" s="40" t="str"/>
      <x:c r="J102" s="45" t="str">
        <x:f>'Evaluation Plan'!J102</x:f>
        <x:v>Concept/compositional transfer</x:v>
      </x:c>
      <x:c r="K102" s="41" t="str">
        <x:f>'Evaluation Plan'!K102</x:f>
        <x:v>SR-CT41</x:v>
      </x:c>
      <x:c r="L102" s="41" t="str">
        <x:f>'Evaluation Plan'!L102</x:f>
        <x:v>UD</x:v>
      </x:c>
      <x:c r="M102" s="41" t="str">
        <x:f>'Evaluation Plan'!M102</x:f>
        <x:v>white cup</x:v>
      </x:c>
      <x:c r="N102" s="41" t="n">
        <x:f>'Evaluation Plan'!N102</x:f>
        <x:v>3</x:v>
      </x:c>
      <x:c r="O102" s="41" t="n">
        <x:f>'Evaluation Plan'!O102</x:f>
        <x:v>1</x:v>
      </x:c>
      <x:c r="P102" s="41" t="str">
        <x:f>'Evaluation Plan'!P102</x:f>
        <x:v>Empty</x:v>
      </x:c>
      <x:c r="Q102" s="40" t="str">
        <x:f>'Evaluation Plan'!Q102</x:f>
        <x:v>Primary held-out state-object composition</x:v>
      </x:c>
      <x:c r="R102" s="41" t="n">
        <x:f>'Evaluation Plan'!R102</x:f>
        <x:v>4</x:v>
      </x:c>
      <x:c r="S102" s="40" t="str">
        <x:f>'Evaluation Plan'!S102</x:f>
        <x:v>Build the listed same-category discrimination scene with the bowl empty.</x:v>
      </x:c>
      <x:c r="T102" s="40" t="str">
        <x:f>'Evaluation Plan'!T102</x:f>
        <x:v>Two same-category candidates share the non-queried state axis; only the held-out state word identifies the target.</x:v>
      </x:c>
      <x:c r="U102" s="40" t="n">
        <x:f>'Evaluation Plan'!U102</x:f>
        <x:v>0</x:v>
      </x:c>
    </x:row>
    <x:row r="103" ht="51" customHeight="1">
      <x:c r="A103" s="43" t="str">
        <x:v>Not collected</x:v>
      </x:c>
      <x:c r="B103" s="44" t="n">
        <x:f>'Evaluation Plan'!B103</x:f>
        <x:v>101</x:v>
      </x:c>
      <x:c r="C103" s="43" t="str">
        <x:f>'Evaluation Plan'!C103</x:f>
        <x:v>Place the open yellow-white striped cup in the bowl.</x:v>
      </x:c>
      <x:c r="D103" s="43" t="str">
        <x:f>'Evaluation Plan'!D103</x:f>
        <x:v>yellow-white striped cup B (O, RU); yellow-white striped cup A (C, RU); glass spice container B (O, RU); white cup A (C, UD)</x:v>
      </x:c>
      <x:c r="E103" s="44" t="str">
        <x:f>'Evaluation Plan'!E103</x:f>
      </x:c>
      <x:c r="F103" s="44" t="str">
        <x:f>'Evaluation Plan'!F103</x:f>
        <x:v>72</x:v>
      </x:c>
      <x:c r="G103" s="43" t="str">
        <x:f>'Evaluation Plan'!G103</x:f>
        <x:v>Physical-state and manipulation-trajectory reference under a direct category prompt; the evaluated state word × object-category cell is intentionally absent from training.</x:v>
      </x:c>
      <x:c r="H103" s="43" t="str">
        <x:f>'Evaluation Plan'!H103</x:f>
        <x:v>yellow-white striped cup B</x:v>
      </x:c>
      <x:c r="I103" s="43" t="str"/>
      <x:c r="J103" s="45" t="str">
        <x:f>'Evaluation Plan'!J103</x:f>
        <x:v>Concept/compositional transfer</x:v>
      </x:c>
      <x:c r="K103" s="44" t="str">
        <x:f>'Evaluation Plan'!K103</x:f>
        <x:v>SR-CT42</x:v>
      </x:c>
      <x:c r="L103" s="44" t="str">
        <x:f>'Evaluation Plan'!L103</x:f>
        <x:v>O</x:v>
      </x:c>
      <x:c r="M103" s="44" t="str">
        <x:f>'Evaluation Plan'!M103</x:f>
        <x:v>yellow-white striped cup</x:v>
      </x:c>
      <x:c r="N103" s="44" t="n">
        <x:f>'Evaluation Plan'!N103</x:f>
        <x:v>4</x:v>
      </x:c>
      <x:c r="O103" s="44" t="n">
        <x:f>'Evaluation Plan'!O103</x:f>
        <x:v>1</x:v>
      </x:c>
      <x:c r="P103" s="44" t="str">
        <x:f>'Evaluation Plan'!P103</x:f>
        <x:v>Empty</x:v>
      </x:c>
      <x:c r="Q103" s="43" t="str">
        <x:f>'Evaluation Plan'!Q103</x:f>
        <x:v>Primary held-out state-object composition</x:v>
      </x:c>
      <x:c r="R103" s="44" t="n">
        <x:f>'Evaluation Plan'!R103</x:f>
        <x:v>4</x:v>
      </x:c>
      <x:c r="S103" s="43" t="str">
        <x:f>'Evaluation Plan'!S103</x:f>
        <x:v>Build the listed same-category discrimination scene with the bowl empty.</x:v>
      </x:c>
      <x:c r="T103" s="43" t="str">
        <x:f>'Evaluation Plan'!T103</x:f>
        <x:v>Two same-category candidates share the non-queried state axis; only the held-out state word identifies the target.</x:v>
      </x:c>
      <x:c r="U103" s="43" t="n">
        <x:f>'Evaluation Plan'!U103</x:f>
        <x:v>0</x:v>
      </x:c>
    </x:row>
    <x:row r="104" ht="51" customHeight="1">
      <x:c r="A104" s="40" t="str">
        <x:v>Not collected</x:v>
      </x:c>
      <x:c r="B104" s="41" t="n">
        <x:f>'Evaluation Plan'!B104</x:f>
        <x:v>102</x:v>
      </x:c>
      <x:c r="C104" s="40" t="str">
        <x:f>'Evaluation Plan'!C104</x:f>
        <x:v>Place the closed brown cup in the bowl.</x:v>
      </x:c>
      <x:c r="D104" s="40" t="str">
        <x:f>'Evaluation Plan'!D104</x:f>
        <x:v>brown cup A (C, RU); brown cup B (O, RU)</x:v>
      </x:c>
      <x:c r="E104" s="41" t="str">
        <x:f>'Evaluation Plan'!E104</x:f>
      </x:c>
      <x:c r="F104" s="41" t="str">
        <x:f>'Evaluation Plan'!F104</x:f>
        <x:v>102</x:v>
      </x:c>
      <x:c r="G104" s="40" t="str">
        <x:f>'Evaluation Plan'!G104</x:f>
        <x:v>Physical-state and manipulation-trajectory reference under a direct category prompt; the evaluated state word × object-category cell is intentionally absent from training.</x:v>
      </x:c>
      <x:c r="H104" s="40" t="str">
        <x:f>'Evaluation Plan'!H104</x:f>
        <x:v>brown cup A</x:v>
      </x:c>
      <x:c r="I104" s="40" t="str"/>
      <x:c r="J104" s="45" t="str">
        <x:f>'Evaluation Plan'!J104</x:f>
        <x:v>Concept/compositional transfer</x:v>
      </x:c>
      <x:c r="K104" s="41" t="str">
        <x:f>'Evaluation Plan'!K104</x:f>
        <x:v>SR-CT43</x:v>
      </x:c>
      <x:c r="L104" s="41" t="str">
        <x:f>'Evaluation Plan'!L104</x:f>
        <x:v>C</x:v>
      </x:c>
      <x:c r="M104" s="41" t="str">
        <x:f>'Evaluation Plan'!M104</x:f>
        <x:v>brown cup</x:v>
      </x:c>
      <x:c r="N104" s="41" t="n">
        <x:f>'Evaluation Plan'!N104</x:f>
        <x:v>2</x:v>
      </x:c>
      <x:c r="O104" s="41" t="n">
        <x:f>'Evaluation Plan'!O104</x:f>
        <x:v>1</x:v>
      </x:c>
      <x:c r="P104" s="41" t="str">
        <x:f>'Evaluation Plan'!P104</x:f>
        <x:v>Empty</x:v>
      </x:c>
      <x:c r="Q104" s="40" t="str">
        <x:f>'Evaluation Plan'!Q104</x:f>
        <x:v>Primary held-out state-object composition</x:v>
      </x:c>
      <x:c r="R104" s="41" t="n">
        <x:f>'Evaluation Plan'!R104</x:f>
        <x:v>4</x:v>
      </x:c>
      <x:c r="S104" s="40" t="str">
        <x:f>'Evaluation Plan'!S104</x:f>
        <x:v>Build the listed same-category discrimination scene with the bowl empty.</x:v>
      </x:c>
      <x:c r="T104" s="40" t="str">
        <x:f>'Evaluation Plan'!T104</x:f>
        <x:v>Two same-category candidates share the non-queried state axis; only the held-out state word identifies the target.</x:v>
      </x:c>
      <x:c r="U104" s="40" t="n">
        <x:f>'Evaluation Plan'!U104</x:f>
        <x:v>0</x:v>
      </x:c>
    </x:row>
    <x:row r="105" ht="51" customHeight="1">
      <x:c r="A105" s="43" t="str">
        <x:v>Not collected</x:v>
      </x:c>
      <x:c r="B105" s="44" t="n">
        <x:f>'Evaluation Plan'!B105</x:f>
        <x:v>103</x:v>
      </x:c>
      <x:c r="C105" s="43" t="str">
        <x:f>'Evaluation Plan'!C105</x:f>
        <x:v>Place the upright glass spice container in the bowl.</x:v>
      </x:c>
      <x:c r="D105" s="43" t="str">
        <x:f>'Evaluation Plan'!D105</x:f>
        <x:v>glass spice container B (C, RU); glass spice container A (C, UD); yellow-white striped cup B (O, UD)</x:v>
      </x:c>
      <x:c r="E105" s="44" t="str">
        <x:f>'Evaluation Plan'!E105</x:f>
      </x:c>
      <x:c r="F105" s="44" t="str">
        <x:f>'Evaluation Plan'!F105</x:f>
        <x:v>172</x:v>
      </x:c>
      <x:c r="G105" s="43" t="str">
        <x:f>'Evaluation Plan'!G105</x:f>
        <x:v>Physical-state and manipulation-trajectory reference under a direct category prompt; the evaluated state word × object-category cell is intentionally absent from training.</x:v>
      </x:c>
      <x:c r="H105" s="43" t="str">
        <x:f>'Evaluation Plan'!H105</x:f>
        <x:v>glass spice container B</x:v>
      </x:c>
      <x:c r="I105" s="43" t="str"/>
      <x:c r="J105" s="45" t="str">
        <x:f>'Evaluation Plan'!J105</x:f>
        <x:v>Concept/compositional transfer</x:v>
      </x:c>
      <x:c r="K105" s="44" t="str">
        <x:f>'Evaluation Plan'!K105</x:f>
        <x:v>SR-CT44</x:v>
      </x:c>
      <x:c r="L105" s="44" t="str">
        <x:f>'Evaluation Plan'!L105</x:f>
        <x:v>RU</x:v>
      </x:c>
      <x:c r="M105" s="44" t="str">
        <x:f>'Evaluation Plan'!M105</x:f>
        <x:v>glass spice container</x:v>
      </x:c>
      <x:c r="N105" s="44" t="n">
        <x:f>'Evaluation Plan'!N105</x:f>
        <x:v>3</x:v>
      </x:c>
      <x:c r="O105" s="44" t="n">
        <x:f>'Evaluation Plan'!O105</x:f>
        <x:v>1</x:v>
      </x:c>
      <x:c r="P105" s="44" t="str">
        <x:f>'Evaluation Plan'!P105</x:f>
        <x:v>Empty</x:v>
      </x:c>
      <x:c r="Q105" s="43" t="str">
        <x:f>'Evaluation Plan'!Q105</x:f>
        <x:v>Primary held-out state-object composition</x:v>
      </x:c>
      <x:c r="R105" s="44" t="n">
        <x:f>'Evaluation Plan'!R105</x:f>
        <x:v>4</x:v>
      </x:c>
      <x:c r="S105" s="43" t="str">
        <x:f>'Evaluation Plan'!S105</x:f>
        <x:v>Build the listed same-category discrimination scene with the bowl empty.</x:v>
      </x:c>
      <x:c r="T105" s="43" t="str">
        <x:f>'Evaluation Plan'!T105</x:f>
        <x:v>Two same-category candidates share the non-queried state axis; only the held-out state word identifies the target.</x:v>
      </x:c>
      <x:c r="U105" s="43" t="n">
        <x:f>'Evaluation Plan'!U105</x:f>
        <x:v>0</x:v>
      </x:c>
    </x:row>
    <x:row r="106" ht="51" customHeight="1">
      <x:c r="A106" s="40" t="str">
        <x:v>Not collected</x:v>
      </x:c>
      <x:c r="B106" s="41" t="n">
        <x:f>'Evaluation Plan'!B106</x:f>
        <x:v>104</x:v>
      </x:c>
      <x:c r="C106" s="40" t="str">
        <x:f>'Evaluation Plan'!C106</x:f>
        <x:v>Place the upside-down white cup in the bowl.</x:v>
      </x:c>
      <x:c r="D106" s="40" t="str">
        <x:f>'Evaluation Plan'!D106</x:f>
        <x:v>white cup A (O, UD); white cup B (O, RU); glass spice container A (C, RU); yellow-white striped cup B (O, RU)</x:v>
      </x:c>
      <x:c r="E106" s="41" t="str">
        <x:f>'Evaluation Plan'!E106</x:f>
      </x:c>
      <x:c r="F106" s="41" t="str">
        <x:f>'Evaluation Plan'!F106</x:f>
        <x:v>32</x:v>
      </x:c>
      <x:c r="G106" s="40" t="str">
        <x:f>'Evaluation Plan'!G106</x:f>
        <x:v>Physical-state and manipulation-trajectory reference under a direct category prompt; the evaluated state word × object-category cell is intentionally absent from training.</x:v>
      </x:c>
      <x:c r="H106" s="40" t="str">
        <x:f>'Evaluation Plan'!H106</x:f>
        <x:v>white cup A</x:v>
      </x:c>
      <x:c r="I106" s="40" t="str"/>
      <x:c r="J106" s="45" t="str">
        <x:f>'Evaluation Plan'!J106</x:f>
        <x:v>Concept/compositional transfer</x:v>
      </x:c>
      <x:c r="K106" s="41" t="str">
        <x:f>'Evaluation Plan'!K106</x:f>
        <x:v>SR-CT45</x:v>
      </x:c>
      <x:c r="L106" s="41" t="str">
        <x:f>'Evaluation Plan'!L106</x:f>
        <x:v>UD</x:v>
      </x:c>
      <x:c r="M106" s="41" t="str">
        <x:f>'Evaluation Plan'!M106</x:f>
        <x:v>white cup</x:v>
      </x:c>
      <x:c r="N106" s="41" t="n">
        <x:f>'Evaluation Plan'!N106</x:f>
        <x:v>4</x:v>
      </x:c>
      <x:c r="O106" s="41" t="n">
        <x:f>'Evaluation Plan'!O106</x:f>
        <x:v>1</x:v>
      </x:c>
      <x:c r="P106" s="41" t="str">
        <x:f>'Evaluation Plan'!P106</x:f>
        <x:v>Empty</x:v>
      </x:c>
      <x:c r="Q106" s="40" t="str">
        <x:f>'Evaluation Plan'!Q106</x:f>
        <x:v>Primary held-out state-object composition</x:v>
      </x:c>
      <x:c r="R106" s="41" t="n">
        <x:f>'Evaluation Plan'!R106</x:f>
        <x:v>4</x:v>
      </x:c>
      <x:c r="S106" s="40" t="str">
        <x:f>'Evaluation Plan'!S106</x:f>
        <x:v>Build the listed same-category discrimination scene with the bowl empty.</x:v>
      </x:c>
      <x:c r="T106" s="40" t="str">
        <x:f>'Evaluation Plan'!T106</x:f>
        <x:v>Two same-category candidates share the non-queried state axis; only the held-out state word identifies the target.</x:v>
      </x:c>
      <x:c r="U106" s="40" t="n">
        <x:f>'Evaluation Plan'!U106</x:f>
        <x:v>0</x:v>
      </x:c>
    </x:row>
    <x:row r="107" ht="51" customHeight="1">
      <x:c r="A107" s="43" t="str">
        <x:v>Not collected</x:v>
      </x:c>
      <x:c r="B107" s="44" t="n">
        <x:f>'Evaluation Plan'!B107</x:f>
        <x:v>105</x:v>
      </x:c>
      <x:c r="C107" s="43" t="str">
        <x:f>'Evaluation Plan'!C107</x:f>
        <x:v>Place the open yellow-white striped cup in the bowl.</x:v>
      </x:c>
      <x:c r="D107" s="43" t="str">
        <x:f>'Evaluation Plan'!D107</x:f>
        <x:v>yellow-white striped cup B (O, UD); yellow-white striped cup A (C, UD)</x:v>
      </x:c>
      <x:c r="E107" s="44" t="str">
        <x:f>'Evaluation Plan'!E107</x:f>
      </x:c>
      <x:c r="F107" s="44" t="str">
        <x:f>'Evaluation Plan'!F107</x:f>
        <x:v>53</x:v>
      </x:c>
      <x:c r="G107" s="43" t="str">
        <x:f>'Evaluation Plan'!G107</x:f>
        <x:v>Physical-state and manipulation-trajectory reference under a direct category prompt; the evaluated state word × object-category cell is intentionally absent from training.</x:v>
      </x:c>
      <x:c r="H107" s="43" t="str">
        <x:f>'Evaluation Plan'!H107</x:f>
        <x:v>yellow-white striped cup B</x:v>
      </x:c>
      <x:c r="I107" s="43" t="str"/>
      <x:c r="J107" s="45" t="str">
        <x:f>'Evaluation Plan'!J107</x:f>
        <x:v>Concept/compositional transfer</x:v>
      </x:c>
      <x:c r="K107" s="44" t="str">
        <x:f>'Evaluation Plan'!K107</x:f>
        <x:v>SR-CT46</x:v>
      </x:c>
      <x:c r="L107" s="44" t="str">
        <x:f>'Evaluation Plan'!L107</x:f>
        <x:v>O</x:v>
      </x:c>
      <x:c r="M107" s="44" t="str">
        <x:f>'Evaluation Plan'!M107</x:f>
        <x:v>yellow-white striped cup</x:v>
      </x:c>
      <x:c r="N107" s="44" t="n">
        <x:f>'Evaluation Plan'!N107</x:f>
        <x:v>2</x:v>
      </x:c>
      <x:c r="O107" s="44" t="n">
        <x:f>'Evaluation Plan'!O107</x:f>
        <x:v>1</x:v>
      </x:c>
      <x:c r="P107" s="44" t="str">
        <x:f>'Evaluation Plan'!P107</x:f>
        <x:v>Empty</x:v>
      </x:c>
      <x:c r="Q107" s="43" t="str">
        <x:f>'Evaluation Plan'!Q107</x:f>
        <x:v>Primary held-out state-object composition</x:v>
      </x:c>
      <x:c r="R107" s="44" t="n">
        <x:f>'Evaluation Plan'!R107</x:f>
        <x:v>4</x:v>
      </x:c>
      <x:c r="S107" s="43" t="str">
        <x:f>'Evaluation Plan'!S107</x:f>
        <x:v>Build the listed same-category discrimination scene with the bowl empty.</x:v>
      </x:c>
      <x:c r="T107" s="43" t="str">
        <x:f>'Evaluation Plan'!T107</x:f>
        <x:v>Two same-category candidates share the non-queried state axis; only the held-out state word identifies the target.</x:v>
      </x:c>
      <x:c r="U107" s="43" t="n">
        <x:f>'Evaluation Plan'!U107</x:f>
        <x:v>0</x:v>
      </x:c>
    </x:row>
    <x:row r="108" ht="51" customHeight="1">
      <x:c r="A108" s="40" t="str">
        <x:v>Not collected</x:v>
      </x:c>
      <x:c r="B108" s="41" t="n">
        <x:f>'Evaluation Plan'!B108</x:f>
        <x:v>106</x:v>
      </x:c>
      <x:c r="C108" s="40" t="str">
        <x:f>'Evaluation Plan'!C108</x:f>
        <x:v>Place the closed brown cup in the bowl.</x:v>
      </x:c>
      <x:c r="D108" s="40" t="str">
        <x:f>'Evaluation Plan'!D108</x:f>
        <x:v>brown cup A (C, UD); brown cup B (O, UD); yellow-white striped cup A (C, UD)</x:v>
      </x:c>
      <x:c r="E108" s="41" t="str">
        <x:f>'Evaluation Plan'!E108</x:f>
      </x:c>
      <x:c r="F108" s="41" t="str">
        <x:f>'Evaluation Plan'!F108</x:f>
        <x:v>129</x:v>
      </x:c>
      <x:c r="G108" s="40" t="str">
        <x:f>'Evaluation Plan'!G108</x:f>
        <x:v>Physical-state and manipulation-trajectory reference under a direct category prompt; the evaluated state word × object-category cell is intentionally absent from training.</x:v>
      </x:c>
      <x:c r="H108" s="40" t="str">
        <x:f>'Evaluation Plan'!H108</x:f>
        <x:v>brown cup A</x:v>
      </x:c>
      <x:c r="I108" s="40" t="str"/>
      <x:c r="J108" s="45" t="str">
        <x:f>'Evaluation Plan'!J108</x:f>
        <x:v>Concept/compositional transfer</x:v>
      </x:c>
      <x:c r="K108" s="41" t="str">
        <x:f>'Evaluation Plan'!K108</x:f>
        <x:v>SR-CT47</x:v>
      </x:c>
      <x:c r="L108" s="41" t="str">
        <x:f>'Evaluation Plan'!L108</x:f>
        <x:v>C</x:v>
      </x:c>
      <x:c r="M108" s="41" t="str">
        <x:f>'Evaluation Plan'!M108</x:f>
        <x:v>brown cup</x:v>
      </x:c>
      <x:c r="N108" s="41" t="n">
        <x:f>'Evaluation Plan'!N108</x:f>
        <x:v>3</x:v>
      </x:c>
      <x:c r="O108" s="41" t="n">
        <x:f>'Evaluation Plan'!O108</x:f>
        <x:v>1</x:v>
      </x:c>
      <x:c r="P108" s="41" t="str">
        <x:f>'Evaluation Plan'!P108</x:f>
        <x:v>Empty</x:v>
      </x:c>
      <x:c r="Q108" s="40" t="str">
        <x:f>'Evaluation Plan'!Q108</x:f>
        <x:v>Primary held-out state-object composition</x:v>
      </x:c>
      <x:c r="R108" s="41" t="n">
        <x:f>'Evaluation Plan'!R108</x:f>
        <x:v>4</x:v>
      </x:c>
      <x:c r="S108" s="40" t="str">
        <x:f>'Evaluation Plan'!S108</x:f>
        <x:v>Build the listed same-category discrimination scene with the bowl empty.</x:v>
      </x:c>
      <x:c r="T108" s="40" t="str">
        <x:f>'Evaluation Plan'!T108</x:f>
        <x:v>Two same-category candidates share the non-queried state axis; only the held-out state word identifies the target.</x:v>
      </x:c>
      <x:c r="U108" s="40" t="n">
        <x:f>'Evaluation Plan'!U108</x:f>
        <x:v>0</x:v>
      </x:c>
    </x:row>
    <x:row r="109" ht="51" customHeight="1">
      <x:c r="A109" s="43" t="str">
        <x:v>Not collected</x:v>
      </x:c>
      <x:c r="B109" s="44" t="n">
        <x:f>'Evaluation Plan'!B109</x:f>
        <x:v>107</x:v>
      </x:c>
      <x:c r="C109" s="43" t="str">
        <x:f>'Evaluation Plan'!C109</x:f>
        <x:v>Place the upright glass spice container in the bowl.</x:v>
      </x:c>
      <x:c r="D109" s="43" t="str">
        <x:f>'Evaluation Plan'!D109</x:f>
        <x:v>glass spice container B (O, RU); glass spice container A (O, UD); brown cup B (O, UD); white cup A (C, RU)</x:v>
      </x:c>
      <x:c r="E109" s="44" t="str">
        <x:f>'Evaluation Plan'!E109</x:f>
      </x:c>
      <x:c r="F109" s="44" t="str">
        <x:f>'Evaluation Plan'!F109</x:f>
        <x:v>157</x:v>
      </x:c>
      <x:c r="G109" s="43" t="str">
        <x:f>'Evaluation Plan'!G109</x:f>
        <x:v>Physical-state and manipulation-trajectory reference under a direct category prompt; the evaluated state word × object-category cell is intentionally absent from training.</x:v>
      </x:c>
      <x:c r="H109" s="43" t="str">
        <x:f>'Evaluation Plan'!H109</x:f>
        <x:v>glass spice container B</x:v>
      </x:c>
      <x:c r="I109" s="43" t="str"/>
      <x:c r="J109" s="45" t="str">
        <x:f>'Evaluation Plan'!J109</x:f>
        <x:v>Concept/compositional transfer</x:v>
      </x:c>
      <x:c r="K109" s="44" t="str">
        <x:f>'Evaluation Plan'!K109</x:f>
        <x:v>SR-CT48</x:v>
      </x:c>
      <x:c r="L109" s="44" t="str">
        <x:f>'Evaluation Plan'!L109</x:f>
        <x:v>RU</x:v>
      </x:c>
      <x:c r="M109" s="44" t="str">
        <x:f>'Evaluation Plan'!M109</x:f>
        <x:v>glass spice container</x:v>
      </x:c>
      <x:c r="N109" s="44" t="n">
        <x:f>'Evaluation Plan'!N109</x:f>
        <x:v>4</x:v>
      </x:c>
      <x:c r="O109" s="44" t="n">
        <x:f>'Evaluation Plan'!O109</x:f>
        <x:v>1</x:v>
      </x:c>
      <x:c r="P109" s="44" t="str">
        <x:f>'Evaluation Plan'!P109</x:f>
        <x:v>Empty</x:v>
      </x:c>
      <x:c r="Q109" s="43" t="str">
        <x:f>'Evaluation Plan'!Q109</x:f>
        <x:v>Primary held-out state-object composition</x:v>
      </x:c>
      <x:c r="R109" s="44" t="n">
        <x:f>'Evaluation Plan'!R109</x:f>
        <x:v>4</x:v>
      </x:c>
      <x:c r="S109" s="43" t="str">
        <x:f>'Evaluation Plan'!S109</x:f>
        <x:v>Build the listed same-category discrimination scene with the bowl empty.</x:v>
      </x:c>
      <x:c r="T109" s="43" t="str">
        <x:f>'Evaluation Plan'!T109</x:f>
        <x:v>Two same-category candidates share the non-queried state axis; only the held-out state word identifies the target.</x:v>
      </x:c>
      <x:c r="U109" s="43" t="n">
        <x:f>'Evaluation Plan'!U109</x:f>
        <x:v>0</x:v>
      </x:c>
    </x:row>
    <x:row r="110" ht="51" customHeight="1">
      <x:c r="A110" s="40" t="str">
        <x:v>Not collected</x:v>
      </x:c>
      <x:c r="B110" s="41" t="n">
        <x:f>'Evaluation Plan'!B110</x:f>
        <x:v>108</x:v>
      </x:c>
      <x:c r="C110" s="40" t="str">
        <x:f>'Evaluation Plan'!C110</x:f>
        <x:v>Place the upside-down white cup in the bowl.</x:v>
      </x:c>
      <x:c r="D110" s="40" t="str">
        <x:f>'Evaluation Plan'!D110</x:f>
        <x:v>white cup A (C, UD); white cup B (C, RU)</x:v>
      </x:c>
      <x:c r="E110" s="41" t="str">
        <x:f>'Evaluation Plan'!E110</x:f>
      </x:c>
      <x:c r="F110" s="41" t="str">
        <x:f>'Evaluation Plan'!F110</x:f>
        <x:v>35</x:v>
      </x:c>
      <x:c r="G110" s="40" t="str">
        <x:f>'Evaluation Plan'!G110</x:f>
        <x:v>Physical-state and manipulation-trajectory reference under a direct category prompt; the evaluated state word × object-category cell is intentionally absent from training.</x:v>
      </x:c>
      <x:c r="H110" s="40" t="str">
        <x:f>'Evaluation Plan'!H110</x:f>
        <x:v>white cup A</x:v>
      </x:c>
      <x:c r="I110" s="40" t="str"/>
      <x:c r="J110" s="45" t="str">
        <x:f>'Evaluation Plan'!J110</x:f>
        <x:v>Concept/compositional transfer</x:v>
      </x:c>
      <x:c r="K110" s="41" t="str">
        <x:f>'Evaluation Plan'!K110</x:f>
        <x:v>SR-CT49</x:v>
      </x:c>
      <x:c r="L110" s="41" t="str">
        <x:f>'Evaluation Plan'!L110</x:f>
        <x:v>UD</x:v>
      </x:c>
      <x:c r="M110" s="41" t="str">
        <x:f>'Evaluation Plan'!M110</x:f>
        <x:v>white cup</x:v>
      </x:c>
      <x:c r="N110" s="41" t="n">
        <x:f>'Evaluation Plan'!N110</x:f>
        <x:v>2</x:v>
      </x:c>
      <x:c r="O110" s="41" t="n">
        <x:f>'Evaluation Plan'!O110</x:f>
        <x:v>1</x:v>
      </x:c>
      <x:c r="P110" s="41" t="str">
        <x:f>'Evaluation Plan'!P110</x:f>
        <x:v>Empty</x:v>
      </x:c>
      <x:c r="Q110" s="40" t="str">
        <x:f>'Evaluation Plan'!Q110</x:f>
        <x:v>Primary held-out state-object composition</x:v>
      </x:c>
      <x:c r="R110" s="41" t="n">
        <x:f>'Evaluation Plan'!R110</x:f>
        <x:v>4</x:v>
      </x:c>
      <x:c r="S110" s="40" t="str">
        <x:f>'Evaluation Plan'!S110</x:f>
        <x:v>Build the listed same-category discrimination scene with the bowl empty.</x:v>
      </x:c>
      <x:c r="T110" s="40" t="str">
        <x:f>'Evaluation Plan'!T110</x:f>
        <x:v>Two same-category candidates share the non-queried state axis; only the held-out state word identifies the target.</x:v>
      </x:c>
      <x:c r="U110" s="40" t="n">
        <x:f>'Evaluation Plan'!U110</x:f>
        <x:v>0</x:v>
      </x:c>
    </x:row>
    <x:row r="111" ht="51" customHeight="1">
      <x:c r="A111" s="43" t="str">
        <x:v>Not collected</x:v>
      </x:c>
      <x:c r="B111" s="44" t="n">
        <x:f>'Evaluation Plan'!B111</x:f>
        <x:v>109</x:v>
      </x:c>
      <x:c r="C111" s="43" t="str">
        <x:f>'Evaluation Plan'!C111</x:f>
        <x:v>Place the open yellow-white striped cup in the bowl.</x:v>
      </x:c>
      <x:c r="D111" s="43" t="str">
        <x:f>'Evaluation Plan'!D111</x:f>
        <x:v>yellow-white striped cup B (O, RU); yellow-white striped cup A (C, RU); brown cup B (O, RU)</x:v>
      </x:c>
      <x:c r="E111" s="44" t="str">
        <x:f>'Evaluation Plan'!E111</x:f>
      </x:c>
      <x:c r="F111" s="44" t="str">
        <x:f>'Evaluation Plan'!F111</x:f>
        <x:v>64</x:v>
      </x:c>
      <x:c r="G111" s="43" t="str">
        <x:f>'Evaluation Plan'!G111</x:f>
        <x:v>Physical-state and manipulation-trajectory reference under a direct category prompt; the evaluated state word × object-category cell is intentionally absent from training.</x:v>
      </x:c>
      <x:c r="H111" s="43" t="str">
        <x:f>'Evaluation Plan'!H111</x:f>
        <x:v>yellow-white striped cup B</x:v>
      </x:c>
      <x:c r="I111" s="43" t="str"/>
      <x:c r="J111" s="45" t="str">
        <x:f>'Evaluation Plan'!J111</x:f>
        <x:v>Concept/compositional transfer</x:v>
      </x:c>
      <x:c r="K111" s="44" t="str">
        <x:f>'Evaluation Plan'!K111</x:f>
        <x:v>SR-CT50</x:v>
      </x:c>
      <x:c r="L111" s="44" t="str">
        <x:f>'Evaluation Plan'!L111</x:f>
        <x:v>O</x:v>
      </x:c>
      <x:c r="M111" s="44" t="str">
        <x:f>'Evaluation Plan'!M111</x:f>
        <x:v>yellow-white striped cup</x:v>
      </x:c>
      <x:c r="N111" s="44" t="n">
        <x:f>'Evaluation Plan'!N111</x:f>
        <x:v>3</x:v>
      </x:c>
      <x:c r="O111" s="44" t="n">
        <x:f>'Evaluation Plan'!O111</x:f>
        <x:v>1</x:v>
      </x:c>
      <x:c r="P111" s="44" t="str">
        <x:f>'Evaluation Plan'!P111</x:f>
        <x:v>Empty</x:v>
      </x:c>
      <x:c r="Q111" s="43" t="str">
        <x:f>'Evaluation Plan'!Q111</x:f>
        <x:v>Primary held-out state-object composition</x:v>
      </x:c>
      <x:c r="R111" s="44" t="n">
        <x:f>'Evaluation Plan'!R111</x:f>
        <x:v>4</x:v>
      </x:c>
      <x:c r="S111" s="43" t="str">
        <x:f>'Evaluation Plan'!S111</x:f>
        <x:v>Build the listed same-category discrimination scene with the bowl empty.</x:v>
      </x:c>
      <x:c r="T111" s="43" t="str">
        <x:f>'Evaluation Plan'!T111</x:f>
        <x:v>Two same-category candidates share the non-queried state axis; only the held-out state word identifies the target.</x:v>
      </x:c>
      <x:c r="U111" s="43" t="n">
        <x:f>'Evaluation Plan'!U111</x:f>
        <x:v>0</x:v>
      </x:c>
    </x:row>
    <x:row r="112" ht="51" customHeight="1">
      <x:c r="A112" s="40" t="str">
        <x:v>Not collected</x:v>
      </x:c>
      <x:c r="B112" s="41" t="n">
        <x:f>'Evaluation Plan'!B112</x:f>
        <x:v>110</x:v>
      </x:c>
      <x:c r="C112" s="40" t="str">
        <x:f>'Evaluation Plan'!C112</x:f>
        <x:v>Place the closed black cup in the bowl.</x:v>
      </x:c>
      <x:c r="D112" s="40" t="str">
        <x:f>'Evaluation Plan'!D112</x:f>
        <x:v>black cup A (C, RU); black cup B (O, RU)</x:v>
      </x:c>
      <x:c r="E112" s="41" t="str">
        <x:f>'Evaluation Plan'!E112</x:f>
      </x:c>
      <x:c r="F112" s="41" t="str">
        <x:f>'Evaluation Plan'!F112</x:f>
        <x:v>0</x:v>
      </x:c>
      <x:c r="G112" s="40" t="str">
        <x:f>'Evaluation Plan'!G112</x:f>
        <x:v>State-word concept reference only. The black cup is absent from fine-tuning, so no exact object-level training episode exists.</x:v>
      </x:c>
      <x:c r="H112" s="40" t="str">
        <x:f>'Evaluation Plan'!H112</x:f>
        <x:v>black cup A</x:v>
      </x:c>
      <x:c r="I112" s="40" t="str"/>
      <x:c r="J112" s="46" t="str">
        <x:f>'Evaluation Plan'!J112</x:f>
        <x:v>Novel-object state reasoning</x:v>
      </x:c>
      <x:c r="K112" s="41" t="str">
        <x:f>'Evaluation Plan'!K112</x:f>
        <x:v>SR-BLACK01</x:v>
      </x:c>
      <x:c r="L112" s="41" t="str">
        <x:f>'Evaluation Plan'!L112</x:f>
        <x:v>C</x:v>
      </x:c>
      <x:c r="M112" s="41" t="str">
        <x:f>'Evaluation Plan'!M112</x:f>
        <x:v>black cup</x:v>
      </x:c>
      <x:c r="N112" s="41" t="n">
        <x:f>'Evaluation Plan'!N112</x:f>
        <x:v>2</x:v>
      </x:c>
      <x:c r="O112" s="41" t="n">
        <x:f>'Evaluation Plan'!O112</x:f>
        <x:v>1</x:v>
      </x:c>
      <x:c r="P112" s="41" t="str">
        <x:f>'Evaluation Plan'!P112</x:f>
        <x:v>Empty</x:v>
      </x:c>
      <x:c r="Q112" s="40" t="str">
        <x:f>'Evaluation Plan'!Q112</x:f>
        <x:v>Reasoning-only globally unseen black-cup diagnostic</x:v>
      </x:c>
      <x:c r="R112" s="41" t="n">
        <x:f>'Evaluation Plan'!R112</x:f>
        <x:v>5</x:v>
      </x:c>
      <x:c r="S112" s="40" t="str">
        <x:f>'Evaluation Plan'!S112</x:f>
        <x:v>Build the listed two-black-cup discrimination scene with the bowl empty.</x:v>
      </x:c>
      <x:c r="T112" s="40" t="str">
        <x:f>'Evaluation Plan'!T112</x:f>
        <x:v>Every prompt contains a state term; no direct-name-only black-cup trial is used. Report separately from the 50 primary transfer trials.</x:v>
      </x:c>
      <x:c r="U112" s="40" t="n">
        <x:f>'Evaluation Plan'!U112</x:f>
        <x:v>0</x:v>
      </x:c>
    </x:row>
    <x:row r="113" ht="51" customHeight="1">
      <x:c r="A113" s="43" t="str">
        <x:v>Not collected</x:v>
      </x:c>
      <x:c r="B113" s="44" t="n">
        <x:f>'Evaluation Plan'!B113</x:f>
        <x:v>111</x:v>
      </x:c>
      <x:c r="C113" s="43" t="str">
        <x:f>'Evaluation Plan'!C113</x:f>
        <x:v>Place the open black cup in the bowl.</x:v>
      </x:c>
      <x:c r="D113" s="43" t="str">
        <x:f>'Evaluation Plan'!D113</x:f>
        <x:v>black cup B (O, UD); black cup A (C, UD); yellow-white striped cup B (O, RU)</x:v>
      </x:c>
      <x:c r="E113" s="44" t="str">
        <x:f>'Evaluation Plan'!E113</x:f>
      </x:c>
      <x:c r="F113" s="44" t="str">
        <x:f>'Evaluation Plan'!F113</x:f>
        <x:v>101</x:v>
      </x:c>
      <x:c r="G113" s="43" t="str">
        <x:f>'Evaluation Plan'!G113</x:f>
        <x:v>State-word concept reference only. The black cup is absent from fine-tuning, so no exact object-level training episode exists.</x:v>
      </x:c>
      <x:c r="H113" s="43" t="str">
        <x:f>'Evaluation Plan'!H113</x:f>
        <x:v>black cup B</x:v>
      </x:c>
      <x:c r="I113" s="43" t="str"/>
      <x:c r="J113" s="46" t="str">
        <x:f>'Evaluation Plan'!J113</x:f>
        <x:v>Novel-object state reasoning</x:v>
      </x:c>
      <x:c r="K113" s="44" t="str">
        <x:f>'Evaluation Plan'!K113</x:f>
        <x:v>SR-BLACK02</x:v>
      </x:c>
      <x:c r="L113" s="44" t="str">
        <x:f>'Evaluation Plan'!L113</x:f>
        <x:v>O</x:v>
      </x:c>
      <x:c r="M113" s="44" t="str">
        <x:f>'Evaluation Plan'!M113</x:f>
        <x:v>black cup</x:v>
      </x:c>
      <x:c r="N113" s="44" t="n">
        <x:f>'Evaluation Plan'!N113</x:f>
        <x:v>3</x:v>
      </x:c>
      <x:c r="O113" s="44" t="n">
        <x:f>'Evaluation Plan'!O113</x:f>
        <x:v>1</x:v>
      </x:c>
      <x:c r="P113" s="44" t="str">
        <x:f>'Evaluation Plan'!P113</x:f>
        <x:v>Empty</x:v>
      </x:c>
      <x:c r="Q113" s="43" t="str">
        <x:f>'Evaluation Plan'!Q113</x:f>
        <x:v>Reasoning-only globally unseen black-cup diagnostic</x:v>
      </x:c>
      <x:c r="R113" s="44" t="n">
        <x:f>'Evaluation Plan'!R113</x:f>
        <x:v>5</x:v>
      </x:c>
      <x:c r="S113" s="43" t="str">
        <x:f>'Evaluation Plan'!S113</x:f>
        <x:v>Build the listed two-black-cup discrimination scene with the bowl empty.</x:v>
      </x:c>
      <x:c r="T113" s="43" t="str">
        <x:f>'Evaluation Plan'!T113</x:f>
        <x:v>Every prompt contains a state term; no direct-name-only black-cup trial is used. Report separately from the 50 primary transfer trials.</x:v>
      </x:c>
      <x:c r="U113" s="43" t="n">
        <x:f>'Evaluation Plan'!U113</x:f>
        <x:v>0</x:v>
      </x:c>
    </x:row>
    <x:row r="114" ht="51" customHeight="1">
      <x:c r="A114" s="40" t="str">
        <x:v>Not collected</x:v>
      </x:c>
      <x:c r="B114" s="41" t="n">
        <x:f>'Evaluation Plan'!B114</x:f>
        <x:v>112</x:v>
      </x:c>
      <x:c r="C114" s="40" t="str">
        <x:f>'Evaluation Plan'!C114</x:f>
        <x:v>Place the upside-down black cup in the bowl.</x:v>
      </x:c>
      <x:c r="D114" s="40" t="str">
        <x:f>'Evaluation Plan'!D114</x:f>
        <x:v>black cup A (C, UD); black cup B (C, RU); brown cup A (C, UD); glass spice container B (O, UD)</x:v>
      </x:c>
      <x:c r="E114" s="41" t="str">
        <x:f>'Evaluation Plan'!E114</x:f>
      </x:c>
      <x:c r="F114" s="41" t="str">
        <x:f>'Evaluation Plan'!F114</x:f>
        <x:v>78</x:v>
      </x:c>
      <x:c r="G114" s="40" t="str">
        <x:f>'Evaluation Plan'!G114</x:f>
        <x:v>State-word concept reference only. The black cup is absent from fine-tuning, so no exact object-level training episode exists.</x:v>
      </x:c>
      <x:c r="H114" s="40" t="str">
        <x:f>'Evaluation Plan'!H114</x:f>
        <x:v>black cup A</x:v>
      </x:c>
      <x:c r="I114" s="40" t="str"/>
      <x:c r="J114" s="46" t="str">
        <x:f>'Evaluation Plan'!J114</x:f>
        <x:v>Novel-object state reasoning</x:v>
      </x:c>
      <x:c r="K114" s="41" t="str">
        <x:f>'Evaluation Plan'!K114</x:f>
        <x:v>SR-BLACK03</x:v>
      </x:c>
      <x:c r="L114" s="41" t="str">
        <x:f>'Evaluation Plan'!L114</x:f>
        <x:v>UD</x:v>
      </x:c>
      <x:c r="M114" s="41" t="str">
        <x:f>'Evaluation Plan'!M114</x:f>
        <x:v>black cup</x:v>
      </x:c>
      <x:c r="N114" s="41" t="n">
        <x:f>'Evaluation Plan'!N114</x:f>
        <x:v>4</x:v>
      </x:c>
      <x:c r="O114" s="41" t="n">
        <x:f>'Evaluation Plan'!O114</x:f>
        <x:v>1</x:v>
      </x:c>
      <x:c r="P114" s="41" t="str">
        <x:f>'Evaluation Plan'!P114</x:f>
        <x:v>Empty</x:v>
      </x:c>
      <x:c r="Q114" s="40" t="str">
        <x:f>'Evaluation Plan'!Q114</x:f>
        <x:v>Reasoning-only globally unseen black-cup diagnostic</x:v>
      </x:c>
      <x:c r="R114" s="41" t="n">
        <x:f>'Evaluation Plan'!R114</x:f>
        <x:v>5</x:v>
      </x:c>
      <x:c r="S114" s="40" t="str">
        <x:f>'Evaluation Plan'!S114</x:f>
        <x:v>Build the listed two-black-cup discrimination scene with the bowl empty.</x:v>
      </x:c>
      <x:c r="T114" s="40" t="str">
        <x:f>'Evaluation Plan'!T114</x:f>
        <x:v>Every prompt contains a state term; no direct-name-only black-cup trial is used. Report separately from the 50 primary transfer trials.</x:v>
      </x:c>
      <x:c r="U114" s="40" t="n">
        <x:f>'Evaluation Plan'!U114</x:f>
        <x:v>0</x:v>
      </x:c>
    </x:row>
    <x:row r="115" ht="51" customHeight="1">
      <x:c r="A115" s="43" t="str">
        <x:v>Not collected</x:v>
      </x:c>
      <x:c r="B115" s="44" t="n">
        <x:f>'Evaluation Plan'!B115</x:f>
        <x:v>113</x:v>
      </x:c>
      <x:c r="C115" s="43" t="str">
        <x:f>'Evaluation Plan'!C115</x:f>
        <x:v>Place the upright black cup in the bowl.</x:v>
      </x:c>
      <x:c r="D115" s="43" t="str">
        <x:f>'Evaluation Plan'!D115</x:f>
        <x:v>black cup B (O, RU); black cup A (O, UD)</x:v>
      </x:c>
      <x:c r="E115" s="44" t="str">
        <x:f>'Evaluation Plan'!E115</x:f>
      </x:c>
      <x:c r="F115" s="44" t="str">
        <x:f>'Evaluation Plan'!F115</x:f>
        <x:v>26</x:v>
      </x:c>
      <x:c r="G115" s="43" t="str">
        <x:f>'Evaluation Plan'!G115</x:f>
        <x:v>State-word concept reference only. The black cup is absent from fine-tuning, so no exact object-level training episode exists.</x:v>
      </x:c>
      <x:c r="H115" s="43" t="str">
        <x:f>'Evaluation Plan'!H115</x:f>
        <x:v>black cup B</x:v>
      </x:c>
      <x:c r="I115" s="43" t="str"/>
      <x:c r="J115" s="46" t="str">
        <x:f>'Evaluation Plan'!J115</x:f>
        <x:v>Novel-object state reasoning</x:v>
      </x:c>
      <x:c r="K115" s="44" t="str">
        <x:f>'Evaluation Plan'!K115</x:f>
        <x:v>SR-BLACK04</x:v>
      </x:c>
      <x:c r="L115" s="44" t="str">
        <x:f>'Evaluation Plan'!L115</x:f>
        <x:v>RU</x:v>
      </x:c>
      <x:c r="M115" s="44" t="str">
        <x:f>'Evaluation Plan'!M115</x:f>
        <x:v>black cup</x:v>
      </x:c>
      <x:c r="N115" s="44" t="n">
        <x:f>'Evaluation Plan'!N115</x:f>
        <x:v>2</x:v>
      </x:c>
      <x:c r="O115" s="44" t="n">
        <x:f>'Evaluation Plan'!O115</x:f>
        <x:v>1</x:v>
      </x:c>
      <x:c r="P115" s="44" t="str">
        <x:f>'Evaluation Plan'!P115</x:f>
        <x:v>Empty</x:v>
      </x:c>
      <x:c r="Q115" s="43" t="str">
        <x:f>'Evaluation Plan'!Q115</x:f>
        <x:v>Reasoning-only globally unseen black-cup diagnostic</x:v>
      </x:c>
      <x:c r="R115" s="44" t="n">
        <x:f>'Evaluation Plan'!R115</x:f>
        <x:v>5</x:v>
      </x:c>
      <x:c r="S115" s="43" t="str">
        <x:f>'Evaluation Plan'!S115</x:f>
        <x:v>Build the listed two-black-cup discrimination scene with the bowl empty.</x:v>
      </x:c>
      <x:c r="T115" s="43" t="str">
        <x:f>'Evaluation Plan'!T115</x:f>
        <x:v>Every prompt contains a state term; no direct-name-only black-cup trial is used. Report separately from the 50 primary transfer trials.</x:v>
      </x:c>
      <x:c r="U115" s="43" t="n">
        <x:f>'Evaluation Plan'!U115</x:f>
        <x:v>0</x:v>
      </x:c>
    </x:row>
    <x:row r="116" ht="51" customHeight="1">
      <x:c r="A116" s="40" t="str">
        <x:v>Not collected</x:v>
      </x:c>
      <x:c r="B116" s="41" t="n">
        <x:f>'Evaluation Plan'!B116</x:f>
        <x:v>114</x:v>
      </x:c>
      <x:c r="C116" s="40" t="str">
        <x:f>'Evaluation Plan'!C116</x:f>
        <x:v>Place the closed black cup in the bowl.</x:v>
      </x:c>
      <x:c r="D116" s="40" t="str">
        <x:f>'Evaluation Plan'!D116</x:f>
        <x:v>black cup A (C, RU); black cup B (O, RU); white cup A (C, RU)</x:v>
      </x:c>
      <x:c r="E116" s="41" t="str">
        <x:f>'Evaluation Plan'!E116</x:f>
      </x:c>
      <x:c r="F116" s="41" t="str">
        <x:f>'Evaluation Plan'!F116</x:f>
        <x:v>0</x:v>
      </x:c>
      <x:c r="G116" s="40" t="str">
        <x:f>'Evaluation Plan'!G116</x:f>
        <x:v>State-word concept reference only. The black cup is absent from fine-tuning, so no exact object-level training episode exists.</x:v>
      </x:c>
      <x:c r="H116" s="40" t="str">
        <x:f>'Evaluation Plan'!H116</x:f>
        <x:v>black cup A</x:v>
      </x:c>
      <x:c r="I116" s="40" t="str"/>
      <x:c r="J116" s="46" t="str">
        <x:f>'Evaluation Plan'!J116</x:f>
        <x:v>Novel-object state reasoning</x:v>
      </x:c>
      <x:c r="K116" s="41" t="str">
        <x:f>'Evaluation Plan'!K116</x:f>
        <x:v>SR-BLACK05</x:v>
      </x:c>
      <x:c r="L116" s="41" t="str">
        <x:f>'Evaluation Plan'!L116</x:f>
        <x:v>C</x:v>
      </x:c>
      <x:c r="M116" s="41" t="str">
        <x:f>'Evaluation Plan'!M116</x:f>
        <x:v>black cup</x:v>
      </x:c>
      <x:c r="N116" s="41" t="n">
        <x:f>'Evaluation Plan'!N116</x:f>
        <x:v>3</x:v>
      </x:c>
      <x:c r="O116" s="41" t="n">
        <x:f>'Evaluation Plan'!O116</x:f>
        <x:v>1</x:v>
      </x:c>
      <x:c r="P116" s="41" t="str">
        <x:f>'Evaluation Plan'!P116</x:f>
        <x:v>Empty</x:v>
      </x:c>
      <x:c r="Q116" s="40" t="str">
        <x:f>'Evaluation Plan'!Q116</x:f>
        <x:v>Reasoning-only globally unseen black-cup diagnostic</x:v>
      </x:c>
      <x:c r="R116" s="41" t="n">
        <x:f>'Evaluation Plan'!R116</x:f>
        <x:v>5</x:v>
      </x:c>
      <x:c r="S116" s="40" t="str">
        <x:f>'Evaluation Plan'!S116</x:f>
        <x:v>Build the listed two-black-cup discrimination scene with the bowl empty.</x:v>
      </x:c>
      <x:c r="T116" s="40" t="str">
        <x:f>'Evaluation Plan'!T116</x:f>
        <x:v>Every prompt contains a state term; no direct-name-only black-cup trial is used. Report separately from the 50 primary transfer trials.</x:v>
      </x:c>
      <x:c r="U116" s="40" t="n">
        <x:f>'Evaluation Plan'!U116</x:f>
        <x:v>0</x:v>
      </x:c>
    </x:row>
    <x:row r="117" ht="51" customHeight="1">
      <x:c r="A117" s="43" t="str">
        <x:v>Not collected</x:v>
      </x:c>
      <x:c r="B117" s="44" t="n">
        <x:f>'Evaluation Plan'!B117</x:f>
        <x:v>115</x:v>
      </x:c>
      <x:c r="C117" s="43" t="str">
        <x:f>'Evaluation Plan'!C117</x:f>
        <x:v>Place the open black cup in the bowl.</x:v>
      </x:c>
      <x:c r="D117" s="43" t="str">
        <x:f>'Evaluation Plan'!D117</x:f>
        <x:v>black cup B (O, UD); black cup A (C, UD); yellow-white striped cup B (O, RU); brown cup A (C, UD)</x:v>
      </x:c>
      <x:c r="E117" s="44" t="str">
        <x:f>'Evaluation Plan'!E117</x:f>
      </x:c>
      <x:c r="F117" s="44" t="str">
        <x:f>'Evaluation Plan'!F117</x:f>
        <x:v>101</x:v>
      </x:c>
      <x:c r="G117" s="43" t="str">
        <x:f>'Evaluation Plan'!G117</x:f>
        <x:v>State-word concept reference only. The black cup is absent from fine-tuning, so no exact object-level training episode exists.</x:v>
      </x:c>
      <x:c r="H117" s="43" t="str">
        <x:f>'Evaluation Plan'!H117</x:f>
        <x:v>black cup B</x:v>
      </x:c>
      <x:c r="I117" s="43" t="str"/>
      <x:c r="J117" s="46" t="str">
        <x:f>'Evaluation Plan'!J117</x:f>
        <x:v>Novel-object state reasoning</x:v>
      </x:c>
      <x:c r="K117" s="44" t="str">
        <x:f>'Evaluation Plan'!K117</x:f>
        <x:v>SR-BLACK06</x:v>
      </x:c>
      <x:c r="L117" s="44" t="str">
        <x:f>'Evaluation Plan'!L117</x:f>
        <x:v>O</x:v>
      </x:c>
      <x:c r="M117" s="44" t="str">
        <x:f>'Evaluation Plan'!M117</x:f>
        <x:v>black cup</x:v>
      </x:c>
      <x:c r="N117" s="44" t="n">
        <x:f>'Evaluation Plan'!N117</x:f>
        <x:v>4</x:v>
      </x:c>
      <x:c r="O117" s="44" t="n">
        <x:f>'Evaluation Plan'!O117</x:f>
        <x:v>1</x:v>
      </x:c>
      <x:c r="P117" s="44" t="str">
        <x:f>'Evaluation Plan'!P117</x:f>
        <x:v>Empty</x:v>
      </x:c>
      <x:c r="Q117" s="43" t="str">
        <x:f>'Evaluation Plan'!Q117</x:f>
        <x:v>Reasoning-only globally unseen black-cup diagnostic</x:v>
      </x:c>
      <x:c r="R117" s="44" t="n">
        <x:f>'Evaluation Plan'!R117</x:f>
        <x:v>5</x:v>
      </x:c>
      <x:c r="S117" s="43" t="str">
        <x:f>'Evaluation Plan'!S117</x:f>
        <x:v>Build the listed two-black-cup discrimination scene with the bowl empty.</x:v>
      </x:c>
      <x:c r="T117" s="43" t="str">
        <x:f>'Evaluation Plan'!T117</x:f>
        <x:v>Every prompt contains a state term; no direct-name-only black-cup trial is used. Report separately from the 50 primary transfer trials.</x:v>
      </x:c>
      <x:c r="U117" s="43" t="n">
        <x:f>'Evaluation Plan'!U117</x:f>
        <x:v>0</x:v>
      </x:c>
    </x:row>
    <x:row r="118" ht="51" customHeight="1">
      <x:c r="A118" s="40" t="str">
        <x:v>Not collected</x:v>
      </x:c>
      <x:c r="B118" s="41" t="n">
        <x:f>'Evaluation Plan'!B118</x:f>
        <x:v>116</x:v>
      </x:c>
      <x:c r="C118" s="40" t="str">
        <x:f>'Evaluation Plan'!C118</x:f>
        <x:v>Place the upside-down black cup in the bowl.</x:v>
      </x:c>
      <x:c r="D118" s="40" t="str">
        <x:f>'Evaluation Plan'!D118</x:f>
        <x:v>black cup A (C, UD); black cup B (C, RU)</x:v>
      </x:c>
      <x:c r="E118" s="41" t="str">
        <x:f>'Evaluation Plan'!E118</x:f>
      </x:c>
      <x:c r="F118" s="41" t="str">
        <x:f>'Evaluation Plan'!F118</x:f>
        <x:v>78</x:v>
      </x:c>
      <x:c r="G118" s="40" t="str">
        <x:f>'Evaluation Plan'!G118</x:f>
        <x:v>State-word concept reference only. The black cup is absent from fine-tuning, so no exact object-level training episode exists.</x:v>
      </x:c>
      <x:c r="H118" s="40" t="str">
        <x:f>'Evaluation Plan'!H118</x:f>
        <x:v>black cup A</x:v>
      </x:c>
      <x:c r="I118" s="40" t="str"/>
      <x:c r="J118" s="46" t="str">
        <x:f>'Evaluation Plan'!J118</x:f>
        <x:v>Novel-object state reasoning</x:v>
      </x:c>
      <x:c r="K118" s="41" t="str">
        <x:f>'Evaluation Plan'!K118</x:f>
        <x:v>SR-BLACK07</x:v>
      </x:c>
      <x:c r="L118" s="41" t="str">
        <x:f>'Evaluation Plan'!L118</x:f>
        <x:v>UD</x:v>
      </x:c>
      <x:c r="M118" s="41" t="str">
        <x:f>'Evaluation Plan'!M118</x:f>
        <x:v>black cup</x:v>
      </x:c>
      <x:c r="N118" s="41" t="n">
        <x:f>'Evaluation Plan'!N118</x:f>
        <x:v>2</x:v>
      </x:c>
      <x:c r="O118" s="41" t="n">
        <x:f>'Evaluation Plan'!O118</x:f>
        <x:v>1</x:v>
      </x:c>
      <x:c r="P118" s="41" t="str">
        <x:f>'Evaluation Plan'!P118</x:f>
        <x:v>Empty</x:v>
      </x:c>
      <x:c r="Q118" s="40" t="str">
        <x:f>'Evaluation Plan'!Q118</x:f>
        <x:v>Reasoning-only globally unseen black-cup diagnostic</x:v>
      </x:c>
      <x:c r="R118" s="41" t="n">
        <x:f>'Evaluation Plan'!R118</x:f>
        <x:v>5</x:v>
      </x:c>
      <x:c r="S118" s="40" t="str">
        <x:f>'Evaluation Plan'!S118</x:f>
        <x:v>Build the listed two-black-cup discrimination scene with the bowl empty.</x:v>
      </x:c>
      <x:c r="T118" s="40" t="str">
        <x:f>'Evaluation Plan'!T118</x:f>
        <x:v>Every prompt contains a state term; no direct-name-only black-cup trial is used. Report separately from the 50 primary transfer trials.</x:v>
      </x:c>
      <x:c r="U118" s="40" t="n">
        <x:f>'Evaluation Plan'!U118</x:f>
        <x:v>0</x:v>
      </x:c>
    </x:row>
    <x:row r="119" ht="51" customHeight="1">
      <x:c r="A119" s="43" t="str">
        <x:v>Not collected</x:v>
      </x:c>
      <x:c r="B119" s="44" t="n">
        <x:f>'Evaluation Plan'!B119</x:f>
        <x:v>117</x:v>
      </x:c>
      <x:c r="C119" s="43" t="str">
        <x:f>'Evaluation Plan'!C119</x:f>
        <x:v>Place the upright black cup in the bowl.</x:v>
      </x:c>
      <x:c r="D119" s="43" t="str">
        <x:f>'Evaluation Plan'!D119</x:f>
        <x:v>black cup B (O, RU); black cup A (O, UD); glass spice container B (O, UD)</x:v>
      </x:c>
      <x:c r="E119" s="44" t="str">
        <x:f>'Evaluation Plan'!E119</x:f>
      </x:c>
      <x:c r="F119" s="44" t="str">
        <x:f>'Evaluation Plan'!F119</x:f>
        <x:v>26</x:v>
      </x:c>
      <x:c r="G119" s="43" t="str">
        <x:f>'Evaluation Plan'!G119</x:f>
        <x:v>State-word concept reference only. The black cup is absent from fine-tuning, so no exact object-level training episode exists.</x:v>
      </x:c>
      <x:c r="H119" s="43" t="str">
        <x:f>'Evaluation Plan'!H119</x:f>
        <x:v>black cup B</x:v>
      </x:c>
      <x:c r="I119" s="43" t="str"/>
      <x:c r="J119" s="46" t="str">
        <x:f>'Evaluation Plan'!J119</x:f>
        <x:v>Novel-object state reasoning</x:v>
      </x:c>
      <x:c r="K119" s="44" t="str">
        <x:f>'Evaluation Plan'!K119</x:f>
        <x:v>SR-BLACK08</x:v>
      </x:c>
      <x:c r="L119" s="44" t="str">
        <x:f>'Evaluation Plan'!L119</x:f>
        <x:v>RU</x:v>
      </x:c>
      <x:c r="M119" s="44" t="str">
        <x:f>'Evaluation Plan'!M119</x:f>
        <x:v>black cup</x:v>
      </x:c>
      <x:c r="N119" s="44" t="n">
        <x:f>'Evaluation Plan'!N119</x:f>
        <x:v>3</x:v>
      </x:c>
      <x:c r="O119" s="44" t="n">
        <x:f>'Evaluation Plan'!O119</x:f>
        <x:v>1</x:v>
      </x:c>
      <x:c r="P119" s="44" t="str">
        <x:f>'Evaluation Plan'!P119</x:f>
        <x:v>Empty</x:v>
      </x:c>
      <x:c r="Q119" s="43" t="str">
        <x:f>'Evaluation Plan'!Q119</x:f>
        <x:v>Reasoning-only globally unseen black-cup diagnostic</x:v>
      </x:c>
      <x:c r="R119" s="44" t="n">
        <x:f>'Evaluation Plan'!R119</x:f>
        <x:v>5</x:v>
      </x:c>
      <x:c r="S119" s="43" t="str">
        <x:f>'Evaluation Plan'!S119</x:f>
        <x:v>Build the listed two-black-cup discrimination scene with the bowl empty.</x:v>
      </x:c>
      <x:c r="T119" s="43" t="str">
        <x:f>'Evaluation Plan'!T119</x:f>
        <x:v>Every prompt contains a state term; no direct-name-only black-cup trial is used. Report separately from the 50 primary transfer trials.</x:v>
      </x:c>
      <x:c r="U119" s="43" t="n">
        <x:f>'Evaluation Plan'!U119</x:f>
        <x:v>0</x:v>
      </x:c>
    </x:row>
    <x:row r="120" ht="51" customHeight="1">
      <x:c r="A120" s="40" t="str">
        <x:v>Not collected</x:v>
      </x:c>
      <x:c r="B120" s="41" t="n">
        <x:f>'Evaluation Plan'!B120</x:f>
        <x:v>118</x:v>
      </x:c>
      <x:c r="C120" s="40" t="str">
        <x:f>'Evaluation Plan'!C120</x:f>
        <x:v>Place the closed black cup in the bowl.</x:v>
      </x:c>
      <x:c r="D120" s="40" t="str">
        <x:f>'Evaluation Plan'!D120</x:f>
        <x:v>black cup A (C, RU); black cup B (O, RU); white cup A (C, RU); yellow-white striped cup B (O, RU)</x:v>
      </x:c>
      <x:c r="E120" s="41" t="str">
        <x:f>'Evaluation Plan'!E120</x:f>
      </x:c>
      <x:c r="F120" s="41" t="str">
        <x:f>'Evaluation Plan'!F120</x:f>
        <x:v>0</x:v>
      </x:c>
      <x:c r="G120" s="40" t="str">
        <x:f>'Evaluation Plan'!G120</x:f>
        <x:v>State-word concept reference only. The black cup is absent from fine-tuning, so no exact object-level training episode exists.</x:v>
      </x:c>
      <x:c r="H120" s="40" t="str">
        <x:f>'Evaluation Plan'!H120</x:f>
        <x:v>black cup A</x:v>
      </x:c>
      <x:c r="I120" s="40" t="str"/>
      <x:c r="J120" s="46" t="str">
        <x:f>'Evaluation Plan'!J120</x:f>
        <x:v>Novel-object state reasoning</x:v>
      </x:c>
      <x:c r="K120" s="41" t="str">
        <x:f>'Evaluation Plan'!K120</x:f>
        <x:v>SR-BLACK09</x:v>
      </x:c>
      <x:c r="L120" s="41" t="str">
        <x:f>'Evaluation Plan'!L120</x:f>
        <x:v>C</x:v>
      </x:c>
      <x:c r="M120" s="41" t="str">
        <x:f>'Evaluation Plan'!M120</x:f>
        <x:v>black cup</x:v>
      </x:c>
      <x:c r="N120" s="41" t="n">
        <x:f>'Evaluation Plan'!N120</x:f>
        <x:v>4</x:v>
      </x:c>
      <x:c r="O120" s="41" t="n">
        <x:f>'Evaluation Plan'!O120</x:f>
        <x:v>1</x:v>
      </x:c>
      <x:c r="P120" s="41" t="str">
        <x:f>'Evaluation Plan'!P120</x:f>
        <x:v>Empty</x:v>
      </x:c>
      <x:c r="Q120" s="40" t="str">
        <x:f>'Evaluation Plan'!Q120</x:f>
        <x:v>Reasoning-only globally unseen black-cup diagnostic</x:v>
      </x:c>
      <x:c r="R120" s="41" t="n">
        <x:f>'Evaluation Plan'!R120</x:f>
        <x:v>5</x:v>
      </x:c>
      <x:c r="S120" s="40" t="str">
        <x:f>'Evaluation Plan'!S120</x:f>
        <x:v>Build the listed two-black-cup discrimination scene with the bowl empty.</x:v>
      </x:c>
      <x:c r="T120" s="40" t="str">
        <x:f>'Evaluation Plan'!T120</x:f>
        <x:v>Every prompt contains a state term; no direct-name-only black-cup trial is used. Report separately from the 50 primary transfer trials.</x:v>
      </x:c>
      <x:c r="U120" s="40" t="n">
        <x:f>'Evaluation Plan'!U120</x:f>
        <x:v>0</x:v>
      </x:c>
    </x:row>
    <x:row r="121" ht="51" customHeight="1">
      <x:c r="A121" s="43" t="str">
        <x:v>Not collected</x:v>
      </x:c>
      <x:c r="B121" s="44" t="n">
        <x:f>'Evaluation Plan'!B121</x:f>
        <x:v>119</x:v>
      </x:c>
      <x:c r="C121" s="43" t="str">
        <x:f>'Evaluation Plan'!C121</x:f>
        <x:v>Place the open black cup in the bowl.</x:v>
      </x:c>
      <x:c r="D121" s="43" t="str">
        <x:f>'Evaluation Plan'!D121</x:f>
        <x:v>black cup B (O, UD); black cup A (C, UD)</x:v>
      </x:c>
      <x:c r="E121" s="44" t="str">
        <x:f>'Evaluation Plan'!E121</x:f>
      </x:c>
      <x:c r="F121" s="44" t="str">
        <x:f>'Evaluation Plan'!F121</x:f>
        <x:v>101</x:v>
      </x:c>
      <x:c r="G121" s="43" t="str">
        <x:f>'Evaluation Plan'!G121</x:f>
        <x:v>State-word concept reference only. The black cup is absent from fine-tuning, so no exact object-level training episode exists.</x:v>
      </x:c>
      <x:c r="H121" s="43" t="str">
        <x:f>'Evaluation Plan'!H121</x:f>
        <x:v>black cup B</x:v>
      </x:c>
      <x:c r="I121" s="43" t="str"/>
      <x:c r="J121" s="46" t="str">
        <x:f>'Evaluation Plan'!J121</x:f>
        <x:v>Novel-object state reasoning</x:v>
      </x:c>
      <x:c r="K121" s="44" t="str">
        <x:f>'Evaluation Plan'!K121</x:f>
        <x:v>SR-BLACK10</x:v>
      </x:c>
      <x:c r="L121" s="44" t="str">
        <x:f>'Evaluation Plan'!L121</x:f>
        <x:v>O</x:v>
      </x:c>
      <x:c r="M121" s="44" t="str">
        <x:f>'Evaluation Plan'!M121</x:f>
        <x:v>black cup</x:v>
      </x:c>
      <x:c r="N121" s="44" t="n">
        <x:f>'Evaluation Plan'!N121</x:f>
        <x:v>2</x:v>
      </x:c>
      <x:c r="O121" s="44" t="n">
        <x:f>'Evaluation Plan'!O121</x:f>
        <x:v>1</x:v>
      </x:c>
      <x:c r="P121" s="44" t="str">
        <x:f>'Evaluation Plan'!P121</x:f>
        <x:v>Empty</x:v>
      </x:c>
      <x:c r="Q121" s="43" t="str">
        <x:f>'Evaluation Plan'!Q121</x:f>
        <x:v>Reasoning-only globally unseen black-cup diagnostic</x:v>
      </x:c>
      <x:c r="R121" s="44" t="n">
        <x:f>'Evaluation Plan'!R121</x:f>
        <x:v>5</x:v>
      </x:c>
      <x:c r="S121" s="43" t="str">
        <x:f>'Evaluation Plan'!S121</x:f>
        <x:v>Build the listed two-black-cup discrimination scene with the bowl empty.</x:v>
      </x:c>
      <x:c r="T121" s="43" t="str">
        <x:f>'Evaluation Plan'!T121</x:f>
        <x:v>Every prompt contains a state term; no direct-name-only black-cup trial is used. Report separately from the 50 primary transfer trials.</x:v>
      </x:c>
      <x:c r="U121" s="43" t="n">
        <x:f>'Evaluation Plan'!U121</x:f>
        <x:v>0</x:v>
      </x:c>
    </x:row>
    <x:row r="122" ht="51" customHeight="1">
      <x:c r="A122" s="40" t="str">
        <x:v>Not collected</x:v>
      </x:c>
      <x:c r="B122" s="41" t="n">
        <x:f>'Evaluation Plan'!B122</x:f>
        <x:v>120</x:v>
      </x:c>
      <x:c r="C122" s="40" t="str">
        <x:f>'Evaluation Plan'!C122</x:f>
        <x:v>Place the upside-down black cup in the bowl.</x:v>
      </x:c>
      <x:c r="D122" s="40" t="str">
        <x:f>'Evaluation Plan'!D122</x:f>
        <x:v>black cup A (C, UD); black cup B (C, RU); brown cup A (C, UD)</x:v>
      </x:c>
      <x:c r="E122" s="41" t="str">
        <x:f>'Evaluation Plan'!E122</x:f>
      </x:c>
      <x:c r="F122" s="41" t="str">
        <x:f>'Evaluation Plan'!F122</x:f>
        <x:v>78</x:v>
      </x:c>
      <x:c r="G122" s="40" t="str">
        <x:f>'Evaluation Plan'!G122</x:f>
        <x:v>State-word concept reference only. The black cup is absent from fine-tuning, so no exact object-level training episode exists.</x:v>
      </x:c>
      <x:c r="H122" s="40" t="str">
        <x:f>'Evaluation Plan'!H122</x:f>
        <x:v>black cup A</x:v>
      </x:c>
      <x:c r="I122" s="40" t="str"/>
      <x:c r="J122" s="46" t="str">
        <x:f>'Evaluation Plan'!J122</x:f>
        <x:v>Novel-object state reasoning</x:v>
      </x:c>
      <x:c r="K122" s="41" t="str">
        <x:f>'Evaluation Plan'!K122</x:f>
        <x:v>SR-BLACK11</x:v>
      </x:c>
      <x:c r="L122" s="41" t="str">
        <x:f>'Evaluation Plan'!L122</x:f>
        <x:v>UD</x:v>
      </x:c>
      <x:c r="M122" s="41" t="str">
        <x:f>'Evaluation Plan'!M122</x:f>
        <x:v>black cup</x:v>
      </x:c>
      <x:c r="N122" s="41" t="n">
        <x:f>'Evaluation Plan'!N122</x:f>
        <x:v>3</x:v>
      </x:c>
      <x:c r="O122" s="41" t="n">
        <x:f>'Evaluation Plan'!O122</x:f>
        <x:v>1</x:v>
      </x:c>
      <x:c r="P122" s="41" t="str">
        <x:f>'Evaluation Plan'!P122</x:f>
        <x:v>Empty</x:v>
      </x:c>
      <x:c r="Q122" s="40" t="str">
        <x:f>'Evaluation Plan'!Q122</x:f>
        <x:v>Reasoning-only globally unseen black-cup diagnostic</x:v>
      </x:c>
      <x:c r="R122" s="41" t="n">
        <x:f>'Evaluation Plan'!R122</x:f>
        <x:v>5</x:v>
      </x:c>
      <x:c r="S122" s="40" t="str">
        <x:f>'Evaluation Plan'!S122</x:f>
        <x:v>Build the listed two-black-cup discrimination scene with the bowl empty.</x:v>
      </x:c>
      <x:c r="T122" s="40" t="str">
        <x:f>'Evaluation Plan'!T122</x:f>
        <x:v>Every prompt contains a state term; no direct-name-only black-cup trial is used. Report separately from the 50 primary transfer trials.</x:v>
      </x:c>
      <x:c r="U122" s="40" t="n">
        <x:f>'Evaluation Plan'!U122</x:f>
        <x:v>0</x:v>
      </x:c>
    </x:row>
    <x:row r="123" ht="51" customHeight="1">
      <x:c r="A123" s="43" t="str">
        <x:v>Not collected</x:v>
      </x:c>
      <x:c r="B123" s="44" t="n">
        <x:f>'Evaluation Plan'!B123</x:f>
        <x:v>121</x:v>
      </x:c>
      <x:c r="C123" s="43" t="str">
        <x:f>'Evaluation Plan'!C123</x:f>
        <x:v>Place the upright black cup in the bowl.</x:v>
      </x:c>
      <x:c r="D123" s="43" t="str">
        <x:f>'Evaluation Plan'!D123</x:f>
        <x:v>black cup B (O, RU); black cup A (O, UD); glass spice container B (O, UD); white cup A (C, RU)</x:v>
      </x:c>
      <x:c r="E123" s="44" t="str">
        <x:f>'Evaluation Plan'!E123</x:f>
      </x:c>
      <x:c r="F123" s="44" t="str">
        <x:f>'Evaluation Plan'!F123</x:f>
        <x:v>26</x:v>
      </x:c>
      <x:c r="G123" s="43" t="str">
        <x:f>'Evaluation Plan'!G123</x:f>
        <x:v>State-word concept reference only. The black cup is absent from fine-tuning, so no exact object-level training episode exists.</x:v>
      </x:c>
      <x:c r="H123" s="43" t="str">
        <x:f>'Evaluation Plan'!H123</x:f>
        <x:v>black cup B</x:v>
      </x:c>
      <x:c r="I123" s="43" t="str"/>
      <x:c r="J123" s="46" t="str">
        <x:f>'Evaluation Plan'!J123</x:f>
        <x:v>Novel-object state reasoning</x:v>
      </x:c>
      <x:c r="K123" s="44" t="str">
        <x:f>'Evaluation Plan'!K123</x:f>
        <x:v>SR-BLACK12</x:v>
      </x:c>
      <x:c r="L123" s="44" t="str">
        <x:f>'Evaluation Plan'!L123</x:f>
        <x:v>RU</x:v>
      </x:c>
      <x:c r="M123" s="44" t="str">
        <x:f>'Evaluation Plan'!M123</x:f>
        <x:v>black cup</x:v>
      </x:c>
      <x:c r="N123" s="44" t="n">
        <x:f>'Evaluation Plan'!N123</x:f>
        <x:v>4</x:v>
      </x:c>
      <x:c r="O123" s="44" t="n">
        <x:f>'Evaluation Plan'!O123</x:f>
        <x:v>1</x:v>
      </x:c>
      <x:c r="P123" s="44" t="str">
        <x:f>'Evaluation Plan'!P123</x:f>
        <x:v>Empty</x:v>
      </x:c>
      <x:c r="Q123" s="43" t="str">
        <x:f>'Evaluation Plan'!Q123</x:f>
        <x:v>Reasoning-only globally unseen black-cup diagnostic</x:v>
      </x:c>
      <x:c r="R123" s="44" t="n">
        <x:f>'Evaluation Plan'!R123</x:f>
        <x:v>5</x:v>
      </x:c>
      <x:c r="S123" s="43" t="str">
        <x:f>'Evaluation Plan'!S123</x:f>
        <x:v>Build the listed two-black-cup discrimination scene with the bowl empty.</x:v>
      </x:c>
      <x:c r="T123" s="43" t="str">
        <x:f>'Evaluation Plan'!T123</x:f>
        <x:v>Every prompt contains a state term; no direct-name-only black-cup trial is used. Report separately from the 50 primary transfer trials.</x:v>
      </x:c>
      <x:c r="U123" s="43" t="n">
        <x:f>'Evaluation Plan'!U123</x:f>
        <x:v>0</x:v>
      </x:c>
    </x:row>
    <x:row r="124" ht="51" customHeight="1">
      <x:c r="A124" s="40" t="str">
        <x:v>Not collected</x:v>
      </x:c>
      <x:c r="B124" s="41" t="n">
        <x:f>'Evaluation Plan'!B124</x:f>
        <x:v>122</x:v>
      </x:c>
      <x:c r="C124" s="40" t="str">
        <x:f>'Evaluation Plan'!C124</x:f>
        <x:v>Place the closed black cup in the bowl.</x:v>
      </x:c>
      <x:c r="D124" s="40" t="str">
        <x:f>'Evaluation Plan'!D124</x:f>
        <x:v>black cup A (C, RU); black cup B (O, RU)</x:v>
      </x:c>
      <x:c r="E124" s="41" t="str">
        <x:f>'Evaluation Plan'!E124</x:f>
      </x:c>
      <x:c r="F124" s="41" t="str">
        <x:f>'Evaluation Plan'!F124</x:f>
        <x:v>0</x:v>
      </x:c>
      <x:c r="G124" s="40" t="str">
        <x:f>'Evaluation Plan'!G124</x:f>
        <x:v>State-word concept reference only. The black cup is absent from fine-tuning, so no exact object-level training episode exists.</x:v>
      </x:c>
      <x:c r="H124" s="40" t="str">
        <x:f>'Evaluation Plan'!H124</x:f>
        <x:v>black cup A</x:v>
      </x:c>
      <x:c r="I124" s="40" t="str"/>
      <x:c r="J124" s="46" t="str">
        <x:f>'Evaluation Plan'!J124</x:f>
        <x:v>Novel-object state reasoning</x:v>
      </x:c>
      <x:c r="K124" s="41" t="str">
        <x:f>'Evaluation Plan'!K124</x:f>
        <x:v>SR-BLACK13</x:v>
      </x:c>
      <x:c r="L124" s="41" t="str">
        <x:f>'Evaluation Plan'!L124</x:f>
        <x:v>C</x:v>
      </x:c>
      <x:c r="M124" s="41" t="str">
        <x:f>'Evaluation Plan'!M124</x:f>
        <x:v>black cup</x:v>
      </x:c>
      <x:c r="N124" s="41" t="n">
        <x:f>'Evaluation Plan'!N124</x:f>
        <x:v>2</x:v>
      </x:c>
      <x:c r="O124" s="41" t="n">
        <x:f>'Evaluation Plan'!O124</x:f>
        <x:v>1</x:v>
      </x:c>
      <x:c r="P124" s="41" t="str">
        <x:f>'Evaluation Plan'!P124</x:f>
        <x:v>Empty</x:v>
      </x:c>
      <x:c r="Q124" s="40" t="str">
        <x:f>'Evaluation Plan'!Q124</x:f>
        <x:v>Reasoning-only globally unseen black-cup diagnostic</x:v>
      </x:c>
      <x:c r="R124" s="41" t="n">
        <x:f>'Evaluation Plan'!R124</x:f>
        <x:v>5</x:v>
      </x:c>
      <x:c r="S124" s="40" t="str">
        <x:f>'Evaluation Plan'!S124</x:f>
        <x:v>Build the listed two-black-cup discrimination scene with the bowl empty.</x:v>
      </x:c>
      <x:c r="T124" s="40" t="str">
        <x:f>'Evaluation Plan'!T124</x:f>
        <x:v>Every prompt contains a state term; no direct-name-only black-cup trial is used. Report separately from the 50 primary transfer trials.</x:v>
      </x:c>
      <x:c r="U124" s="40" t="n">
        <x:f>'Evaluation Plan'!U124</x:f>
        <x:v>0</x:v>
      </x:c>
    </x:row>
    <x:row r="125" ht="51" customHeight="1">
      <x:c r="A125" s="43" t="str">
        <x:v>Not collected</x:v>
      </x:c>
      <x:c r="B125" s="44" t="n">
        <x:f>'Evaluation Plan'!B125</x:f>
        <x:v>123</x:v>
      </x:c>
      <x:c r="C125" s="43" t="str">
        <x:f>'Evaluation Plan'!C125</x:f>
        <x:v>Place the open black cup in the bowl.</x:v>
      </x:c>
      <x:c r="D125" s="43" t="str">
        <x:f>'Evaluation Plan'!D125</x:f>
        <x:v>black cup B (O, UD); black cup A (C, UD); yellow-white striped cup B (O, RU)</x:v>
      </x:c>
      <x:c r="E125" s="44" t="str">
        <x:f>'Evaluation Plan'!E125</x:f>
      </x:c>
      <x:c r="F125" s="44" t="str">
        <x:f>'Evaluation Plan'!F125</x:f>
        <x:v>101</x:v>
      </x:c>
      <x:c r="G125" s="43" t="str">
        <x:f>'Evaluation Plan'!G125</x:f>
        <x:v>State-word concept reference only. The black cup is absent from fine-tuning, so no exact object-level training episode exists.</x:v>
      </x:c>
      <x:c r="H125" s="43" t="str">
        <x:f>'Evaluation Plan'!H125</x:f>
        <x:v>black cup B</x:v>
      </x:c>
      <x:c r="I125" s="43" t="str"/>
      <x:c r="J125" s="46" t="str">
        <x:f>'Evaluation Plan'!J125</x:f>
        <x:v>Novel-object state reasoning</x:v>
      </x:c>
      <x:c r="K125" s="44" t="str">
        <x:f>'Evaluation Plan'!K125</x:f>
        <x:v>SR-BLACK14</x:v>
      </x:c>
      <x:c r="L125" s="44" t="str">
        <x:f>'Evaluation Plan'!L125</x:f>
        <x:v>O</x:v>
      </x:c>
      <x:c r="M125" s="44" t="str">
        <x:f>'Evaluation Plan'!M125</x:f>
        <x:v>black cup</x:v>
      </x:c>
      <x:c r="N125" s="44" t="n">
        <x:f>'Evaluation Plan'!N125</x:f>
        <x:v>3</x:v>
      </x:c>
      <x:c r="O125" s="44" t="n">
        <x:f>'Evaluation Plan'!O125</x:f>
        <x:v>1</x:v>
      </x:c>
      <x:c r="P125" s="44" t="str">
        <x:f>'Evaluation Plan'!P125</x:f>
        <x:v>Empty</x:v>
      </x:c>
      <x:c r="Q125" s="43" t="str">
        <x:f>'Evaluation Plan'!Q125</x:f>
        <x:v>Reasoning-only globally unseen black-cup diagnostic</x:v>
      </x:c>
      <x:c r="R125" s="44" t="n">
        <x:f>'Evaluation Plan'!R125</x:f>
        <x:v>5</x:v>
      </x:c>
      <x:c r="S125" s="43" t="str">
        <x:f>'Evaluation Plan'!S125</x:f>
        <x:v>Build the listed two-black-cup discrimination scene with the bowl empty.</x:v>
      </x:c>
      <x:c r="T125" s="43" t="str">
        <x:f>'Evaluation Plan'!T125</x:f>
        <x:v>Every prompt contains a state term; no direct-name-only black-cup trial is used. Report separately from the 50 primary transfer trials.</x:v>
      </x:c>
      <x:c r="U125" s="43" t="n">
        <x:f>'Evaluation Plan'!U125</x:f>
        <x:v>0</x:v>
      </x:c>
    </x:row>
    <x:row r="126" ht="51" customHeight="1">
      <x:c r="A126" s="40" t="str">
        <x:v>Not collected</x:v>
      </x:c>
      <x:c r="B126" s="41" t="n">
        <x:f>'Evaluation Plan'!B126</x:f>
        <x:v>124</x:v>
      </x:c>
      <x:c r="C126" s="40" t="str">
        <x:f>'Evaluation Plan'!C126</x:f>
        <x:v>Place the upside-down black cup in the bowl.</x:v>
      </x:c>
      <x:c r="D126" s="40" t="str">
        <x:f>'Evaluation Plan'!D126</x:f>
        <x:v>black cup A (C, UD); black cup B (C, RU); brown cup A (C, UD); glass spice container B (O, UD)</x:v>
      </x:c>
      <x:c r="E126" s="41" t="str">
        <x:f>'Evaluation Plan'!E126</x:f>
      </x:c>
      <x:c r="F126" s="41" t="str">
        <x:f>'Evaluation Plan'!F126</x:f>
        <x:v>78</x:v>
      </x:c>
      <x:c r="G126" s="40" t="str">
        <x:f>'Evaluation Plan'!G126</x:f>
        <x:v>State-word concept reference only. The black cup is absent from fine-tuning, so no exact object-level training episode exists.</x:v>
      </x:c>
      <x:c r="H126" s="40" t="str">
        <x:f>'Evaluation Plan'!H126</x:f>
        <x:v>black cup A</x:v>
      </x:c>
      <x:c r="I126" s="40" t="str"/>
      <x:c r="J126" s="46" t="str">
        <x:f>'Evaluation Plan'!J126</x:f>
        <x:v>Novel-object state reasoning</x:v>
      </x:c>
      <x:c r="K126" s="41" t="str">
        <x:f>'Evaluation Plan'!K126</x:f>
        <x:v>SR-BLACK15</x:v>
      </x:c>
      <x:c r="L126" s="41" t="str">
        <x:f>'Evaluation Plan'!L126</x:f>
        <x:v>UD</x:v>
      </x:c>
      <x:c r="M126" s="41" t="str">
        <x:f>'Evaluation Plan'!M126</x:f>
        <x:v>black cup</x:v>
      </x:c>
      <x:c r="N126" s="41" t="n">
        <x:f>'Evaluation Plan'!N126</x:f>
        <x:v>4</x:v>
      </x:c>
      <x:c r="O126" s="41" t="n">
        <x:f>'Evaluation Plan'!O126</x:f>
        <x:v>1</x:v>
      </x:c>
      <x:c r="P126" s="41" t="str">
        <x:f>'Evaluation Plan'!P126</x:f>
        <x:v>Empty</x:v>
      </x:c>
      <x:c r="Q126" s="40" t="str">
        <x:f>'Evaluation Plan'!Q126</x:f>
        <x:v>Reasoning-only globally unseen black-cup diagnostic</x:v>
      </x:c>
      <x:c r="R126" s="41" t="n">
        <x:f>'Evaluation Plan'!R126</x:f>
        <x:v>5</x:v>
      </x:c>
      <x:c r="S126" s="40" t="str">
        <x:f>'Evaluation Plan'!S126</x:f>
        <x:v>Build the listed two-black-cup discrimination scene with the bowl empty.</x:v>
      </x:c>
      <x:c r="T126" s="40" t="str">
        <x:f>'Evaluation Plan'!T126</x:f>
        <x:v>Every prompt contains a state term; no direct-name-only black-cup trial is used. Report separately from the 50 primary transfer trials.</x:v>
      </x:c>
      <x:c r="U126" s="40" t="n">
        <x:f>'Evaluation Plan'!U126</x:f>
        <x:v>0</x:v>
      </x:c>
    </x:row>
    <x:row r="127" ht="51" customHeight="1">
      <x:c r="A127" s="43" t="str">
        <x:v>Not collected</x:v>
      </x:c>
      <x:c r="B127" s="44" t="n">
        <x:f>'Evaluation Plan'!B127</x:f>
        <x:v>125</x:v>
      </x:c>
      <x:c r="C127" s="43" t="str">
        <x:f>'Evaluation Plan'!C127</x:f>
        <x:v>Place the upright black cup in the bowl.</x:v>
      </x:c>
      <x:c r="D127" s="43" t="str">
        <x:f>'Evaluation Plan'!D127</x:f>
        <x:v>black cup B (O, RU); black cup A (O, UD)</x:v>
      </x:c>
      <x:c r="E127" s="44" t="str">
        <x:f>'Evaluation Plan'!E127</x:f>
      </x:c>
      <x:c r="F127" s="44" t="str">
        <x:f>'Evaluation Plan'!F127</x:f>
        <x:v>26</x:v>
      </x:c>
      <x:c r="G127" s="43" t="str">
        <x:f>'Evaluation Plan'!G127</x:f>
        <x:v>State-word concept reference only. The black cup is absent from fine-tuning, so no exact object-level training episode exists.</x:v>
      </x:c>
      <x:c r="H127" s="43" t="str">
        <x:f>'Evaluation Plan'!H127</x:f>
        <x:v>black cup B</x:v>
      </x:c>
      <x:c r="I127" s="43" t="str"/>
      <x:c r="J127" s="46" t="str">
        <x:f>'Evaluation Plan'!J127</x:f>
        <x:v>Novel-object state reasoning</x:v>
      </x:c>
      <x:c r="K127" s="44" t="str">
        <x:f>'Evaluation Plan'!K127</x:f>
        <x:v>SR-BLACK16</x:v>
      </x:c>
      <x:c r="L127" s="44" t="str">
        <x:f>'Evaluation Plan'!L127</x:f>
        <x:v>RU</x:v>
      </x:c>
      <x:c r="M127" s="44" t="str">
        <x:f>'Evaluation Plan'!M127</x:f>
        <x:v>black cup</x:v>
      </x:c>
      <x:c r="N127" s="44" t="n">
        <x:f>'Evaluation Plan'!N127</x:f>
        <x:v>2</x:v>
      </x:c>
      <x:c r="O127" s="44" t="n">
        <x:f>'Evaluation Plan'!O127</x:f>
        <x:v>1</x:v>
      </x:c>
      <x:c r="P127" s="44" t="str">
        <x:f>'Evaluation Plan'!P127</x:f>
        <x:v>Empty</x:v>
      </x:c>
      <x:c r="Q127" s="43" t="str">
        <x:f>'Evaluation Plan'!Q127</x:f>
        <x:v>Reasoning-only globally unseen black-cup diagnostic</x:v>
      </x:c>
      <x:c r="R127" s="44" t="n">
        <x:f>'Evaluation Plan'!R127</x:f>
        <x:v>5</x:v>
      </x:c>
      <x:c r="S127" s="43" t="str">
        <x:f>'Evaluation Plan'!S127</x:f>
        <x:v>Build the listed two-black-cup discrimination scene with the bowl empty.</x:v>
      </x:c>
      <x:c r="T127" s="43" t="str">
        <x:f>'Evaluation Plan'!T127</x:f>
        <x:v>Every prompt contains a state term; no direct-name-only black-cup trial is used. Report separately from the 50 primary transfer trials.</x:v>
      </x:c>
      <x:c r="U127" s="43" t="n">
        <x:f>'Evaluation Plan'!U127</x:f>
        <x:v>0</x:v>
      </x:c>
    </x:row>
    <x:row r="128" ht="51" customHeight="1">
      <x:c r="A128" s="40" t="str">
        <x:v>Not collected</x:v>
      </x:c>
      <x:c r="B128" s="41" t="n">
        <x:f>'Evaluation Plan'!B128</x:f>
        <x:v>126</x:v>
      </x:c>
      <x:c r="C128" s="40" t="str">
        <x:f>'Evaluation Plan'!C128</x:f>
        <x:v>Place the closed black cup in the bowl.</x:v>
      </x:c>
      <x:c r="D128" s="40" t="str">
        <x:f>'Evaluation Plan'!D128</x:f>
        <x:v>black cup A (C, RU); black cup B (O, RU); white cup A (C, RU)</x:v>
      </x:c>
      <x:c r="E128" s="41" t="str">
        <x:f>'Evaluation Plan'!E128</x:f>
      </x:c>
      <x:c r="F128" s="41" t="str">
        <x:f>'Evaluation Plan'!F128</x:f>
        <x:v>0</x:v>
      </x:c>
      <x:c r="G128" s="40" t="str">
        <x:f>'Evaluation Plan'!G128</x:f>
        <x:v>State-word concept reference only. The black cup is absent from fine-tuning, so no exact object-level training episode exists.</x:v>
      </x:c>
      <x:c r="H128" s="40" t="str">
        <x:f>'Evaluation Plan'!H128</x:f>
        <x:v>black cup A</x:v>
      </x:c>
      <x:c r="I128" s="40" t="str"/>
      <x:c r="J128" s="46" t="str">
        <x:f>'Evaluation Plan'!J128</x:f>
        <x:v>Novel-object state reasoning</x:v>
      </x:c>
      <x:c r="K128" s="41" t="str">
        <x:f>'Evaluation Plan'!K128</x:f>
        <x:v>SR-BLACK17</x:v>
      </x:c>
      <x:c r="L128" s="41" t="str">
        <x:f>'Evaluation Plan'!L128</x:f>
        <x:v>C</x:v>
      </x:c>
      <x:c r="M128" s="41" t="str">
        <x:f>'Evaluation Plan'!M128</x:f>
        <x:v>black cup</x:v>
      </x:c>
      <x:c r="N128" s="41" t="n">
        <x:f>'Evaluation Plan'!N128</x:f>
        <x:v>3</x:v>
      </x:c>
      <x:c r="O128" s="41" t="n">
        <x:f>'Evaluation Plan'!O128</x:f>
        <x:v>1</x:v>
      </x:c>
      <x:c r="P128" s="41" t="str">
        <x:f>'Evaluation Plan'!P128</x:f>
        <x:v>Empty</x:v>
      </x:c>
      <x:c r="Q128" s="40" t="str">
        <x:f>'Evaluation Plan'!Q128</x:f>
        <x:v>Reasoning-only globally unseen black-cup diagnostic</x:v>
      </x:c>
      <x:c r="R128" s="41" t="n">
        <x:f>'Evaluation Plan'!R128</x:f>
        <x:v>5</x:v>
      </x:c>
      <x:c r="S128" s="40" t="str">
        <x:f>'Evaluation Plan'!S128</x:f>
        <x:v>Build the listed two-black-cup discrimination scene with the bowl empty.</x:v>
      </x:c>
      <x:c r="T128" s="40" t="str">
        <x:f>'Evaluation Plan'!T128</x:f>
        <x:v>Every prompt contains a state term; no direct-name-only black-cup trial is used. Report separately from the 50 primary transfer trials.</x:v>
      </x:c>
      <x:c r="U128" s="40" t="n">
        <x:f>'Evaluation Plan'!U128</x:f>
        <x:v>0</x:v>
      </x:c>
    </x:row>
    <x:row r="129" ht="51" customHeight="1">
      <x:c r="A129" s="43" t="str">
        <x:v>Not collected</x:v>
      </x:c>
      <x:c r="B129" s="44" t="n">
        <x:f>'Evaluation Plan'!B129</x:f>
        <x:v>127</x:v>
      </x:c>
      <x:c r="C129" s="43" t="str">
        <x:f>'Evaluation Plan'!C129</x:f>
        <x:v>Place the open black cup in the bowl.</x:v>
      </x:c>
      <x:c r="D129" s="43" t="str">
        <x:f>'Evaluation Plan'!D129</x:f>
        <x:v>black cup B (O, UD); black cup A (C, UD); yellow-white striped cup B (O, RU); brown cup A (C, UD)</x:v>
      </x:c>
      <x:c r="E129" s="44" t="str">
        <x:f>'Evaluation Plan'!E129</x:f>
      </x:c>
      <x:c r="F129" s="44" t="str">
        <x:f>'Evaluation Plan'!F129</x:f>
        <x:v>101</x:v>
      </x:c>
      <x:c r="G129" s="43" t="str">
        <x:f>'Evaluation Plan'!G129</x:f>
        <x:v>State-word concept reference only. The black cup is absent from fine-tuning, so no exact object-level training episode exists.</x:v>
      </x:c>
      <x:c r="H129" s="43" t="str">
        <x:f>'Evaluation Plan'!H129</x:f>
        <x:v>black cup B</x:v>
      </x:c>
      <x:c r="I129" s="43" t="str"/>
      <x:c r="J129" s="46" t="str">
        <x:f>'Evaluation Plan'!J129</x:f>
        <x:v>Novel-object state reasoning</x:v>
      </x:c>
      <x:c r="K129" s="44" t="str">
        <x:f>'Evaluation Plan'!K129</x:f>
        <x:v>SR-BLACK18</x:v>
      </x:c>
      <x:c r="L129" s="44" t="str">
        <x:f>'Evaluation Plan'!L129</x:f>
        <x:v>O</x:v>
      </x:c>
      <x:c r="M129" s="44" t="str">
        <x:f>'Evaluation Plan'!M129</x:f>
        <x:v>black cup</x:v>
      </x:c>
      <x:c r="N129" s="44" t="n">
        <x:f>'Evaluation Plan'!N129</x:f>
        <x:v>4</x:v>
      </x:c>
      <x:c r="O129" s="44" t="n">
        <x:f>'Evaluation Plan'!O129</x:f>
        <x:v>1</x:v>
      </x:c>
      <x:c r="P129" s="44" t="str">
        <x:f>'Evaluation Plan'!P129</x:f>
        <x:v>Empty</x:v>
      </x:c>
      <x:c r="Q129" s="43" t="str">
        <x:f>'Evaluation Plan'!Q129</x:f>
        <x:v>Reasoning-only globally unseen black-cup diagnostic</x:v>
      </x:c>
      <x:c r="R129" s="44" t="n">
        <x:f>'Evaluation Plan'!R129</x:f>
        <x:v>5</x:v>
      </x:c>
      <x:c r="S129" s="43" t="str">
        <x:f>'Evaluation Plan'!S129</x:f>
        <x:v>Build the listed two-black-cup discrimination scene with the bowl empty.</x:v>
      </x:c>
      <x:c r="T129" s="43" t="str">
        <x:f>'Evaluation Plan'!T129</x:f>
        <x:v>Every prompt contains a state term; no direct-name-only black-cup trial is used. Report separately from the 50 primary transfer trials.</x:v>
      </x:c>
      <x:c r="U129" s="43" t="n">
        <x:f>'Evaluation Plan'!U129</x:f>
        <x:v>0</x:v>
      </x:c>
    </x:row>
    <x:row r="130" ht="51" customHeight="1">
      <x:c r="A130" s="40" t="str">
        <x:v>Not collected</x:v>
      </x:c>
      <x:c r="B130" s="41" t="n">
        <x:f>'Evaluation Plan'!B130</x:f>
        <x:v>128</x:v>
      </x:c>
      <x:c r="C130" s="40" t="str">
        <x:f>'Evaluation Plan'!C130</x:f>
        <x:v>Place the upside-down black cup in the bowl.</x:v>
      </x:c>
      <x:c r="D130" s="40" t="str">
        <x:f>'Evaluation Plan'!D130</x:f>
        <x:v>black cup A (C, UD); black cup B (C, RU)</x:v>
      </x:c>
      <x:c r="E130" s="41" t="str">
        <x:f>'Evaluation Plan'!E130</x:f>
      </x:c>
      <x:c r="F130" s="41" t="str">
        <x:f>'Evaluation Plan'!F130</x:f>
        <x:v>78</x:v>
      </x:c>
      <x:c r="G130" s="40" t="str">
        <x:f>'Evaluation Plan'!G130</x:f>
        <x:v>State-word concept reference only. The black cup is absent from fine-tuning, so no exact object-level training episode exists.</x:v>
      </x:c>
      <x:c r="H130" s="40" t="str">
        <x:f>'Evaluation Plan'!H130</x:f>
        <x:v>black cup A</x:v>
      </x:c>
      <x:c r="I130" s="40" t="str"/>
      <x:c r="J130" s="46" t="str">
        <x:f>'Evaluation Plan'!J130</x:f>
        <x:v>Novel-object state reasoning</x:v>
      </x:c>
      <x:c r="K130" s="41" t="str">
        <x:f>'Evaluation Plan'!K130</x:f>
        <x:v>SR-BLACK19</x:v>
      </x:c>
      <x:c r="L130" s="41" t="str">
        <x:f>'Evaluation Plan'!L130</x:f>
        <x:v>UD</x:v>
      </x:c>
      <x:c r="M130" s="41" t="str">
        <x:f>'Evaluation Plan'!M130</x:f>
        <x:v>black cup</x:v>
      </x:c>
      <x:c r="N130" s="41" t="n">
        <x:f>'Evaluation Plan'!N130</x:f>
        <x:v>2</x:v>
      </x:c>
      <x:c r="O130" s="41" t="n">
        <x:f>'Evaluation Plan'!O130</x:f>
        <x:v>1</x:v>
      </x:c>
      <x:c r="P130" s="41" t="str">
        <x:f>'Evaluation Plan'!P130</x:f>
        <x:v>Empty</x:v>
      </x:c>
      <x:c r="Q130" s="40" t="str">
        <x:f>'Evaluation Plan'!Q130</x:f>
        <x:v>Reasoning-only globally unseen black-cup diagnostic</x:v>
      </x:c>
      <x:c r="R130" s="41" t="n">
        <x:f>'Evaluation Plan'!R130</x:f>
        <x:v>5</x:v>
      </x:c>
      <x:c r="S130" s="40" t="str">
        <x:f>'Evaluation Plan'!S130</x:f>
        <x:v>Build the listed two-black-cup discrimination scene with the bowl empty.</x:v>
      </x:c>
      <x:c r="T130" s="40" t="str">
        <x:f>'Evaluation Plan'!T130</x:f>
        <x:v>Every prompt contains a state term; no direct-name-only black-cup trial is used. Report separately from the 50 primary transfer trials.</x:v>
      </x:c>
      <x:c r="U130" s="40" t="n">
        <x:f>'Evaluation Plan'!U130</x:f>
        <x:v>0</x:v>
      </x:c>
    </x:row>
    <x:row r="131" ht="51" customHeight="1">
      <x:c r="A131" s="43" t="str">
        <x:v>Not collected</x:v>
      </x:c>
      <x:c r="B131" s="44" t="n">
        <x:f>'Evaluation Plan'!B131</x:f>
        <x:v>129</x:v>
      </x:c>
      <x:c r="C131" s="43" t="str">
        <x:f>'Evaluation Plan'!C131</x:f>
        <x:v>Place the upright black cup in the bowl.</x:v>
      </x:c>
      <x:c r="D131" s="43" t="str">
        <x:f>'Evaluation Plan'!D131</x:f>
        <x:v>black cup B (O, RU); black cup A (O, UD); glass spice container B (O, UD)</x:v>
      </x:c>
      <x:c r="E131" s="44" t="str">
        <x:f>'Evaluation Plan'!E131</x:f>
      </x:c>
      <x:c r="F131" s="44" t="str">
        <x:f>'Evaluation Plan'!F131</x:f>
        <x:v>26</x:v>
      </x:c>
      <x:c r="G131" s="43" t="str">
        <x:f>'Evaluation Plan'!G131</x:f>
        <x:v>State-word concept reference only. The black cup is absent from fine-tuning, so no exact object-level training episode exists.</x:v>
      </x:c>
      <x:c r="H131" s="43" t="str">
        <x:f>'Evaluation Plan'!H131</x:f>
        <x:v>black cup B</x:v>
      </x:c>
      <x:c r="I131" s="43" t="str"/>
      <x:c r="J131" s="46" t="str">
        <x:f>'Evaluation Plan'!J131</x:f>
        <x:v>Novel-object state reasoning</x:v>
      </x:c>
      <x:c r="K131" s="44" t="str">
        <x:f>'Evaluation Plan'!K131</x:f>
        <x:v>SR-BLACK20</x:v>
      </x:c>
      <x:c r="L131" s="44" t="str">
        <x:f>'Evaluation Plan'!L131</x:f>
        <x:v>RU</x:v>
      </x:c>
      <x:c r="M131" s="44" t="str">
        <x:f>'Evaluation Plan'!M131</x:f>
        <x:v>black cup</x:v>
      </x:c>
      <x:c r="N131" s="44" t="n">
        <x:f>'Evaluation Plan'!N131</x:f>
        <x:v>3</x:v>
      </x:c>
      <x:c r="O131" s="44" t="n">
        <x:f>'Evaluation Plan'!O131</x:f>
        <x:v>1</x:v>
      </x:c>
      <x:c r="P131" s="44" t="str">
        <x:f>'Evaluation Plan'!P131</x:f>
        <x:v>Empty</x:v>
      </x:c>
      <x:c r="Q131" s="43" t="str">
        <x:f>'Evaluation Plan'!Q131</x:f>
        <x:v>Reasoning-only globally unseen black-cup diagnostic</x:v>
      </x:c>
      <x:c r="R131" s="44" t="n">
        <x:f>'Evaluation Plan'!R131</x:f>
        <x:v>5</x:v>
      </x:c>
      <x:c r="S131" s="43" t="str">
        <x:f>'Evaluation Plan'!S131</x:f>
        <x:v>Build the listed two-black-cup discrimination scene with the bowl empty.</x:v>
      </x:c>
      <x:c r="T131" s="43" t="str">
        <x:f>'Evaluation Plan'!T131</x:f>
        <x:v>Every prompt contains a state term; no direct-name-only black-cup trial is used. Report separately from the 50 primary transfer trials.</x:v>
      </x:c>
      <x:c r="U131" s="43" t="n">
        <x:f>'Evaluation Plan'!U131</x:f>
        <x:v>0</x:v>
      </x:c>
    </x:row>
    <x:row r="132" ht="51" customHeight="1">
      <x:c r="A132" s="40" t="str">
        <x:v>Not collected</x:v>
      </x:c>
      <x:c r="B132" s="41" t="n">
        <x:f>'Evaluation Plan'!B132</x:f>
        <x:v>130</x:v>
      </x:c>
      <x:c r="C132" s="40" t="str">
        <x:f>'Evaluation Plan'!C132</x:f>
        <x:v>Place the closed white cup in the bowl.</x:v>
      </x:c>
      <x:c r="D132" s="40" t="str">
        <x:f>'Evaluation Plan'!D132</x:f>
        <x:v>white cup A (O, RU); white cup B (O, UD)</x:v>
      </x:c>
      <x:c r="E132" s="41" t="str">
        <x:f>'Evaluation Plan'!E132</x:f>
      </x:c>
      <x:c r="F132" s="41" t="str">
        <x:f>'Evaluation Plan'!F132</x:f>
        <x:v>0</x:v>
      </x:c>
      <x:c r="G132" s="40" t="str">
        <x:f>'Evaluation Plan'!G132</x:f>
        <x:v>The state-object concept is explicitly trained, but training does not contain a no-satisfying-target abstention trajectory.</x:v>
      </x:c>
      <x:c r="H132" s="40" t="str">
        <x:f>'Evaluation Plan'!H132</x:f>
        <x:v>NO-OP; no object has state C, so nothing should be picked up</x:v>
      </x:c>
      <x:c r="I132" s="40" t="str"/>
      <x:c r="J132" s="42" t="str">
        <x:f>'Evaluation Plan'!J132</x:f>
        <x:v>No valid target / no movement</x:v>
      </x:c>
      <x:c r="K132" s="41" t="str">
        <x:f>'Evaluation Plan'!K132</x:f>
        <x:v>SR-NOOP01</x:v>
      </x:c>
      <x:c r="L132" s="41" t="str">
        <x:f>'Evaluation Plan'!L132</x:f>
        <x:v>C</x:v>
      </x:c>
      <x:c r="M132" s="41" t="str">
        <x:f>'Evaluation Plan'!M132</x:f>
        <x:v>white cup</x:v>
      </x:c>
      <x:c r="N132" s="41" t="n">
        <x:f>'Evaluation Plan'!N132</x:f>
        <x:v>2</x:v>
      </x:c>
      <x:c r="O132" s="41" t="n">
        <x:f>'Evaluation Plan'!O132</x:f>
        <x:v>0</x:v>
      </x:c>
      <x:c r="P132" s="41" t="str">
        <x:f>'Evaluation Plan'!P132</x:f>
        <x:v>Empty</x:v>
      </x:c>
      <x:c r="Q132" s="40" t="str">
        <x:f>'Evaluation Plan'!Q132</x:f>
        <x:v>No satisfying state present; bowl remains empty</x:v>
      </x:c>
      <x:c r="R132" s="41" t="n">
        <x:f>'Evaluation Plan'!R132</x:f>
        <x:v>6</x:v>
      </x:c>
      <x:c r="S132" s="40" t="str">
        <x:f>'Evaluation Plan'!S132</x:f>
        <x:v>Build the listed no-match scene and confirm the bowl is empty.</x:v>
      </x:c>
      <x:c r="T132" s="40" t="str">
        <x:f>'Evaluation Plan'!T132</x:f>
        <x:v>No object in the entire scene has the queried state. The prompt uses the same canonical frame as active trials, and the queried state-object cell is training-supported.</x:v>
      </x:c>
      <x:c r="U132" s="40" t="n">
        <x:f>'Evaluation Plan'!U132</x:f>
        <x:v>0</x:v>
      </x:c>
    </x:row>
    <x:row r="133" ht="51" customHeight="1">
      <x:c r="A133" s="43" t="str">
        <x:v>Not collected</x:v>
      </x:c>
      <x:c r="B133" s="44" t="n">
        <x:f>'Evaluation Plan'!B133</x:f>
        <x:v>131</x:v>
      </x:c>
      <x:c r="C133" s="43" t="str">
        <x:f>'Evaluation Plan'!C133</x:f>
        <x:v>Place the upside-down yellow-white striped cup in the bowl.</x:v>
      </x:c>
      <x:c r="D133" s="43" t="str">
        <x:f>'Evaluation Plan'!D133</x:f>
        <x:v>yellow-white striped cup A (C, RU); yellow-white striped cup B (O, RU); brown cup B (O, RU)</x:v>
      </x:c>
      <x:c r="E133" s="44" t="str">
        <x:f>'Evaluation Plan'!E133</x:f>
      </x:c>
      <x:c r="F133" s="44" t="str">
        <x:f>'Evaluation Plan'!F133</x:f>
        <x:v>78</x:v>
      </x:c>
      <x:c r="G133" s="43" t="str">
        <x:f>'Evaluation Plan'!G133</x:f>
        <x:v>The state-object concept is explicitly trained, but training does not contain a no-satisfying-target abstention trajectory.</x:v>
      </x:c>
      <x:c r="H133" s="43" t="str">
        <x:f>'Evaluation Plan'!H133</x:f>
        <x:v>NO-OP; no object has state UD, so nothing should be picked up</x:v>
      </x:c>
      <x:c r="I133" s="43" t="str"/>
      <x:c r="J133" s="42" t="str">
        <x:f>'Evaluation Plan'!J133</x:f>
        <x:v>No valid target / no movement</x:v>
      </x:c>
      <x:c r="K133" s="44" t="str">
        <x:f>'Evaluation Plan'!K133</x:f>
        <x:v>SR-NOOP02</x:v>
      </x:c>
      <x:c r="L133" s="44" t="str">
        <x:f>'Evaluation Plan'!L133</x:f>
        <x:v>UD</x:v>
      </x:c>
      <x:c r="M133" s="44" t="str">
        <x:f>'Evaluation Plan'!M133</x:f>
        <x:v>yellow-white striped cup</x:v>
      </x:c>
      <x:c r="N133" s="44" t="n">
        <x:f>'Evaluation Plan'!N133</x:f>
        <x:v>3</x:v>
      </x:c>
      <x:c r="O133" s="44" t="n">
        <x:f>'Evaluation Plan'!O133</x:f>
        <x:v>0</x:v>
      </x:c>
      <x:c r="P133" s="44" t="str">
        <x:f>'Evaluation Plan'!P133</x:f>
        <x:v>Empty</x:v>
      </x:c>
      <x:c r="Q133" s="43" t="str">
        <x:f>'Evaluation Plan'!Q133</x:f>
        <x:v>No satisfying state present; bowl remains empty</x:v>
      </x:c>
      <x:c r="R133" s="44" t="n">
        <x:f>'Evaluation Plan'!R133</x:f>
        <x:v>6</x:v>
      </x:c>
      <x:c r="S133" s="43" t="str">
        <x:f>'Evaluation Plan'!S133</x:f>
        <x:v>Build the listed no-match scene and confirm the bowl is empty.</x:v>
      </x:c>
      <x:c r="T133" s="43" t="str">
        <x:f>'Evaluation Plan'!T133</x:f>
        <x:v>No object in the entire scene has the queried state. The prompt uses the same canonical frame as active trials, and the queried state-object cell is training-supported.</x:v>
      </x:c>
      <x:c r="U133" s="43" t="n">
        <x:f>'Evaluation Plan'!U133</x:f>
        <x:v>0</x:v>
      </x:c>
    </x:row>
    <x:row r="134" ht="51" customHeight="1">
      <x:c r="A134" s="40" t="str">
        <x:v>Not collected</x:v>
      </x:c>
      <x:c r="B134" s="41" t="n">
        <x:f>'Evaluation Plan'!B134</x:f>
        <x:v>132</x:v>
      </x:c>
      <x:c r="C134" s="40" t="str">
        <x:f>'Evaluation Plan'!C134</x:f>
        <x:v>Place the open brown cup in the bowl.</x:v>
      </x:c>
      <x:c r="D134" s="40" t="str">
        <x:f>'Evaluation Plan'!D134</x:f>
        <x:v>brown cup A (C, RU); brown cup B (C, UD); glass spice container A (C, UD); white cup B (C, UD)</x:v>
      </x:c>
      <x:c r="E134" s="41" t="str">
        <x:f>'Evaluation Plan'!E134</x:f>
      </x:c>
      <x:c r="F134" s="41" t="str">
        <x:f>'Evaluation Plan'!F134</x:f>
        <x:v>101</x:v>
      </x:c>
      <x:c r="G134" s="40" t="str">
        <x:f>'Evaluation Plan'!G134</x:f>
        <x:v>The state-object concept is explicitly trained, but training does not contain a no-satisfying-target abstention trajectory.</x:v>
      </x:c>
      <x:c r="H134" s="40" t="str">
        <x:f>'Evaluation Plan'!H134</x:f>
        <x:v>NO-OP; no object has state O, so nothing should be picked up</x:v>
      </x:c>
      <x:c r="I134" s="40" t="str"/>
      <x:c r="J134" s="42" t="str">
        <x:f>'Evaluation Plan'!J134</x:f>
        <x:v>No valid target / no movement</x:v>
      </x:c>
      <x:c r="K134" s="41" t="str">
        <x:f>'Evaluation Plan'!K134</x:f>
        <x:v>SR-NOOP03</x:v>
      </x:c>
      <x:c r="L134" s="41" t="str">
        <x:f>'Evaluation Plan'!L134</x:f>
        <x:v>O</x:v>
      </x:c>
      <x:c r="M134" s="41" t="str">
        <x:f>'Evaluation Plan'!M134</x:f>
        <x:v>brown cup</x:v>
      </x:c>
      <x:c r="N134" s="41" t="n">
        <x:f>'Evaluation Plan'!N134</x:f>
        <x:v>4</x:v>
      </x:c>
      <x:c r="O134" s="41" t="n">
        <x:f>'Evaluation Plan'!O134</x:f>
        <x:v>0</x:v>
      </x:c>
      <x:c r="P134" s="41" t="str">
        <x:f>'Evaluation Plan'!P134</x:f>
        <x:v>Empty</x:v>
      </x:c>
      <x:c r="Q134" s="40" t="str">
        <x:f>'Evaluation Plan'!Q134</x:f>
        <x:v>No satisfying state present; bowl remains empty</x:v>
      </x:c>
      <x:c r="R134" s="41" t="n">
        <x:f>'Evaluation Plan'!R134</x:f>
        <x:v>6</x:v>
      </x:c>
      <x:c r="S134" s="40" t="str">
        <x:f>'Evaluation Plan'!S134</x:f>
        <x:v>Build the listed no-match scene and confirm the bowl is empty.</x:v>
      </x:c>
      <x:c r="T134" s="40" t="str">
        <x:f>'Evaluation Plan'!T134</x:f>
        <x:v>No object in the entire scene has the queried state. The prompt uses the same canonical frame as active trials, and the queried state-object cell is training-supported.</x:v>
      </x:c>
      <x:c r="U134" s="40" t="n">
        <x:f>'Evaluation Plan'!U134</x:f>
        <x:v>0</x:v>
      </x:c>
    </x:row>
    <x:row r="135" ht="51" customHeight="1">
      <x:c r="A135" s="43" t="str">
        <x:v>Not collected</x:v>
      </x:c>
      <x:c r="B135" s="44" t="n">
        <x:f>'Evaluation Plan'!B135</x:f>
        <x:v>133</x:v>
      </x:c>
      <x:c r="C135" s="43" t="str">
        <x:f>'Evaluation Plan'!C135</x:f>
        <x:v>Place the closed glass spice container in the bowl.</x:v>
      </x:c>
      <x:c r="D135" s="43" t="str">
        <x:f>'Evaluation Plan'!D135</x:f>
        <x:v>glass spice container A (O, RU); glass spice container B (O, UD)</x:v>
      </x:c>
      <x:c r="E135" s="44" t="str">
        <x:f>'Evaluation Plan'!E135</x:f>
      </x:c>
      <x:c r="F135" s="44" t="str">
        <x:f>'Evaluation Plan'!F135</x:f>
        <x:v>151</x:v>
      </x:c>
      <x:c r="G135" s="43" t="str">
        <x:f>'Evaluation Plan'!G135</x:f>
        <x:v>The state-object concept is explicitly trained, but training does not contain a no-satisfying-target abstention trajectory.</x:v>
      </x:c>
      <x:c r="H135" s="43" t="str">
        <x:f>'Evaluation Plan'!H135</x:f>
        <x:v>NO-OP; no object has state C, so nothing should be picked up</x:v>
      </x:c>
      <x:c r="I135" s="43" t="str"/>
      <x:c r="J135" s="42" t="str">
        <x:f>'Evaluation Plan'!J135</x:f>
        <x:v>No valid target / no movement</x:v>
      </x:c>
      <x:c r="K135" s="44" t="str">
        <x:f>'Evaluation Plan'!K135</x:f>
        <x:v>SR-NOOP04</x:v>
      </x:c>
      <x:c r="L135" s="44" t="str">
        <x:f>'Evaluation Plan'!L135</x:f>
        <x:v>C</x:v>
      </x:c>
      <x:c r="M135" s="44" t="str">
        <x:f>'Evaluation Plan'!M135</x:f>
        <x:v>glass spice container</x:v>
      </x:c>
      <x:c r="N135" s="44" t="n">
        <x:f>'Evaluation Plan'!N135</x:f>
        <x:v>2</x:v>
      </x:c>
      <x:c r="O135" s="44" t="n">
        <x:f>'Evaluation Plan'!O135</x:f>
        <x:v>0</x:v>
      </x:c>
      <x:c r="P135" s="44" t="str">
        <x:f>'Evaluation Plan'!P135</x:f>
        <x:v>Empty</x:v>
      </x:c>
      <x:c r="Q135" s="43" t="str">
        <x:f>'Evaluation Plan'!Q135</x:f>
        <x:v>No satisfying state present; bowl remains empty</x:v>
      </x:c>
      <x:c r="R135" s="44" t="n">
        <x:f>'Evaluation Plan'!R135</x:f>
        <x:v>6</x:v>
      </x:c>
      <x:c r="S135" s="43" t="str">
        <x:f>'Evaluation Plan'!S135</x:f>
        <x:v>Build the listed no-match scene and confirm the bowl is empty.</x:v>
      </x:c>
      <x:c r="T135" s="43" t="str">
        <x:f>'Evaluation Plan'!T135</x:f>
        <x:v>No object in the entire scene has the queried state. The prompt uses the same canonical frame as active trials, and the queried state-object cell is training-supported.</x:v>
      </x:c>
      <x:c r="U135" s="43" t="n">
        <x:f>'Evaluation Plan'!U135</x:f>
        <x:v>0</x:v>
      </x:c>
    </x:row>
    <x:row r="136" ht="51" customHeight="1">
      <x:c r="A136" s="40" t="str">
        <x:v>Not collected</x:v>
      </x:c>
      <x:c r="B136" s="41" t="n">
        <x:f>'Evaluation Plan'!B136</x:f>
        <x:v>134</x:v>
      </x:c>
      <x:c r="C136" s="40" t="str">
        <x:f>'Evaluation Plan'!C136</x:f>
        <x:v>Place the open white cup in the bowl.</x:v>
      </x:c>
      <x:c r="D136" s="40" t="str">
        <x:f>'Evaluation Plan'!D136</x:f>
        <x:v>white cup A (C, UD); white cup B (C, RU); glass spice container B (C, RU)</x:v>
      </x:c>
      <x:c r="E136" s="41" t="str">
        <x:f>'Evaluation Plan'!E136</x:f>
      </x:c>
      <x:c r="F136" s="41" t="str">
        <x:f>'Evaluation Plan'!F136</x:f>
        <x:v>1</x:v>
      </x:c>
      <x:c r="G136" s="40" t="str">
        <x:f>'Evaluation Plan'!G136</x:f>
        <x:v>The state-object concept is explicitly trained, but training does not contain a no-satisfying-target abstention trajectory.</x:v>
      </x:c>
      <x:c r="H136" s="40" t="str">
        <x:f>'Evaluation Plan'!H136</x:f>
        <x:v>NO-OP; no object has state O, so nothing should be picked up</x:v>
      </x:c>
      <x:c r="I136" s="40" t="str"/>
      <x:c r="J136" s="42" t="str">
        <x:f>'Evaluation Plan'!J136</x:f>
        <x:v>No valid target / no movement</x:v>
      </x:c>
      <x:c r="K136" s="41" t="str">
        <x:f>'Evaluation Plan'!K136</x:f>
        <x:v>SR-NOOP05</x:v>
      </x:c>
      <x:c r="L136" s="41" t="str">
        <x:f>'Evaluation Plan'!L136</x:f>
        <x:v>O</x:v>
      </x:c>
      <x:c r="M136" s="41" t="str">
        <x:f>'Evaluation Plan'!M136</x:f>
        <x:v>white cup</x:v>
      </x:c>
      <x:c r="N136" s="41" t="n">
        <x:f>'Evaluation Plan'!N136</x:f>
        <x:v>3</x:v>
      </x:c>
      <x:c r="O136" s="41" t="n">
        <x:f>'Evaluation Plan'!O136</x:f>
        <x:v>0</x:v>
      </x:c>
      <x:c r="P136" s="41" t="str">
        <x:f>'Evaluation Plan'!P136</x:f>
        <x:v>Empty</x:v>
      </x:c>
      <x:c r="Q136" s="40" t="str">
        <x:f>'Evaluation Plan'!Q136</x:f>
        <x:v>No satisfying state present; bowl remains empty</x:v>
      </x:c>
      <x:c r="R136" s="41" t="n">
        <x:f>'Evaluation Plan'!R136</x:f>
        <x:v>6</x:v>
      </x:c>
      <x:c r="S136" s="40" t="str">
        <x:f>'Evaluation Plan'!S136</x:f>
        <x:v>Build the listed no-match scene and confirm the bowl is empty.</x:v>
      </x:c>
      <x:c r="T136" s="40" t="str">
        <x:f>'Evaluation Plan'!T136</x:f>
        <x:v>No object in the entire scene has the queried state. The prompt uses the same canonical frame as active trials, and the queried state-object cell is training-supported.</x:v>
      </x:c>
      <x:c r="U136" s="40" t="n">
        <x:f>'Evaluation Plan'!U136</x:f>
        <x:v>0</x:v>
      </x:c>
    </x:row>
    <x:row r="137" ht="51" customHeight="1">
      <x:c r="A137" s="43" t="str">
        <x:v>Not collected</x:v>
      </x:c>
      <x:c r="B137" s="44" t="n">
        <x:f>'Evaluation Plan'!B137</x:f>
        <x:v>135</x:v>
      </x:c>
      <x:c r="C137" s="43" t="str">
        <x:f>'Evaluation Plan'!C137</x:f>
        <x:v>Place the upright yellow-white striped cup in the bowl.</x:v>
      </x:c>
      <x:c r="D137" s="43" t="str">
        <x:f>'Evaluation Plan'!D137</x:f>
        <x:v>yellow-white striped cup A (O, UD); yellow-white striped cup B (C, UD); white cup A (C, UD); brown cup B (O, UD)</x:v>
      </x:c>
      <x:c r="E137" s="44" t="str">
        <x:f>'Evaluation Plan'!E137</x:f>
      </x:c>
      <x:c r="F137" s="44" t="str">
        <x:f>'Evaluation Plan'!F137</x:f>
        <x:v>75</x:v>
      </x:c>
      <x:c r="G137" s="43" t="str">
        <x:f>'Evaluation Plan'!G137</x:f>
        <x:v>The state-object concept is explicitly trained, but training does not contain a no-satisfying-target abstention trajectory.</x:v>
      </x:c>
      <x:c r="H137" s="43" t="str">
        <x:f>'Evaluation Plan'!H137</x:f>
        <x:v>NO-OP; no object has state RU, so nothing should be picked up</x:v>
      </x:c>
      <x:c r="I137" s="43" t="str"/>
      <x:c r="J137" s="42" t="str">
        <x:f>'Evaluation Plan'!J137</x:f>
        <x:v>No valid target / no movement</x:v>
      </x:c>
      <x:c r="K137" s="44" t="str">
        <x:f>'Evaluation Plan'!K137</x:f>
        <x:v>SR-NOOP06</x:v>
      </x:c>
      <x:c r="L137" s="44" t="str">
        <x:f>'Evaluation Plan'!L137</x:f>
        <x:v>RU</x:v>
      </x:c>
      <x:c r="M137" s="44" t="str">
        <x:f>'Evaluation Plan'!M137</x:f>
        <x:v>yellow-white striped cup</x:v>
      </x:c>
      <x:c r="N137" s="44" t="n">
        <x:f>'Evaluation Plan'!N137</x:f>
        <x:v>4</x:v>
      </x:c>
      <x:c r="O137" s="44" t="n">
        <x:f>'Evaluation Plan'!O137</x:f>
        <x:v>0</x:v>
      </x:c>
      <x:c r="P137" s="44" t="str">
        <x:f>'Evaluation Plan'!P137</x:f>
        <x:v>Empty</x:v>
      </x:c>
      <x:c r="Q137" s="43" t="str">
        <x:f>'Evaluation Plan'!Q137</x:f>
        <x:v>No satisfying state present; bowl remains empty</x:v>
      </x:c>
      <x:c r="R137" s="44" t="n">
        <x:f>'Evaluation Plan'!R137</x:f>
        <x:v>6</x:v>
      </x:c>
      <x:c r="S137" s="43" t="str">
        <x:f>'Evaluation Plan'!S137</x:f>
        <x:v>Build the listed no-match scene and confirm the bowl is empty.</x:v>
      </x:c>
      <x:c r="T137" s="43" t="str">
        <x:f>'Evaluation Plan'!T137</x:f>
        <x:v>No object in the entire scene has the queried state. The prompt uses the same canonical frame as active trials, and the queried state-object cell is training-supported.</x:v>
      </x:c>
      <x:c r="U137" s="43" t="n">
        <x:f>'Evaluation Plan'!U137</x:f>
        <x:v>0</x:v>
      </x:c>
    </x:row>
    <x:row r="138" ht="51" customHeight="1">
      <x:c r="A138" s="40" t="str">
        <x:v>Not collected</x:v>
      </x:c>
      <x:c r="B138" s="41" t="n">
        <x:f>'Evaluation Plan'!B138</x:f>
        <x:v>136</x:v>
      </x:c>
      <x:c r="C138" s="40" t="str">
        <x:f>'Evaluation Plan'!C138</x:f>
        <x:v>Place the upside-down brown cup in the bowl.</x:v>
      </x:c>
      <x:c r="D138" s="40" t="str">
        <x:f>'Evaluation Plan'!D138</x:f>
        <x:v>brown cup A (O, RU); brown cup B (C, RU)</x:v>
      </x:c>
      <x:c r="E138" s="41" t="str">
        <x:f>'Evaluation Plan'!E138</x:f>
      </x:c>
      <x:c r="F138" s="41" t="str">
        <x:f>'Evaluation Plan'!F138</x:f>
        <x:v>125</x:v>
      </x:c>
      <x:c r="G138" s="40" t="str">
        <x:f>'Evaluation Plan'!G138</x:f>
        <x:v>The state-object concept is explicitly trained, but training does not contain a no-satisfying-target abstention trajectory.</x:v>
      </x:c>
      <x:c r="H138" s="40" t="str">
        <x:f>'Evaluation Plan'!H138</x:f>
        <x:v>NO-OP; no object has state UD, so nothing should be picked up</x:v>
      </x:c>
      <x:c r="I138" s="40" t="str"/>
      <x:c r="J138" s="42" t="str">
        <x:f>'Evaluation Plan'!J138</x:f>
        <x:v>No valid target / no movement</x:v>
      </x:c>
      <x:c r="K138" s="41" t="str">
        <x:f>'Evaluation Plan'!K138</x:f>
        <x:v>SR-NOOP07</x:v>
      </x:c>
      <x:c r="L138" s="41" t="str">
        <x:f>'Evaluation Plan'!L138</x:f>
        <x:v>UD</x:v>
      </x:c>
      <x:c r="M138" s="41" t="str">
        <x:f>'Evaluation Plan'!M138</x:f>
        <x:v>brown cup</x:v>
      </x:c>
      <x:c r="N138" s="41" t="n">
        <x:f>'Evaluation Plan'!N138</x:f>
        <x:v>2</x:v>
      </x:c>
      <x:c r="O138" s="41" t="n">
        <x:f>'Evaluation Plan'!O138</x:f>
        <x:v>0</x:v>
      </x:c>
      <x:c r="P138" s="41" t="str">
        <x:f>'Evaluation Plan'!P138</x:f>
        <x:v>Empty</x:v>
      </x:c>
      <x:c r="Q138" s="40" t="str">
        <x:f>'Evaluation Plan'!Q138</x:f>
        <x:v>No satisfying state present; bowl remains empty</x:v>
      </x:c>
      <x:c r="R138" s="41" t="n">
        <x:f>'Evaluation Plan'!R138</x:f>
        <x:v>6</x:v>
      </x:c>
      <x:c r="S138" s="40" t="str">
        <x:f>'Evaluation Plan'!S138</x:f>
        <x:v>Build the listed no-match scene and confirm the bowl is empty.</x:v>
      </x:c>
      <x:c r="T138" s="40" t="str">
        <x:f>'Evaluation Plan'!T138</x:f>
        <x:v>No object in the entire scene has the queried state. The prompt uses the same canonical frame as active trials, and the queried state-object cell is training-supported.</x:v>
      </x:c>
      <x:c r="U138" s="40" t="n">
        <x:f>'Evaluation Plan'!U138</x:f>
        <x:v>0</x:v>
      </x:c>
    </x:row>
    <x:row r="139" ht="51" customHeight="1">
      <x:c r="A139" s="43" t="str">
        <x:v>Not collected</x:v>
      </x:c>
      <x:c r="B139" s="44" t="n">
        <x:f>'Evaluation Plan'!B139</x:f>
        <x:v>137</x:v>
      </x:c>
      <x:c r="C139" s="43" t="str">
        <x:f>'Evaluation Plan'!C139</x:f>
        <x:v>Place the open glass spice container in the bowl.</x:v>
      </x:c>
      <x:c r="D139" s="43" t="str">
        <x:f>'Evaluation Plan'!D139</x:f>
        <x:v>glass spice container A (C, UD); glass spice container B (C, RU); brown cup A (C, RU)</x:v>
      </x:c>
      <x:c r="E139" s="44" t="str">
        <x:f>'Evaluation Plan'!E139</x:f>
      </x:c>
      <x:c r="F139" s="44" t="str">
        <x:f>'Evaluation Plan'!F139</x:f>
        <x:v>150</x:v>
      </x:c>
      <x:c r="G139" s="43" t="str">
        <x:f>'Evaluation Plan'!G139</x:f>
        <x:v>The state-object concept is explicitly trained, but training does not contain a no-satisfying-target abstention trajectory.</x:v>
      </x:c>
      <x:c r="H139" s="43" t="str">
        <x:f>'Evaluation Plan'!H139</x:f>
        <x:v>NO-OP; no object has state O, so nothing should be picked up</x:v>
      </x:c>
      <x:c r="I139" s="43" t="str"/>
      <x:c r="J139" s="42" t="str">
        <x:f>'Evaluation Plan'!J139</x:f>
        <x:v>No valid target / no movement</x:v>
      </x:c>
      <x:c r="K139" s="44" t="str">
        <x:f>'Evaluation Plan'!K139</x:f>
        <x:v>SR-NOOP08</x:v>
      </x:c>
      <x:c r="L139" s="44" t="str">
        <x:f>'Evaluation Plan'!L139</x:f>
        <x:v>O</x:v>
      </x:c>
      <x:c r="M139" s="44" t="str">
        <x:f>'Evaluation Plan'!M139</x:f>
        <x:v>glass spice container</x:v>
      </x:c>
      <x:c r="N139" s="44" t="n">
        <x:f>'Evaluation Plan'!N139</x:f>
        <x:v>3</x:v>
      </x:c>
      <x:c r="O139" s="44" t="n">
        <x:f>'Evaluation Plan'!O139</x:f>
        <x:v>0</x:v>
      </x:c>
      <x:c r="P139" s="44" t="str">
        <x:f>'Evaluation Plan'!P139</x:f>
        <x:v>Empty</x:v>
      </x:c>
      <x:c r="Q139" s="43" t="str">
        <x:f>'Evaluation Plan'!Q139</x:f>
        <x:v>No satisfying state present; bowl remains empty</x:v>
      </x:c>
      <x:c r="R139" s="44" t="n">
        <x:f>'Evaluation Plan'!R139</x:f>
        <x:v>6</x:v>
      </x:c>
      <x:c r="S139" s="43" t="str">
        <x:f>'Evaluation Plan'!S139</x:f>
        <x:v>Build the listed no-match scene and confirm the bowl is empty.</x:v>
      </x:c>
      <x:c r="T139" s="43" t="str">
        <x:f>'Evaluation Plan'!T139</x:f>
        <x:v>No object in the entire scene has the queried state. The prompt uses the same canonical frame as active trials, and the queried state-object cell is training-supported.</x:v>
      </x:c>
      <x:c r="U139" s="43" t="n">
        <x:f>'Evaluation Plan'!U139</x:f>
        <x:v>0</x:v>
      </x:c>
    </x:row>
    <x:row r="140" ht="51" customHeight="1">
      <x:c r="A140" s="40" t="str">
        <x:v>Not collected</x:v>
      </x:c>
      <x:c r="B140" s="41" t="n">
        <x:f>'Evaluation Plan'!B140</x:f>
        <x:v>138</x:v>
      </x:c>
      <x:c r="C140" s="40" t="str">
        <x:f>'Evaluation Plan'!C140</x:f>
        <x:v>Place the upright white cup in the bowl.</x:v>
      </x:c>
      <x:c r="D140" s="40" t="str">
        <x:f>'Evaluation Plan'!D140</x:f>
        <x:v>white cup A (C, UD); white cup B (O, UD); brown cup A (C, UD); glass spice container B (O, UD)</x:v>
      </x:c>
      <x:c r="E140" s="41" t="str">
        <x:f>'Evaluation Plan'!E140</x:f>
      </x:c>
      <x:c r="F140" s="41" t="str">
        <x:f>'Evaluation Plan'!F140</x:f>
        <x:v>26</x:v>
      </x:c>
      <x:c r="G140" s="40" t="str">
        <x:f>'Evaluation Plan'!G140</x:f>
        <x:v>The state-object concept is explicitly trained, but training does not contain a no-satisfying-target abstention trajectory.</x:v>
      </x:c>
      <x:c r="H140" s="40" t="str">
        <x:f>'Evaluation Plan'!H140</x:f>
        <x:v>NO-OP; no object has state RU, so nothing should be picked up</x:v>
      </x:c>
      <x:c r="I140" s="40" t="str"/>
      <x:c r="J140" s="42" t="str">
        <x:f>'Evaluation Plan'!J140</x:f>
        <x:v>No valid target / no movement</x:v>
      </x:c>
      <x:c r="K140" s="41" t="str">
        <x:f>'Evaluation Plan'!K140</x:f>
        <x:v>SR-NOOP09</x:v>
      </x:c>
      <x:c r="L140" s="41" t="str">
        <x:f>'Evaluation Plan'!L140</x:f>
        <x:v>RU</x:v>
      </x:c>
      <x:c r="M140" s="41" t="str">
        <x:f>'Evaluation Plan'!M140</x:f>
        <x:v>white cup</x:v>
      </x:c>
      <x:c r="N140" s="41" t="n">
        <x:f>'Evaluation Plan'!N140</x:f>
        <x:v>4</x:v>
      </x:c>
      <x:c r="O140" s="41" t="n">
        <x:f>'Evaluation Plan'!O140</x:f>
        <x:v>0</x:v>
      </x:c>
      <x:c r="P140" s="41" t="str">
        <x:f>'Evaluation Plan'!P140</x:f>
        <x:v>Empty</x:v>
      </x:c>
      <x:c r="Q140" s="40" t="str">
        <x:f>'Evaluation Plan'!Q140</x:f>
        <x:v>No satisfying state present; bowl remains empty</x:v>
      </x:c>
      <x:c r="R140" s="41" t="n">
        <x:f>'Evaluation Plan'!R140</x:f>
        <x:v>6</x:v>
      </x:c>
      <x:c r="S140" s="40" t="str">
        <x:f>'Evaluation Plan'!S140</x:f>
        <x:v>Build the listed no-match scene and confirm the bowl is empty.</x:v>
      </x:c>
      <x:c r="T140" s="40" t="str">
        <x:f>'Evaluation Plan'!T140</x:f>
        <x:v>No object in the entire scene has the queried state. The prompt uses the same canonical frame as active trials, and the queried state-object cell is training-supported.</x:v>
      </x:c>
      <x:c r="U140" s="40" t="n">
        <x:f>'Evaluation Plan'!U140</x:f>
        <x:v>0</x:v>
      </x:c>
    </x:row>
    <x:row r="141" ht="51" customHeight="1">
      <x:c r="A141" s="43" t="str">
        <x:v>Not collected</x:v>
      </x:c>
      <x:c r="B141" s="44" t="n">
        <x:f>'Evaluation Plan'!B141</x:f>
        <x:v>139</x:v>
      </x:c>
      <x:c r="C141" s="43" t="str">
        <x:f>'Evaluation Plan'!C141</x:f>
        <x:v>Place the closed yellow-white striped cup in the bowl.</x:v>
      </x:c>
      <x:c r="D141" s="43" t="str">
        <x:f>'Evaluation Plan'!D141</x:f>
        <x:v>yellow-white striped cup A (O, RU); yellow-white striped cup B (O, UD)</x:v>
      </x:c>
      <x:c r="E141" s="44" t="str">
        <x:f>'Evaluation Plan'!E141</x:f>
      </x:c>
      <x:c r="F141" s="44" t="str">
        <x:f>'Evaluation Plan'!F141</x:f>
        <x:v>51</x:v>
      </x:c>
      <x:c r="G141" s="43" t="str">
        <x:f>'Evaluation Plan'!G141</x:f>
        <x:v>The state-object concept is explicitly trained, but training does not contain a no-satisfying-target abstention trajectory.</x:v>
      </x:c>
      <x:c r="H141" s="43" t="str">
        <x:f>'Evaluation Plan'!H141</x:f>
        <x:v>NO-OP; no object has state C, so nothing should be picked up</x:v>
      </x:c>
      <x:c r="I141" s="43" t="str"/>
      <x:c r="J141" s="42" t="str">
        <x:f>'Evaluation Plan'!J141</x:f>
        <x:v>No valid target / no movement</x:v>
      </x:c>
      <x:c r="K141" s="44" t="str">
        <x:f>'Evaluation Plan'!K141</x:f>
        <x:v>SR-NOOP10</x:v>
      </x:c>
      <x:c r="L141" s="44" t="str">
        <x:f>'Evaluation Plan'!L141</x:f>
        <x:v>C</x:v>
      </x:c>
      <x:c r="M141" s="44" t="str">
        <x:f>'Evaluation Plan'!M141</x:f>
        <x:v>yellow-white striped cup</x:v>
      </x:c>
      <x:c r="N141" s="44" t="n">
        <x:f>'Evaluation Plan'!N141</x:f>
        <x:v>2</x:v>
      </x:c>
      <x:c r="O141" s="44" t="n">
        <x:f>'Evaluation Plan'!O141</x:f>
        <x:v>0</x:v>
      </x:c>
      <x:c r="P141" s="44" t="str">
        <x:f>'Evaluation Plan'!P141</x:f>
        <x:v>Empty</x:v>
      </x:c>
      <x:c r="Q141" s="43" t="str">
        <x:f>'Evaluation Plan'!Q141</x:f>
        <x:v>No satisfying state present; bowl remains empty</x:v>
      </x:c>
      <x:c r="R141" s="44" t="n">
        <x:f>'Evaluation Plan'!R141</x:f>
        <x:v>6</x:v>
      </x:c>
      <x:c r="S141" s="43" t="str">
        <x:f>'Evaluation Plan'!S141</x:f>
        <x:v>Build the listed no-match scene and confirm the bowl is empty.</x:v>
      </x:c>
      <x:c r="T141" s="43" t="str">
        <x:f>'Evaluation Plan'!T141</x:f>
        <x:v>No object in the entire scene has the queried state. The prompt uses the same canonical frame as active trials, and the queried state-object cell is training-supported.</x:v>
      </x:c>
      <x:c r="U141" s="43" t="n">
        <x:f>'Evaluation Plan'!U141</x:f>
        <x:v>0</x:v>
      </x:c>
    </x:row>
    <x:row r="142" ht="51" customHeight="1">
      <x:c r="A142" s="40" t="str">
        <x:v>Not collected</x:v>
      </x:c>
      <x:c r="B142" s="41" t="n">
        <x:f>'Evaluation Plan'!B142</x:f>
        <x:v>140</x:v>
      </x:c>
      <x:c r="C142" s="40" t="str">
        <x:f>'Evaluation Plan'!C142</x:f>
        <x:v>Place the upright brown cup in the bowl.</x:v>
      </x:c>
      <x:c r="D142" s="40" t="str">
        <x:f>'Evaluation Plan'!D142</x:f>
        <x:v>brown cup A (C, UD); brown cup B (O, UD); white cup A (C, UD)</x:v>
      </x:c>
      <x:c r="E142" s="41" t="str">
        <x:f>'Evaluation Plan'!E142</x:f>
      </x:c>
      <x:c r="F142" s="41" t="str">
        <x:f>'Evaluation Plan'!F142</x:f>
        <x:v>128</x:v>
      </x:c>
      <x:c r="G142" s="40" t="str">
        <x:f>'Evaluation Plan'!G142</x:f>
        <x:v>The state-object concept is explicitly trained, but training does not contain a no-satisfying-target abstention trajectory.</x:v>
      </x:c>
      <x:c r="H142" s="40" t="str">
        <x:f>'Evaluation Plan'!H142</x:f>
        <x:v>NO-OP; no object has state RU, so nothing should be picked up</x:v>
      </x:c>
      <x:c r="I142" s="40" t="str"/>
      <x:c r="J142" s="42" t="str">
        <x:f>'Evaluation Plan'!J142</x:f>
        <x:v>No valid target / no movement</x:v>
      </x:c>
      <x:c r="K142" s="41" t="str">
        <x:f>'Evaluation Plan'!K142</x:f>
        <x:v>SR-NOOP11</x:v>
      </x:c>
      <x:c r="L142" s="41" t="str">
        <x:f>'Evaluation Plan'!L142</x:f>
        <x:v>RU</x:v>
      </x:c>
      <x:c r="M142" s="41" t="str">
        <x:f>'Evaluation Plan'!M142</x:f>
        <x:v>brown cup</x:v>
      </x:c>
      <x:c r="N142" s="41" t="n">
        <x:f>'Evaluation Plan'!N142</x:f>
        <x:v>3</x:v>
      </x:c>
      <x:c r="O142" s="41" t="n">
        <x:f>'Evaluation Plan'!O142</x:f>
        <x:v>0</x:v>
      </x:c>
      <x:c r="P142" s="41" t="str">
        <x:f>'Evaluation Plan'!P142</x:f>
        <x:v>Empty</x:v>
      </x:c>
      <x:c r="Q142" s="40" t="str">
        <x:f>'Evaluation Plan'!Q142</x:f>
        <x:v>No satisfying state present; bowl remains empty</x:v>
      </x:c>
      <x:c r="R142" s="41" t="n">
        <x:f>'Evaluation Plan'!R142</x:f>
        <x:v>6</x:v>
      </x:c>
      <x:c r="S142" s="40" t="str">
        <x:f>'Evaluation Plan'!S142</x:f>
        <x:v>Build the listed no-match scene and confirm the bowl is empty.</x:v>
      </x:c>
      <x:c r="T142" s="40" t="str">
        <x:f>'Evaluation Plan'!T142</x:f>
        <x:v>No object in the entire scene has the queried state. The prompt uses the same canonical frame as active trials, and the queried state-object cell is training-supported.</x:v>
      </x:c>
      <x:c r="U142" s="40" t="n">
        <x:f>'Evaluation Plan'!U142</x:f>
        <x:v>0</x:v>
      </x:c>
    </x:row>
    <x:row r="143" ht="51" customHeight="1">
      <x:c r="A143" s="43" t="str">
        <x:v>Not collected</x:v>
      </x:c>
      <x:c r="B143" s="44" t="n">
        <x:f>'Evaluation Plan'!B143</x:f>
        <x:v>141</x:v>
      </x:c>
      <x:c r="C143" s="43" t="str">
        <x:f>'Evaluation Plan'!C143</x:f>
        <x:v>Place the upside-down glass spice container in the bowl.</x:v>
      </x:c>
      <x:c r="D143" s="43" t="str">
        <x:f>'Evaluation Plan'!D143</x:f>
        <x:v>glass spice container A (C, RU); glass spice container B (O, RU); yellow-white striped cup B (O, RU); brown cup A (C, RU)</x:v>
      </x:c>
      <x:c r="E143" s="44" t="str">
        <x:f>'Evaluation Plan'!E143</x:f>
      </x:c>
      <x:c r="F143" s="44" t="str">
        <x:f>'Evaluation Plan'!F143</x:f>
        <x:v>176</x:v>
      </x:c>
      <x:c r="G143" s="43" t="str">
        <x:f>'Evaluation Plan'!G143</x:f>
        <x:v>The state-object concept is explicitly trained, but training does not contain a no-satisfying-target abstention trajectory.</x:v>
      </x:c>
      <x:c r="H143" s="43" t="str">
        <x:f>'Evaluation Plan'!H143</x:f>
        <x:v>NO-OP; no object has state UD, so nothing should be picked up</x:v>
      </x:c>
      <x:c r="I143" s="43" t="str"/>
      <x:c r="J143" s="42" t="str">
        <x:f>'Evaluation Plan'!J143</x:f>
        <x:v>No valid target / no movement</x:v>
      </x:c>
      <x:c r="K143" s="44" t="str">
        <x:f>'Evaluation Plan'!K143</x:f>
        <x:v>SR-NOOP12</x:v>
      </x:c>
      <x:c r="L143" s="44" t="str">
        <x:f>'Evaluation Plan'!L143</x:f>
        <x:v>UD</x:v>
      </x:c>
      <x:c r="M143" s="44" t="str">
        <x:f>'Evaluation Plan'!M143</x:f>
        <x:v>glass spice container</x:v>
      </x:c>
      <x:c r="N143" s="44" t="n">
        <x:f>'Evaluation Plan'!N143</x:f>
        <x:v>4</x:v>
      </x:c>
      <x:c r="O143" s="44" t="n">
        <x:f>'Evaluation Plan'!O143</x:f>
        <x:v>0</x:v>
      </x:c>
      <x:c r="P143" s="44" t="str">
        <x:f>'Evaluation Plan'!P143</x:f>
        <x:v>Empty</x:v>
      </x:c>
      <x:c r="Q143" s="43" t="str">
        <x:f>'Evaluation Plan'!Q143</x:f>
        <x:v>No satisfying state present; bowl remains empty</x:v>
      </x:c>
      <x:c r="R143" s="44" t="n">
        <x:f>'Evaluation Plan'!R143</x:f>
        <x:v>6</x:v>
      </x:c>
      <x:c r="S143" s="43" t="str">
        <x:f>'Evaluation Plan'!S143</x:f>
        <x:v>Build the listed no-match scene and confirm the bowl is empty.</x:v>
      </x:c>
      <x:c r="T143" s="43" t="str">
        <x:f>'Evaluation Plan'!T143</x:f>
        <x:v>No object in the entire scene has the queried state. The prompt uses the same canonical frame as active trials, and the queried state-object cell is training-supported.</x:v>
      </x:c>
      <x:c r="U143" s="43" t="n">
        <x:f>'Evaluation Plan'!U143</x:f>
        <x:v>0</x:v>
      </x:c>
    </x:row>
    <x:row r="144" ht="51" customHeight="1">
      <x:c r="A144" s="40" t="str">
        <x:v>Not collected</x:v>
      </x:c>
      <x:c r="B144" s="41" t="n">
        <x:f>'Evaluation Plan'!B144</x:f>
        <x:v>142</x:v>
      </x:c>
      <x:c r="C144" s="40" t="str">
        <x:f>'Evaluation Plan'!C144</x:f>
        <x:v>Place the closed white cup in the bowl.</x:v>
      </x:c>
      <x:c r="D144" s="40" t="str">
        <x:f>'Evaluation Plan'!D144</x:f>
        <x:v>white cup A (O, UD); white cup B (O, RU)</x:v>
      </x:c>
      <x:c r="E144" s="41" t="str">
        <x:f>'Evaluation Plan'!E144</x:f>
      </x:c>
      <x:c r="F144" s="41" t="str">
        <x:f>'Evaluation Plan'!F144</x:f>
        <x:v>3</x:v>
      </x:c>
      <x:c r="G144" s="40" t="str">
        <x:f>'Evaluation Plan'!G144</x:f>
        <x:v>The state-object concept is explicitly trained, but training does not contain a no-satisfying-target abstention trajectory.</x:v>
      </x:c>
      <x:c r="H144" s="40" t="str">
        <x:f>'Evaluation Plan'!H144</x:f>
        <x:v>NO-OP; no object has state C, so nothing should be picked up</x:v>
      </x:c>
      <x:c r="I144" s="40" t="str"/>
      <x:c r="J144" s="42" t="str">
        <x:f>'Evaluation Plan'!J144</x:f>
        <x:v>No valid target / no movement</x:v>
      </x:c>
      <x:c r="K144" s="41" t="str">
        <x:f>'Evaluation Plan'!K144</x:f>
        <x:v>SR-NOOP13</x:v>
      </x:c>
      <x:c r="L144" s="41" t="str">
        <x:f>'Evaluation Plan'!L144</x:f>
        <x:v>C</x:v>
      </x:c>
      <x:c r="M144" s="41" t="str">
        <x:f>'Evaluation Plan'!M144</x:f>
        <x:v>white cup</x:v>
      </x:c>
      <x:c r="N144" s="41" t="n">
        <x:f>'Evaluation Plan'!N144</x:f>
        <x:v>2</x:v>
      </x:c>
      <x:c r="O144" s="41" t="n">
        <x:f>'Evaluation Plan'!O144</x:f>
        <x:v>0</x:v>
      </x:c>
      <x:c r="P144" s="41" t="str">
        <x:f>'Evaluation Plan'!P144</x:f>
        <x:v>Empty</x:v>
      </x:c>
      <x:c r="Q144" s="40" t="str">
        <x:f>'Evaluation Plan'!Q144</x:f>
        <x:v>No satisfying state present; bowl remains empty</x:v>
      </x:c>
      <x:c r="R144" s="41" t="n">
        <x:f>'Evaluation Plan'!R144</x:f>
        <x:v>6</x:v>
      </x:c>
      <x:c r="S144" s="40" t="str">
        <x:f>'Evaluation Plan'!S144</x:f>
        <x:v>Build the listed no-match scene and confirm the bowl is empty.</x:v>
      </x:c>
      <x:c r="T144" s="40" t="str">
        <x:f>'Evaluation Plan'!T144</x:f>
        <x:v>No object in the entire scene has the queried state. The prompt uses the same canonical frame as active trials, and the queried state-object cell is training-supported.</x:v>
      </x:c>
      <x:c r="U144" s="40" t="n">
        <x:f>'Evaluation Plan'!U144</x:f>
        <x:v>0</x:v>
      </x:c>
    </x:row>
    <x:row r="145" ht="51" customHeight="1">
      <x:c r="A145" s="43" t="str">
        <x:v>Not collected</x:v>
      </x:c>
      <x:c r="B145" s="44" t="n">
        <x:f>'Evaluation Plan'!B145</x:f>
        <x:v>143</x:v>
      </x:c>
      <x:c r="C145" s="43" t="str">
        <x:f>'Evaluation Plan'!C145</x:f>
        <x:v>Place the upside-down yellow-white striped cup in the bowl.</x:v>
      </x:c>
      <x:c r="D145" s="43" t="str">
        <x:f>'Evaluation Plan'!D145</x:f>
        <x:v>yellow-white striped cup A (O, RU); yellow-white striped cup B (C, RU); brown cup A (C, RU)</x:v>
      </x:c>
      <x:c r="E145" s="44" t="str">
        <x:f>'Evaluation Plan'!E145</x:f>
      </x:c>
      <x:c r="F145" s="44" t="str">
        <x:f>'Evaluation Plan'!F145</x:f>
        <x:v>83</x:v>
      </x:c>
      <x:c r="G145" s="43" t="str">
        <x:f>'Evaluation Plan'!G145</x:f>
        <x:v>The state-object concept is explicitly trained, but training does not contain a no-satisfying-target abstention trajectory.</x:v>
      </x:c>
      <x:c r="H145" s="43" t="str">
        <x:f>'Evaluation Plan'!H145</x:f>
        <x:v>NO-OP; no object has state UD, so nothing should be picked up</x:v>
      </x:c>
      <x:c r="I145" s="43" t="str"/>
      <x:c r="J145" s="42" t="str">
        <x:f>'Evaluation Plan'!J145</x:f>
        <x:v>No valid target / no movement</x:v>
      </x:c>
      <x:c r="K145" s="44" t="str">
        <x:f>'Evaluation Plan'!K145</x:f>
        <x:v>SR-NOOP14</x:v>
      </x:c>
      <x:c r="L145" s="44" t="str">
        <x:f>'Evaluation Plan'!L145</x:f>
        <x:v>UD</x:v>
      </x:c>
      <x:c r="M145" s="44" t="str">
        <x:f>'Evaluation Plan'!M145</x:f>
        <x:v>yellow-white striped cup</x:v>
      </x:c>
      <x:c r="N145" s="44" t="n">
        <x:f>'Evaluation Plan'!N145</x:f>
        <x:v>3</x:v>
      </x:c>
      <x:c r="O145" s="44" t="n">
        <x:f>'Evaluation Plan'!O145</x:f>
        <x:v>0</x:v>
      </x:c>
      <x:c r="P145" s="44" t="str">
        <x:f>'Evaluation Plan'!P145</x:f>
        <x:v>Empty</x:v>
      </x:c>
      <x:c r="Q145" s="43" t="str">
        <x:f>'Evaluation Plan'!Q145</x:f>
        <x:v>No satisfying state present; bowl remains empty</x:v>
      </x:c>
      <x:c r="R145" s="44" t="n">
        <x:f>'Evaluation Plan'!R145</x:f>
        <x:v>6</x:v>
      </x:c>
      <x:c r="S145" s="43" t="str">
        <x:f>'Evaluation Plan'!S145</x:f>
        <x:v>Build the listed no-match scene and confirm the bowl is empty.</x:v>
      </x:c>
      <x:c r="T145" s="43" t="str">
        <x:f>'Evaluation Plan'!T145</x:f>
        <x:v>No object in the entire scene has the queried state. The prompt uses the same canonical frame as active trials, and the queried state-object cell is training-supported.</x:v>
      </x:c>
      <x:c r="U145" s="43" t="n">
        <x:f>'Evaluation Plan'!U145</x:f>
        <x:v>0</x:v>
      </x:c>
    </x:row>
    <x:row r="146" ht="51" customHeight="1">
      <x:c r="A146" s="40" t="str">
        <x:v>Not collected</x:v>
      </x:c>
      <x:c r="B146" s="41" t="n">
        <x:f>'Evaluation Plan'!B146</x:f>
        <x:v>144</x:v>
      </x:c>
      <x:c r="C146" s="40" t="str">
        <x:f>'Evaluation Plan'!C146</x:f>
        <x:v>Place the upside-down brown cup in the bowl.</x:v>
      </x:c>
      <x:c r="D146" s="40" t="str">
        <x:f>'Evaluation Plan'!D146</x:f>
        <x:v>brown cup A (O, RU); brown cup B (C, RU); glass spice container B (O, RU); white cup A (C, RU)</x:v>
      </x:c>
      <x:c r="E146" s="41" t="str">
        <x:f>'Evaluation Plan'!E146</x:f>
      </x:c>
      <x:c r="F146" s="41" t="str">
        <x:f>'Evaluation Plan'!F146</x:f>
        <x:v>127</x:v>
      </x:c>
      <x:c r="G146" s="40" t="str">
        <x:f>'Evaluation Plan'!G146</x:f>
        <x:v>The state-object concept is explicitly trained, but training does not contain a no-satisfying-target abstention trajectory.</x:v>
      </x:c>
      <x:c r="H146" s="40" t="str">
        <x:f>'Evaluation Plan'!H146</x:f>
        <x:v>NO-OP; no object has state UD, so nothing should be picked up</x:v>
      </x:c>
      <x:c r="I146" s="40" t="str"/>
      <x:c r="J146" s="42" t="str">
        <x:f>'Evaluation Plan'!J146</x:f>
        <x:v>No valid target / no movement</x:v>
      </x:c>
      <x:c r="K146" s="41" t="str">
        <x:f>'Evaluation Plan'!K146</x:f>
        <x:v>SR-NOOP15</x:v>
      </x:c>
      <x:c r="L146" s="41" t="str">
        <x:f>'Evaluation Plan'!L146</x:f>
        <x:v>UD</x:v>
      </x:c>
      <x:c r="M146" s="41" t="str">
        <x:f>'Evaluation Plan'!M146</x:f>
        <x:v>brown cup</x:v>
      </x:c>
      <x:c r="N146" s="41" t="n">
        <x:f>'Evaluation Plan'!N146</x:f>
        <x:v>4</x:v>
      </x:c>
      <x:c r="O146" s="41" t="n">
        <x:f>'Evaluation Plan'!O146</x:f>
        <x:v>0</x:v>
      </x:c>
      <x:c r="P146" s="41" t="str">
        <x:f>'Evaluation Plan'!P146</x:f>
        <x:v>Empty</x:v>
      </x:c>
      <x:c r="Q146" s="40" t="str">
        <x:f>'Evaluation Plan'!Q146</x:f>
        <x:v>No satisfying state present; bowl remains empty</x:v>
      </x:c>
      <x:c r="R146" s="41" t="n">
        <x:f>'Evaluation Plan'!R146</x:f>
        <x:v>6</x:v>
      </x:c>
      <x:c r="S146" s="40" t="str">
        <x:f>'Evaluation Plan'!S146</x:f>
        <x:v>Build the listed no-match scene and confirm the bowl is empty.</x:v>
      </x:c>
      <x:c r="T146" s="40" t="str">
        <x:f>'Evaluation Plan'!T146</x:f>
        <x:v>No object in the entire scene has the queried state. The prompt uses the same canonical frame as active trials, and the queried state-object cell is training-supported.</x:v>
      </x:c>
      <x:c r="U146" s="40" t="n">
        <x:f>'Evaluation Plan'!U146</x:f>
        <x:v>0</x:v>
      </x:c>
    </x:row>
    <x:row r="147" ht="51" customHeight="1">
      <x:c r="A147" s="43" t="str">
        <x:v>Not collected</x:v>
      </x:c>
      <x:c r="B147" s="44" t="n">
        <x:f>'Evaluation Plan'!B147</x:f>
        <x:v>145</x:v>
      </x:c>
      <x:c r="C147" s="43" t="str">
        <x:f>'Evaluation Plan'!C147</x:f>
        <x:v>Place the closed glass spice container in the bowl.</x:v>
      </x:c>
      <x:c r="D147" s="43" t="str">
        <x:f>'Evaluation Plan'!D147</x:f>
        <x:v>glass spice container A (O, UD); glass spice container B (O, RU)</x:v>
      </x:c>
      <x:c r="E147" s="44" t="str">
        <x:f>'Evaluation Plan'!E147</x:f>
      </x:c>
      <x:c r="F147" s="44" t="str">
        <x:f>'Evaluation Plan'!F147</x:f>
        <x:v>152</x:v>
      </x:c>
      <x:c r="G147" s="43" t="str">
        <x:f>'Evaluation Plan'!G147</x:f>
        <x:v>The state-object concept is explicitly trained, but training does not contain a no-satisfying-target abstention trajectory.</x:v>
      </x:c>
      <x:c r="H147" s="43" t="str">
        <x:f>'Evaluation Plan'!H147</x:f>
        <x:v>NO-OP; no object has state C, so nothing should be picked up</x:v>
      </x:c>
      <x:c r="I147" s="43" t="str"/>
      <x:c r="J147" s="42" t="str">
        <x:f>'Evaluation Plan'!J147</x:f>
        <x:v>No valid target / no movement</x:v>
      </x:c>
      <x:c r="K147" s="44" t="str">
        <x:f>'Evaluation Plan'!K147</x:f>
        <x:v>SR-NOOP16</x:v>
      </x:c>
      <x:c r="L147" s="44" t="str">
        <x:f>'Evaluation Plan'!L147</x:f>
        <x:v>C</x:v>
      </x:c>
      <x:c r="M147" s="44" t="str">
        <x:f>'Evaluation Plan'!M147</x:f>
        <x:v>glass spice container</x:v>
      </x:c>
      <x:c r="N147" s="44" t="n">
        <x:f>'Evaluation Plan'!N147</x:f>
        <x:v>2</x:v>
      </x:c>
      <x:c r="O147" s="44" t="n">
        <x:f>'Evaluation Plan'!O147</x:f>
        <x:v>0</x:v>
      </x:c>
      <x:c r="P147" s="44" t="str">
        <x:f>'Evaluation Plan'!P147</x:f>
        <x:v>Empty</x:v>
      </x:c>
      <x:c r="Q147" s="43" t="str">
        <x:f>'Evaluation Plan'!Q147</x:f>
        <x:v>No satisfying state present; bowl remains empty</x:v>
      </x:c>
      <x:c r="R147" s="44" t="n">
        <x:f>'Evaluation Plan'!R147</x:f>
        <x:v>6</x:v>
      </x:c>
      <x:c r="S147" s="43" t="str">
        <x:f>'Evaluation Plan'!S147</x:f>
        <x:v>Build the listed no-match scene and confirm the bowl is empty.</x:v>
      </x:c>
      <x:c r="T147" s="43" t="str">
        <x:f>'Evaluation Plan'!T147</x:f>
        <x:v>No object in the entire scene has the queried state. The prompt uses the same canonical frame as active trials, and the queried state-object cell is training-supported.</x:v>
      </x:c>
      <x:c r="U147" s="43" t="n">
        <x:f>'Evaluation Plan'!U147</x:f>
        <x:v>0</x:v>
      </x:c>
    </x:row>
    <x:row r="148" ht="51" customHeight="1">
      <x:c r="A148" s="40" t="str">
        <x:v>Not collected</x:v>
      </x:c>
      <x:c r="B148" s="41" t="n">
        <x:f>'Evaluation Plan'!B148</x:f>
        <x:v>146</x:v>
      </x:c>
      <x:c r="C148" s="40" t="str">
        <x:f>'Evaluation Plan'!C148</x:f>
        <x:v>Place the open white cup in the bowl.</x:v>
      </x:c>
      <x:c r="D148" s="40" t="str">
        <x:f>'Evaluation Plan'!D148</x:f>
        <x:v>white cup A (C, RU); white cup B (C, UD); glass spice container A (C, RU)</x:v>
      </x:c>
      <x:c r="E148" s="41" t="str">
        <x:f>'Evaluation Plan'!E148</x:f>
      </x:c>
      <x:c r="F148" s="41" t="str">
        <x:f>'Evaluation Plan'!F148</x:f>
        <x:v>2</x:v>
      </x:c>
      <x:c r="G148" s="40" t="str">
        <x:f>'Evaluation Plan'!G148</x:f>
        <x:v>The state-object concept is explicitly trained, but training does not contain a no-satisfying-target abstention trajectory.</x:v>
      </x:c>
      <x:c r="H148" s="40" t="str">
        <x:f>'Evaluation Plan'!H148</x:f>
        <x:v>NO-OP; no object has state O, so nothing should be picked up</x:v>
      </x:c>
      <x:c r="I148" s="40" t="str"/>
      <x:c r="J148" s="42" t="str">
        <x:f>'Evaluation Plan'!J148</x:f>
        <x:v>No valid target / no movement</x:v>
      </x:c>
      <x:c r="K148" s="41" t="str">
        <x:f>'Evaluation Plan'!K148</x:f>
        <x:v>SR-NOOP17</x:v>
      </x:c>
      <x:c r="L148" s="41" t="str">
        <x:f>'Evaluation Plan'!L148</x:f>
        <x:v>O</x:v>
      </x:c>
      <x:c r="M148" s="41" t="str">
        <x:f>'Evaluation Plan'!M148</x:f>
        <x:v>white cup</x:v>
      </x:c>
      <x:c r="N148" s="41" t="n">
        <x:f>'Evaluation Plan'!N148</x:f>
        <x:v>3</x:v>
      </x:c>
      <x:c r="O148" s="41" t="n">
        <x:f>'Evaluation Plan'!O148</x:f>
        <x:v>0</x:v>
      </x:c>
      <x:c r="P148" s="41" t="str">
        <x:f>'Evaluation Plan'!P148</x:f>
        <x:v>Empty</x:v>
      </x:c>
      <x:c r="Q148" s="40" t="str">
        <x:f>'Evaluation Plan'!Q148</x:f>
        <x:v>No satisfying state present; bowl remains empty</x:v>
      </x:c>
      <x:c r="R148" s="41" t="n">
        <x:f>'Evaluation Plan'!R148</x:f>
        <x:v>6</x:v>
      </x:c>
      <x:c r="S148" s="40" t="str">
        <x:f>'Evaluation Plan'!S148</x:f>
        <x:v>Build the listed no-match scene and confirm the bowl is empty.</x:v>
      </x:c>
      <x:c r="T148" s="40" t="str">
        <x:f>'Evaluation Plan'!T148</x:f>
        <x:v>No object in the entire scene has the queried state. The prompt uses the same canonical frame as active trials, and the queried state-object cell is training-supported.</x:v>
      </x:c>
      <x:c r="U148" s="40" t="n">
        <x:f>'Evaluation Plan'!U148</x:f>
        <x:v>0</x:v>
      </x:c>
    </x:row>
    <x:row r="149" ht="51" customHeight="1">
      <x:c r="A149" s="43" t="str">
        <x:v>Not collected</x:v>
      </x:c>
      <x:c r="B149" s="44" t="n">
        <x:f>'Evaluation Plan'!B149</x:f>
        <x:v>147</x:v>
      </x:c>
      <x:c r="C149" s="43" t="str">
        <x:f>'Evaluation Plan'!C149</x:f>
        <x:v>Place the upright yellow-white striped cup in the bowl.</x:v>
      </x:c>
      <x:c r="D149" s="43" t="str">
        <x:f>'Evaluation Plan'!D149</x:f>
        <x:v>yellow-white striped cup A (C, UD); yellow-white striped cup B (O, UD); white cup B (O, UD); brown cup A (C, UD)</x:v>
      </x:c>
      <x:c r="E149" s="44" t="str">
        <x:f>'Evaluation Plan'!E149</x:f>
      </x:c>
      <x:c r="F149" s="44" t="str">
        <x:f>'Evaluation Plan'!F149</x:f>
        <x:v>76</x:v>
      </x:c>
      <x:c r="G149" s="43" t="str">
        <x:f>'Evaluation Plan'!G149</x:f>
        <x:v>The state-object concept is explicitly trained, but training does not contain a no-satisfying-target abstention trajectory.</x:v>
      </x:c>
      <x:c r="H149" s="43" t="str">
        <x:f>'Evaluation Plan'!H149</x:f>
        <x:v>NO-OP; no object has state RU, so nothing should be picked up</x:v>
      </x:c>
      <x:c r="I149" s="43" t="str"/>
      <x:c r="J149" s="42" t="str">
        <x:f>'Evaluation Plan'!J149</x:f>
        <x:v>No valid target / no movement</x:v>
      </x:c>
      <x:c r="K149" s="44" t="str">
        <x:f>'Evaluation Plan'!K149</x:f>
        <x:v>SR-NOOP18</x:v>
      </x:c>
      <x:c r="L149" s="44" t="str">
        <x:f>'Evaluation Plan'!L149</x:f>
        <x:v>RU</x:v>
      </x:c>
      <x:c r="M149" s="44" t="str">
        <x:f>'Evaluation Plan'!M149</x:f>
        <x:v>yellow-white striped cup</x:v>
      </x:c>
      <x:c r="N149" s="44" t="n">
        <x:f>'Evaluation Plan'!N149</x:f>
        <x:v>4</x:v>
      </x:c>
      <x:c r="O149" s="44" t="n">
        <x:f>'Evaluation Plan'!O149</x:f>
        <x:v>0</x:v>
      </x:c>
      <x:c r="P149" s="44" t="str">
        <x:f>'Evaluation Plan'!P149</x:f>
        <x:v>Empty</x:v>
      </x:c>
      <x:c r="Q149" s="43" t="str">
        <x:f>'Evaluation Plan'!Q149</x:f>
        <x:v>No satisfying state present; bowl remains empty</x:v>
      </x:c>
      <x:c r="R149" s="44" t="n">
        <x:f>'Evaluation Plan'!R149</x:f>
        <x:v>6</x:v>
      </x:c>
      <x:c r="S149" s="43" t="str">
        <x:f>'Evaluation Plan'!S149</x:f>
        <x:v>Build the listed no-match scene and confirm the bowl is empty.</x:v>
      </x:c>
      <x:c r="T149" s="43" t="str">
        <x:f>'Evaluation Plan'!T149</x:f>
        <x:v>No object in the entire scene has the queried state. The prompt uses the same canonical frame as active trials, and the queried state-object cell is training-supported.</x:v>
      </x:c>
      <x:c r="U149" s="43" t="n">
        <x:f>'Evaluation Plan'!U149</x:f>
        <x:v>0</x:v>
      </x:c>
    </x:row>
    <x:row r="150" ht="51" customHeight="1">
      <x:c r="A150" s="40" t="str">
        <x:v>Not collected</x:v>
      </x:c>
      <x:c r="B150" s="41" t="n">
        <x:f>'Evaluation Plan'!B150</x:f>
        <x:v>148</x:v>
      </x:c>
      <x:c r="C150" s="40" t="str">
        <x:f>'Evaluation Plan'!C150</x:f>
        <x:v>Place the upright brown cup in the bowl.</x:v>
      </x:c>
      <x:c r="D150" s="40" t="str">
        <x:f>'Evaluation Plan'!D150</x:f>
        <x:v>brown cup A (C, UD); brown cup B (O, UD)</x:v>
      </x:c>
      <x:c r="E150" s="41" t="str">
        <x:f>'Evaluation Plan'!E150</x:f>
      </x:c>
      <x:c r="F150" s="41" t="str">
        <x:f>'Evaluation Plan'!F150</x:f>
        <x:v>130</x:v>
      </x:c>
      <x:c r="G150" s="40" t="str">
        <x:f>'Evaluation Plan'!G150</x:f>
        <x:v>The state-object concept is explicitly trained, but training does not contain a no-satisfying-target abstention trajectory.</x:v>
      </x:c>
      <x:c r="H150" s="40" t="str">
        <x:f>'Evaluation Plan'!H150</x:f>
        <x:v>NO-OP; no object has state RU, so nothing should be picked up</x:v>
      </x:c>
      <x:c r="I150" s="40" t="str"/>
      <x:c r="J150" s="42" t="str">
        <x:f>'Evaluation Plan'!J150</x:f>
        <x:v>No valid target / no movement</x:v>
      </x:c>
      <x:c r="K150" s="41" t="str">
        <x:f>'Evaluation Plan'!K150</x:f>
        <x:v>SR-NOOP19</x:v>
      </x:c>
      <x:c r="L150" s="41" t="str">
        <x:f>'Evaluation Plan'!L150</x:f>
        <x:v>RU</x:v>
      </x:c>
      <x:c r="M150" s="41" t="str">
        <x:f>'Evaluation Plan'!M150</x:f>
        <x:v>brown cup</x:v>
      </x:c>
      <x:c r="N150" s="41" t="n">
        <x:f>'Evaluation Plan'!N150</x:f>
        <x:v>2</x:v>
      </x:c>
      <x:c r="O150" s="41" t="n">
        <x:f>'Evaluation Plan'!O150</x:f>
        <x:v>0</x:v>
      </x:c>
      <x:c r="P150" s="41" t="str">
        <x:f>'Evaluation Plan'!P150</x:f>
        <x:v>Empty</x:v>
      </x:c>
      <x:c r="Q150" s="40" t="str">
        <x:f>'Evaluation Plan'!Q150</x:f>
        <x:v>No satisfying state present; bowl remains empty</x:v>
      </x:c>
      <x:c r="R150" s="41" t="n">
        <x:f>'Evaluation Plan'!R150</x:f>
        <x:v>6</x:v>
      </x:c>
      <x:c r="S150" s="40" t="str">
        <x:f>'Evaluation Plan'!S150</x:f>
        <x:v>Build the listed no-match scene and confirm the bowl is empty.</x:v>
      </x:c>
      <x:c r="T150" s="40" t="str">
        <x:f>'Evaluation Plan'!T150</x:f>
        <x:v>No object in the entire scene has the queried state. The prompt uses the same canonical frame as active trials, and the queried state-object cell is training-supported.</x:v>
      </x:c>
      <x:c r="U150" s="40" t="n">
        <x:f>'Evaluation Plan'!U150</x:f>
        <x:v>0</x:v>
      </x:c>
    </x:row>
    <x:row r="151" ht="51" customHeight="1">
      <x:c r="A151" s="43" t="str">
        <x:v>Not collected</x:v>
      </x:c>
      <x:c r="B151" s="44" t="n">
        <x:f>'Evaluation Plan'!B151</x:f>
        <x:v>149</x:v>
      </x:c>
      <x:c r="C151" s="43" t="str">
        <x:f>'Evaluation Plan'!C151</x:f>
        <x:v>Place the open glass spice container in the bowl.</x:v>
      </x:c>
      <x:c r="D151" s="43" t="str">
        <x:f>'Evaluation Plan'!D151</x:f>
        <x:v>glass spice container A (C, RU); glass spice container B (C, UD); brown cup B (C, UD)</x:v>
      </x:c>
      <x:c r="E151" s="44" t="n">
        <x:f>'Evaluation Plan'!E151</x:f>
        <x:v>0</x:v>
      </x:c>
      <x:c r="F151" s="44" t="str">
        <x:f>'Evaluation Plan'!F151</x:f>
        <x:v>154</x:v>
      </x:c>
      <x:c r="G151" s="43" t="str">
        <x:f>'Evaluation Plan'!G151</x:f>
        <x:v>The state-object concept is explicitly trained, but training does not contain a no-satisfying-target abstention trajectory.</x:v>
      </x:c>
      <x:c r="H151" s="43" t="str">
        <x:f>'Evaluation Plan'!H151</x:f>
        <x:v>NO-OP; no object has state O, so nothing should be picked up</x:v>
      </x:c>
      <x:c r="I151" s="43" t="str"/>
      <x:c r="J151" s="42" t="str">
        <x:f>'Evaluation Plan'!J151</x:f>
        <x:v>No valid target / no movement</x:v>
      </x:c>
      <x:c r="K151" s="44" t="str">
        <x:f>'Evaluation Plan'!K151</x:f>
        <x:v>SR-NOOP20</x:v>
      </x:c>
      <x:c r="L151" s="44" t="str">
        <x:f>'Evaluation Plan'!L151</x:f>
        <x:v>O</x:v>
      </x:c>
      <x:c r="M151" s="44" t="str">
        <x:f>'Evaluation Plan'!M151</x:f>
        <x:v>glass spice container</x:v>
      </x:c>
      <x:c r="N151" s="44" t="n">
        <x:f>'Evaluation Plan'!N151</x:f>
        <x:v>3</x:v>
      </x:c>
      <x:c r="O151" s="44" t="n">
        <x:f>'Evaluation Plan'!O151</x:f>
        <x:v>0</x:v>
      </x:c>
      <x:c r="P151" s="44" t="str">
        <x:f>'Evaluation Plan'!P151</x:f>
        <x:v>Empty</x:v>
      </x:c>
      <x:c r="Q151" s="43" t="str">
        <x:f>'Evaluation Plan'!Q151</x:f>
        <x:v>No satisfying state present; bowl remains empty</x:v>
      </x:c>
      <x:c r="R151" s="44" t="n">
        <x:f>'Evaluation Plan'!R151</x:f>
        <x:v>6</x:v>
      </x:c>
      <x:c r="S151" s="43" t="str">
        <x:f>'Evaluation Plan'!S151</x:f>
        <x:v>Build the listed no-match scene and confirm the bowl is empty.</x:v>
      </x:c>
      <x:c r="T151" s="43" t="str">
        <x:f>'Evaluation Plan'!T151</x:f>
        <x:v>No object in the entire scene has the queried state. The prompt uses the same canonical frame as active trials, and the queried state-object cell is training-supported.</x:v>
      </x:c>
      <x:c r="U151" s="43" t="n">
        <x:f>'Evaluation Plan'!U151</x:f>
        <x:v>0</x:v>
      </x:c>
    </x:row>
  </x:sheetData>
  <x:conditionalFormatting sqref="A2:P131">
    <x:cfRule type="expression" dxfId="12" priority="1">
      <x:formula>$A2="Success"</x:formula>
    </x:cfRule>
    <x:cfRule type="expression" dxfId="13" priority="2">
      <x:formula>$A2="Failure"</x:formula>
    </x:cfRule>
  </x:conditionalFormatting>
  <x:conditionalFormatting sqref="H2:H131">
    <x:cfRule type="containsText" dxfId="14" priority="3" operator="containsText" text="Exact-scene opposite-state contrast"/>
  </x:conditionalFormatting>
  <x:conditionalFormatting sqref="A2:U151">
    <x:cfRule type="expression" dxfId="22" priority="4">
      <x:formula>$A2="Success"</x:formula>
    </x:cfRule>
    <x:cfRule type="expression" dxfId="23" priority="5">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670000076293945" hidden="0" customWidth="1"/>
    <x:col min="3" max="3" width="30" hidden="0" customWidth="1"/>
    <x:col min="4" max="4" width="48.88999938964844" hidden="0" customWidth="1"/>
    <x:col min="5" max="5" width="9.4399995803833" hidden="0" customWidth="1"/>
    <x:col min="6" max="6" width="12.779999732971191" hidden="0" customWidth="1"/>
    <x:col min="7" max="7" width="40" hidden="0" customWidth="1"/>
    <x:col min="8" max="8" width="25.559999465942383" hidden="0" customWidth="1"/>
    <x:col min="9" max="9" width="28.889999389648438" hidden="0" customWidth="1"/>
    <x:col min="10" max="10" width="23.889999389648438" hidden="0" customWidth="1"/>
    <x:col min="11" max="11" width="10.5600004196167" hidden="0" customWidth="1"/>
    <x:col min="12" max="12" width="8.890000343322754" hidden="0" customWidth="1"/>
    <x:col min="13" max="13" width="20" hidden="0" customWidth="1"/>
    <x:col min="14" max="14" width="8.329999923706055" hidden="0" customWidth="1"/>
    <x:col min="15" max="15" width="10" hidden="0" customWidth="1"/>
    <x:col min="16" max="16" width="8.890000343322754" hidden="0" customWidth="1"/>
    <x:col min="17" max="17" width="30.559999465942383" hidden="0" customWidth="1"/>
    <x:col min="18" max="18" width="9.4399995803833" hidden="0" customWidth="1"/>
    <x:col min="19" max="19" width="27.780000686645508" hidden="0" customWidth="1"/>
    <x:col min="20" max="20" width="36.66999816894531" hidden="0" customWidth="1"/>
    <x:col min="21" max="21" width="20.559999465942383" hidden="0" customWidth="1"/>
  </x:cols>
  <x:sheetData>
    <x:row r="1" ht="30" customHeight="1">
      <x:c r="A1" s="30" t="str">
        <x:v>Status</x:v>
      </x:c>
      <x:c r="B1" s="30" t="str">
        <x:v>Episode</x:v>
      </x:c>
      <x:c r="C1" s="30" t="str">
        <x:v>Prompt</x:v>
      </x:c>
      <x:c r="D1" s="30" t="str">
        <x:v>Objects and States</x:v>
      </x:c>
      <x:c r="E1" s="30" t="str">
        <x:v>Reference Episode</x:v>
      </x:c>
      <x:c r="F1" s="30" t="str">
        <x:v>Original Training Episode(s)</x:v>
      </x:c>
      <x:c r="G1" s="30" t="str">
        <x:v>Manifest Alignment</x:v>
      </x:c>
      <x:c r="H1" s="30" t="str">
        <x:v>Expected Target / Action</x:v>
      </x:c>
      <x:c r="I1" s="30" t="str">
        <x:v>Observations</x:v>
      </x:c>
      <x:c r="J1" s="30" t="str">
        <x:v>Condition</x:v>
      </x:c>
      <x:c r="K1" s="30" t="str">
        <x:v>Scene Family</x:v>
      </x:c>
      <x:c r="L1" s="30" t="str">
        <x:v>Queried State</x:v>
      </x:c>
      <x:c r="M1" s="30" t="str">
        <x:v>Queried Category</x:v>
      </x:c>
      <x:c r="N1" s="30" t="str">
        <x:v>Object Count</x:v>
      </x:c>
      <x:c r="O1" s="30" t="str">
        <x:v>Valid Candidate Count</x:v>
      </x:c>
      <x:c r="P1" s="30" t="str">
        <x:v>Bowl Start</x:v>
      </x:c>
      <x:c r="Q1" s="30" t="str">
        <x:v>Comparison / Subtype</x:v>
      </x:c>
      <x:c r="R1" s="30" t="str">
        <x:v>Collection Block</x:v>
      </x:c>
      <x:c r="S1" s="30" t="str">
        <x:v>Setup Change from Previous</x:v>
      </x:c>
      <x:c r="T1" s="30" t="str">
        <x:v>Design Note</x:v>
      </x:c>
      <x:c r="U1" s="30" t="str">
        <x:v>Reference Media Filename</x:v>
      </x:c>
    </x:row>
    <x:row r="2" ht="51" customHeight="1">
      <x:c r="A2" s="40" t="str">
        <x:v>Not collected</x:v>
      </x:c>
      <x:c r="B2" s="41" t="n">
        <x:f>'Evaluation Plan'!B2</x:f>
        <x:v>0</x:v>
      </x:c>
      <x:c r="C2" s="40" t="str">
        <x:f>'Evaluation Plan'!C2</x:f>
        <x:v>Put the open white cup in the bowl.</x:v>
      </x:c>
      <x:c r="D2" s="40" t="str">
        <x:f>'Evaluation Plan'!D2</x:f>
        <x:v>white cup A (O, RU); white cup B (C, RU); glass spice container A (O, RU); yellow-white striped cup B (O, RU)</x:v>
      </x:c>
      <x:c r="E2" s="41" t="str">
        <x:f>'Evaluation Plan'!E2</x:f>
      </x:c>
      <x:c r="F2" s="41" t="str">
        <x:f>'Evaluation Plan'!F2</x:f>
        <x:v>2</x:v>
      </x:c>
      <x:c r="G2" s="40" t="str">
        <x:f>'Evaluation Plan'!G2</x:f>
        <x:v>Exact manifest episode: trained state-object cell, prompt, same-category candidate structure, and object membership match; physical layout is manually recreated.</x:v>
      </x:c>
      <x:c r="H2" s="40" t="str">
        <x:f>'Evaluation Plan'!H2</x:f>
        <x:v>white cup A</x:v>
      </x:c>
      <x:c r="I2" s="40" t="str"/>
      <x:c r="J2" s="42" t="str">
        <x:f>'Evaluation Plan'!J2</x:f>
        <x:v>In-distribution concept baseline</x:v>
      </x:c>
      <x:c r="K2" s="41" t="str">
        <x:f>'Evaluation Plan'!K2</x:f>
        <x:v>SR-ID01</x:v>
      </x:c>
      <x:c r="L2" s="41" t="str">
        <x:f>'Evaluation Plan'!L2</x:f>
        <x:v>O</x:v>
      </x:c>
      <x:c r="M2" s="41" t="str">
        <x:f>'Evaluation Plan'!M2</x:f>
        <x:v>white cup</x:v>
      </x:c>
      <x:c r="N2" s="41" t="n">
        <x:f>'Evaluation Plan'!N2</x:f>
        <x:v>4</x:v>
      </x:c>
      <x:c r="O2" s="41" t="n">
        <x:f>'Evaluation Plan'!O2</x:f>
        <x:v>1</x:v>
      </x:c>
      <x:c r="P2" s="41" t="str">
        <x:f>'Evaluation Plan'!P2</x:f>
        <x:v>Empty</x:v>
      </x:c>
      <x:c r="Q2" s="40" t="str">
        <x:f>'Evaluation Plan'!Q2</x:f>
        <x:v>Exact training-supported state-object baseline</x:v>
      </x:c>
      <x:c r="R2" s="41" t="n">
        <x:f>'Evaluation Plan'!R2</x:f>
        <x:v>1</x:v>
      </x:c>
      <x:c r="S2" s="40" t="str">
        <x:f>'Evaluation Plan'!S2</x:f>
        <x:v>Recreate the listed manifest scene with the bowl empty.</x:v>
      </x:c>
      <x:c r="T2" s="40" t="str">
        <x:f>'Evaluation Plan'!T2</x:f>
        <x:v>The queried state-object combination and same-category discrimination structure are explicitly represented in training.</x:v>
      </x:c>
      <x:c r="U2" s="40" t="n">
        <x:f>'Evaluation Plan'!U2</x:f>
        <x:v>0</x:v>
      </x:c>
    </x:row>
    <x:row r="3" ht="51" customHeight="1">
      <x:c r="A3" s="43" t="str">
        <x:v>Not collected</x:v>
      </x:c>
      <x:c r="B3" s="44" t="n">
        <x:f>'Evaluation Plan'!B3</x:f>
        <x:v>1</x:v>
      </x:c>
      <x:c r="C3" s="43" t="str">
        <x:f>'Evaluation Plan'!C3</x:f>
        <x:v>Put the upright white cup in the bowl.</x:v>
      </x:c>
      <x:c r="D3" s="43" t="str">
        <x:f>'Evaluation Plan'!D3</x:f>
        <x:v>white cup A (O, RU); white cup B (O, UD)</x:v>
      </x:c>
      <x:c r="E3" s="44" t="str">
        <x:f>'Evaluation Plan'!E3</x:f>
      </x:c>
      <x:c r="F3" s="44" t="str">
        <x:f>'Evaluation Plan'!F3</x:f>
        <x:v>26</x:v>
      </x:c>
      <x:c r="G3" s="43" t="str">
        <x:f>'Evaluation Plan'!G3</x:f>
        <x:v>Exact manifest episode: trained state-object cell, prompt, same-category candidate structure, and object membership match; physical layout is manually recreated.</x:v>
      </x:c>
      <x:c r="H3" s="43" t="str">
        <x:f>'Evaluation Plan'!H3</x:f>
        <x:v>white cup A</x:v>
      </x:c>
      <x:c r="I3" s="43" t="str"/>
      <x:c r="J3" s="42" t="str">
        <x:f>'Evaluation Plan'!J3</x:f>
        <x:v>In-distribution concept baseline</x:v>
      </x:c>
      <x:c r="K3" s="44" t="str">
        <x:f>'Evaluation Plan'!K3</x:f>
        <x:v>SR-ID02</x:v>
      </x:c>
      <x:c r="L3" s="44" t="str">
        <x:f>'Evaluation Plan'!L3</x:f>
        <x:v>RU</x:v>
      </x:c>
      <x:c r="M3" s="44" t="str">
        <x:f>'Evaluation Plan'!M3</x:f>
        <x:v>white cup</x:v>
      </x:c>
      <x:c r="N3" s="44" t="n">
        <x:f>'Evaluation Plan'!N3</x:f>
        <x:v>2</x:v>
      </x:c>
      <x:c r="O3" s="44" t="n">
        <x:f>'Evaluation Plan'!O3</x:f>
        <x:v>1</x:v>
      </x:c>
      <x:c r="P3" s="44" t="str">
        <x:f>'Evaluation Plan'!P3</x:f>
        <x:v>Empty</x:v>
      </x:c>
      <x:c r="Q3" s="43" t="str">
        <x:f>'Evaluation Plan'!Q3</x:f>
        <x:v>Exact training-supported state-object baseline</x:v>
      </x:c>
      <x:c r="R3" s="44" t="n">
        <x:f>'Evaluation Plan'!R3</x:f>
        <x:v>1</x:v>
      </x:c>
      <x:c r="S3" s="43" t="str">
        <x:f>'Evaluation Plan'!S3</x:f>
        <x:v>Recreate the listed manifest scene with the bowl empty.</x:v>
      </x:c>
      <x:c r="T3" s="43" t="str">
        <x:f>'Evaluation Plan'!T3</x:f>
        <x:v>The queried state-object combination and same-category discrimination structure are explicitly represented in training.</x:v>
      </x:c>
      <x:c r="U3" s="43" t="n">
        <x:f>'Evaluation Plan'!U3</x:f>
        <x:v>0</x:v>
      </x:c>
    </x:row>
    <x:row r="4" ht="51" customHeight="1">
      <x:c r="A4" s="40" t="str">
        <x:v>Not collected</x:v>
      </x:c>
      <x:c r="B4" s="41" t="n">
        <x:f>'Evaluation Plan'!B4</x:f>
        <x:v>2</x:v>
      </x:c>
      <x:c r="C4" s="40" t="str">
        <x:f>'Evaluation Plan'!C4</x:f>
        <x:v>Move the closed yellow-white striped cup into the bowl.</x:v>
      </x:c>
      <x:c r="D4" s="40" t="str">
        <x:f>'Evaluation Plan'!D4</x:f>
        <x:v>yellow-white striped cup B (C, RU); yellow-white striped cup A (O, RU); white cup A (C, RU)</x:v>
      </x:c>
      <x:c r="E4" s="41" t="str">
        <x:f>'Evaluation Plan'!E4</x:f>
      </x:c>
      <x:c r="F4" s="41" t="str">
        <x:f>'Evaluation Plan'!F4</x:f>
        <x:v>51</x:v>
      </x:c>
      <x:c r="G4" s="40" t="str">
        <x:f>'Evaluation Plan'!G4</x:f>
        <x:v>Exact manifest episode: trained state-object cell, prompt, same-category candidate structure, and object membership match; physical layout is manually recreated.</x:v>
      </x:c>
      <x:c r="H4" s="40" t="str">
        <x:f>'Evaluation Plan'!H4</x:f>
        <x:v>yellow-white striped cup B</x:v>
      </x:c>
      <x:c r="I4" s="40" t="str"/>
      <x:c r="J4" s="42" t="str">
        <x:f>'Evaluation Plan'!J4</x:f>
        <x:v>In-distribution concept baseline</x:v>
      </x:c>
      <x:c r="K4" s="41" t="str">
        <x:f>'Evaluation Plan'!K4</x:f>
        <x:v>SR-ID03</x:v>
      </x:c>
      <x:c r="L4" s="41" t="str">
        <x:f>'Evaluation Plan'!L4</x:f>
        <x:v>C</x:v>
      </x:c>
      <x:c r="M4" s="41" t="str">
        <x:f>'Evaluation Plan'!M4</x:f>
        <x:v>yellow-white striped cup</x:v>
      </x:c>
      <x:c r="N4" s="41" t="n">
        <x:f>'Evaluation Plan'!N4</x:f>
        <x:v>3</x:v>
      </x:c>
      <x:c r="O4" s="41" t="n">
        <x:f>'Evaluation Plan'!O4</x:f>
        <x:v>1</x:v>
      </x:c>
      <x:c r="P4" s="41" t="str">
        <x:f>'Evaluation Plan'!P4</x:f>
        <x:v>Empty</x:v>
      </x:c>
      <x:c r="Q4" s="40" t="str">
        <x:f>'Evaluation Plan'!Q4</x:f>
        <x:v>Exact training-supported state-object baseline</x:v>
      </x:c>
      <x:c r="R4" s="41" t="n">
        <x:f>'Evaluation Plan'!R4</x:f>
        <x:v>1</x:v>
      </x:c>
      <x:c r="S4" s="40" t="str">
        <x:f>'Evaluation Plan'!S4</x:f>
        <x:v>Recreate the listed manifest scene with the bowl empty.</x:v>
      </x:c>
      <x:c r="T4" s="40" t="str">
        <x:f>'Evaluation Plan'!T4</x:f>
        <x:v>The queried state-object combination and same-category discrimination structure are explicitly represented in training.</x:v>
      </x:c>
      <x:c r="U4" s="40" t="n">
        <x:f>'Evaluation Plan'!U4</x:f>
        <x:v>0</x:v>
      </x:c>
    </x:row>
    <x:row r="5" ht="51" customHeight="1">
      <x:c r="A5" s="43" t="str">
        <x:v>Not collected</x:v>
      </x:c>
      <x:c r="B5" s="44" t="n">
        <x:f>'Evaluation Plan'!B5</x:f>
        <x:v>3</x:v>
      </x:c>
      <x:c r="C5" s="43" t="str">
        <x:f>'Evaluation Plan'!C5</x:f>
        <x:v>Move the upside-down yellow-white striped cup into the bowl.</x:v>
      </x:c>
      <x:c r="D5" s="43" t="str">
        <x:f>'Evaluation Plan'!D5</x:f>
        <x:v>yellow-white striped cup B (O, UD); yellow-white striped cup A (O, RU); brown cup B (C, RU); glass spice container A (O, RU)</x:v>
      </x:c>
      <x:c r="E5" s="44" t="str">
        <x:f>'Evaluation Plan'!E5</x:f>
      </x:c>
      <x:c r="F5" s="44" t="str">
        <x:f>'Evaluation Plan'!F5</x:f>
        <x:v>78</x:v>
      </x:c>
      <x:c r="G5" s="43" t="str">
        <x:f>'Evaluation Plan'!G5</x:f>
        <x:v>Exact manifest episode: trained state-object cell, prompt, same-category candidate structure, and object membership match; physical layout is manually recreated.</x:v>
      </x:c>
      <x:c r="H5" s="43" t="str">
        <x:f>'Evaluation Plan'!H5</x:f>
        <x:v>yellow-white striped cup B</x:v>
      </x:c>
      <x:c r="I5" s="43" t="str"/>
      <x:c r="J5" s="42" t="str">
        <x:f>'Evaluation Plan'!J5</x:f>
        <x:v>In-distribution concept baseline</x:v>
      </x:c>
      <x:c r="K5" s="44" t="str">
        <x:f>'Evaluation Plan'!K5</x:f>
        <x:v>SR-ID04</x:v>
      </x:c>
      <x:c r="L5" s="44" t="str">
        <x:f>'Evaluation Plan'!L5</x:f>
        <x:v>UD</x:v>
      </x:c>
      <x:c r="M5" s="44" t="str">
        <x:f>'Evaluation Plan'!M5</x:f>
        <x:v>yellow-white striped cup</x:v>
      </x:c>
      <x:c r="N5" s="44" t="n">
        <x:f>'Evaluation Plan'!N5</x:f>
        <x:v>4</x:v>
      </x:c>
      <x:c r="O5" s="44" t="n">
        <x:f>'Evaluation Plan'!O5</x:f>
        <x:v>1</x:v>
      </x:c>
      <x:c r="P5" s="44" t="str">
        <x:f>'Evaluation Plan'!P5</x:f>
        <x:v>Empty</x:v>
      </x:c>
      <x:c r="Q5" s="43" t="str">
        <x:f>'Evaluation Plan'!Q5</x:f>
        <x:v>Exact training-supported state-object baseline</x:v>
      </x:c>
      <x:c r="R5" s="44" t="n">
        <x:f>'Evaluation Plan'!R5</x:f>
        <x:v>1</x:v>
      </x:c>
      <x:c r="S5" s="43" t="str">
        <x:f>'Evaluation Plan'!S5</x:f>
        <x:v>Recreate the listed manifest scene with the bowl empty.</x:v>
      </x:c>
      <x:c r="T5" s="43" t="str">
        <x:f>'Evaluation Plan'!T5</x:f>
        <x:v>The queried state-object combination and same-category discrimination structure are explicitly represented in training.</x:v>
      </x:c>
      <x:c r="U5" s="43" t="n">
        <x:f>'Evaluation Plan'!U5</x:f>
        <x:v>0</x:v>
      </x:c>
    </x:row>
    <x:row r="6" ht="51" customHeight="1">
      <x:c r="A6" s="40" t="str">
        <x:v>Not collected</x:v>
      </x:c>
      <x:c r="B6" s="41" t="n">
        <x:f>'Evaluation Plan'!B6</x:f>
        <x:v>4</x:v>
      </x:c>
      <x:c r="C6" s="40" t="str">
        <x:f>'Evaluation Plan'!C6</x:f>
        <x:v>Put the open brown cup in the bowl.</x:v>
      </x:c>
      <x:c r="D6" s="40" t="str">
        <x:f>'Evaluation Plan'!D6</x:f>
        <x:v>brown cup B (O, RU); brown cup A (C, RU); glass spice container A (O, RU)</x:v>
      </x:c>
      <x:c r="E6" s="41" t="str">
        <x:f>'Evaluation Plan'!E6</x:f>
      </x:c>
      <x:c r="F6" s="41" t="str">
        <x:f>'Evaluation Plan'!F6</x:f>
        <x:v>104</x:v>
      </x:c>
      <x:c r="G6" s="40" t="str">
        <x:f>'Evaluation Plan'!G6</x:f>
        <x:v>Exact manifest episode: trained state-object cell, prompt, same-category candidate structure, and object membership match; physical layout is manually recreated.</x:v>
      </x:c>
      <x:c r="H6" s="40" t="str">
        <x:f>'Evaluation Plan'!H6</x:f>
        <x:v>brown cup B</x:v>
      </x:c>
      <x:c r="I6" s="40" t="str"/>
      <x:c r="J6" s="42" t="str">
        <x:f>'Evaluation Plan'!J6</x:f>
        <x:v>In-distribution concept baseline</x:v>
      </x:c>
      <x:c r="K6" s="41" t="str">
        <x:f>'Evaluation Plan'!K6</x:f>
        <x:v>SR-ID05</x:v>
      </x:c>
      <x:c r="L6" s="41" t="str">
        <x:f>'Evaluation Plan'!L6</x:f>
        <x:v>O</x:v>
      </x:c>
      <x:c r="M6" s="41" t="str">
        <x:f>'Evaluation Plan'!M6</x:f>
        <x:v>brown cup</x:v>
      </x:c>
      <x:c r="N6" s="41" t="n">
        <x:f>'Evaluation Plan'!N6</x:f>
        <x:v>3</x:v>
      </x:c>
      <x:c r="O6" s="41" t="n">
        <x:f>'Evaluation Plan'!O6</x:f>
        <x:v>1</x:v>
      </x:c>
      <x:c r="P6" s="41" t="str">
        <x:f>'Evaluation Plan'!P6</x:f>
        <x:v>Empty</x:v>
      </x:c>
      <x:c r="Q6" s="40" t="str">
        <x:f>'Evaluation Plan'!Q6</x:f>
        <x:v>Exact training-supported state-object baseline</x:v>
      </x:c>
      <x:c r="R6" s="41" t="n">
        <x:f>'Evaluation Plan'!R6</x:f>
        <x:v>1</x:v>
      </x:c>
      <x:c r="S6" s="40" t="str">
        <x:f>'Evaluation Plan'!S6</x:f>
        <x:v>Recreate the listed manifest scene with the bowl empty.</x:v>
      </x:c>
      <x:c r="T6" s="40" t="str">
        <x:f>'Evaluation Plan'!T6</x:f>
        <x:v>The queried state-object combination and same-category discrimination structure are explicitly represented in training.</x:v>
      </x:c>
      <x:c r="U6" s="40" t="n">
        <x:f>'Evaluation Plan'!U6</x:f>
        <x:v>0</x:v>
      </x:c>
    </x:row>
    <x:row r="7" ht="51" customHeight="1">
      <x:c r="A7" s="43" t="str">
        <x:v>Not collected</x:v>
      </x:c>
      <x:c r="B7" s="44" t="n">
        <x:f>'Evaluation Plan'!B7</x:f>
        <x:v>5</x:v>
      </x:c>
      <x:c r="C7" s="43" t="str">
        <x:f>'Evaluation Plan'!C7</x:f>
        <x:v>Put the upside-down brown cup in the bowl.</x:v>
      </x:c>
      <x:c r="D7" s="43" t="str">
        <x:f>'Evaluation Plan'!D7</x:f>
        <x:v>brown cup A (O, UD); brown cup B (O, RU)</x:v>
      </x:c>
      <x:c r="E7" s="44" t="str">
        <x:f>'Evaluation Plan'!E7</x:f>
      </x:c>
      <x:c r="F7" s="44" t="str">
        <x:f>'Evaluation Plan'!F7</x:f>
        <x:v>125</x:v>
      </x:c>
      <x:c r="G7" s="43" t="str">
        <x:f>'Evaluation Plan'!G7</x:f>
        <x:v>Exact manifest episode: trained state-object cell, prompt, same-category candidate structure, and object membership match; physical layout is manually recreated.</x:v>
      </x:c>
      <x:c r="H7" s="43" t="str">
        <x:f>'Evaluation Plan'!H7</x:f>
        <x:v>brown cup A</x:v>
      </x:c>
      <x:c r="I7" s="43" t="str"/>
      <x:c r="J7" s="42" t="str">
        <x:f>'Evaluation Plan'!J7</x:f>
        <x:v>In-distribution concept baseline</x:v>
      </x:c>
      <x:c r="K7" s="44" t="str">
        <x:f>'Evaluation Plan'!K7</x:f>
        <x:v>SR-ID06</x:v>
      </x:c>
      <x:c r="L7" s="44" t="str">
        <x:f>'Evaluation Plan'!L7</x:f>
        <x:v>UD</x:v>
      </x:c>
      <x:c r="M7" s="44" t="str">
        <x:f>'Evaluation Plan'!M7</x:f>
        <x:v>brown cup</x:v>
      </x:c>
      <x:c r="N7" s="44" t="n">
        <x:f>'Evaluation Plan'!N7</x:f>
        <x:v>2</x:v>
      </x:c>
      <x:c r="O7" s="44" t="n">
        <x:f>'Evaluation Plan'!O7</x:f>
        <x:v>1</x:v>
      </x:c>
      <x:c r="P7" s="44" t="str">
        <x:f>'Evaluation Plan'!P7</x:f>
        <x:v>Empty</x:v>
      </x:c>
      <x:c r="Q7" s="43" t="str">
        <x:f>'Evaluation Plan'!Q7</x:f>
        <x:v>Exact training-supported state-object baseline</x:v>
      </x:c>
      <x:c r="R7" s="44" t="n">
        <x:f>'Evaluation Plan'!R7</x:f>
        <x:v>1</x:v>
      </x:c>
      <x:c r="S7" s="43" t="str">
        <x:f>'Evaluation Plan'!S7</x:f>
        <x:v>Recreate the listed manifest scene with the bowl empty.</x:v>
      </x:c>
      <x:c r="T7" s="43" t="str">
        <x:f>'Evaluation Plan'!T7</x:f>
        <x:v>The queried state-object combination and same-category discrimination structure are explicitly represented in training.</x:v>
      </x:c>
      <x:c r="U7" s="43" t="n">
        <x:f>'Evaluation Plan'!U7</x:f>
        <x:v>0</x:v>
      </x:c>
    </x:row>
    <x:row r="8" ht="51" customHeight="1">
      <x:c r="A8" s="40" t="str">
        <x:v>Not collected</x:v>
      </x:c>
      <x:c r="B8" s="41" t="n">
        <x:f>'Evaluation Plan'!B8</x:f>
        <x:v>6</x:v>
      </x:c>
      <x:c r="C8" s="40" t="str">
        <x:f>'Evaluation Plan'!C8</x:f>
        <x:v>Put the upright brown cup in the bowl.</x:v>
      </x:c>
      <x:c r="D8" s="40" t="str">
        <x:f>'Evaluation Plan'!D8</x:f>
        <x:v>brown cup B (C, RU); brown cup A (C, UD)</x:v>
      </x:c>
      <x:c r="E8" s="41" t="str">
        <x:f>'Evaluation Plan'!E8</x:f>
      </x:c>
      <x:c r="F8" s="41" t="str">
        <x:f>'Evaluation Plan'!F8</x:f>
        <x:v>134</x:v>
      </x:c>
      <x:c r="G8" s="40" t="str">
        <x:f>'Evaluation Plan'!G8</x:f>
        <x:v>Exact manifest episode: trained state-object cell, prompt, same-category candidate structure, and object membership match; physical layout is manually recreated.</x:v>
      </x:c>
      <x:c r="H8" s="40" t="str">
        <x:f>'Evaluation Plan'!H8</x:f>
        <x:v>brown cup B</x:v>
      </x:c>
      <x:c r="I8" s="40" t="str"/>
      <x:c r="J8" s="42" t="str">
        <x:f>'Evaluation Plan'!J8</x:f>
        <x:v>In-distribution concept baseline</x:v>
      </x:c>
      <x:c r="K8" s="41" t="str">
        <x:f>'Evaluation Plan'!K8</x:f>
        <x:v>SR-ID07</x:v>
      </x:c>
      <x:c r="L8" s="41" t="str">
        <x:f>'Evaluation Plan'!L8</x:f>
        <x:v>RU</x:v>
      </x:c>
      <x:c r="M8" s="41" t="str">
        <x:f>'Evaluation Plan'!M8</x:f>
        <x:v>brown cup</x:v>
      </x:c>
      <x:c r="N8" s="41" t="n">
        <x:f>'Evaluation Plan'!N8</x:f>
        <x:v>2</x:v>
      </x:c>
      <x:c r="O8" s="41" t="n">
        <x:f>'Evaluation Plan'!O8</x:f>
        <x:v>1</x:v>
      </x:c>
      <x:c r="P8" s="41" t="str">
        <x:f>'Evaluation Plan'!P8</x:f>
        <x:v>Empty</x:v>
      </x:c>
      <x:c r="Q8" s="40" t="str">
        <x:f>'Evaluation Plan'!Q8</x:f>
        <x:v>Exact training-supported state-object baseline</x:v>
      </x:c>
      <x:c r="R8" s="41" t="n">
        <x:f>'Evaluation Plan'!R8</x:f>
        <x:v>1</x:v>
      </x:c>
      <x:c r="S8" s="40" t="str">
        <x:f>'Evaluation Plan'!S8</x:f>
        <x:v>Recreate the listed manifest scene with the bowl empty.</x:v>
      </x:c>
      <x:c r="T8" s="40" t="str">
        <x:f>'Evaluation Plan'!T8</x:f>
        <x:v>The queried state-object combination and same-category discrimination structure are explicitly represented in training.</x:v>
      </x:c>
      <x:c r="U8" s="40" t="n">
        <x:f>'Evaluation Plan'!U8</x:f>
        <x:v>0</x:v>
      </x:c>
    </x:row>
    <x:row r="9" ht="51" customHeight="1">
      <x:c r="A9" s="43" t="str">
        <x:v>Not collected</x:v>
      </x:c>
      <x:c r="B9" s="44" t="n">
        <x:f>'Evaluation Plan'!B9</x:f>
        <x:v>7</x:v>
      </x:c>
      <x:c r="C9" s="43" t="str">
        <x:f>'Evaluation Plan'!C9</x:f>
        <x:v>Place the closed glass spice container in the bowl.</x:v>
      </x:c>
      <x:c r="D9" s="43" t="str">
        <x:f>'Evaluation Plan'!D9</x:f>
        <x:v>glass spice container A (C, RU); glass spice container B (O, RU); yellow-white striped cup A (C, RU)</x:v>
      </x:c>
      <x:c r="E9" s="44" t="str">
        <x:f>'Evaluation Plan'!E9</x:f>
      </x:c>
      <x:c r="F9" s="44" t="str">
        <x:f>'Evaluation Plan'!F9</x:f>
        <x:v>151</x:v>
      </x:c>
      <x:c r="G9" s="43" t="str">
        <x:f>'Evaluation Plan'!G9</x:f>
        <x:v>Exact manifest episode: trained state-object cell, prompt, same-category candidate structure, and object membership match; physical layout is manually recreated.</x:v>
      </x:c>
      <x:c r="H9" s="43" t="str">
        <x:f>'Evaluation Plan'!H9</x:f>
        <x:v>glass spice container A</x:v>
      </x:c>
      <x:c r="I9" s="43" t="str"/>
      <x:c r="J9" s="42" t="str">
        <x:f>'Evaluation Plan'!J9</x:f>
        <x:v>In-distribution concept baseline</x:v>
      </x:c>
      <x:c r="K9" s="44" t="str">
        <x:f>'Evaluation Plan'!K9</x:f>
        <x:v>SR-ID08</x:v>
      </x:c>
      <x:c r="L9" s="44" t="str">
        <x:f>'Evaluation Plan'!L9</x:f>
        <x:v>C</x:v>
      </x:c>
      <x:c r="M9" s="44" t="str">
        <x:f>'Evaluation Plan'!M9</x:f>
        <x:v>glass spice container</x:v>
      </x:c>
      <x:c r="N9" s="44" t="n">
        <x:f>'Evaluation Plan'!N9</x:f>
        <x:v>3</x:v>
      </x:c>
      <x:c r="O9" s="44" t="n">
        <x:f>'Evaluation Plan'!O9</x:f>
        <x:v>1</x:v>
      </x:c>
      <x:c r="P9" s="44" t="str">
        <x:f>'Evaluation Plan'!P9</x:f>
        <x:v>Empty</x:v>
      </x:c>
      <x:c r="Q9" s="43" t="str">
        <x:f>'Evaluation Plan'!Q9</x:f>
        <x:v>Exact training-supported state-object baseline</x:v>
      </x:c>
      <x:c r="R9" s="44" t="n">
        <x:f>'Evaluation Plan'!R9</x:f>
        <x:v>1</x:v>
      </x:c>
      <x:c r="S9" s="43" t="str">
        <x:f>'Evaluation Plan'!S9</x:f>
        <x:v>Recreate the listed manifest scene with the bowl empty.</x:v>
      </x:c>
      <x:c r="T9" s="43" t="str">
        <x:f>'Evaluation Plan'!T9</x:f>
        <x:v>The queried state-object combination and same-category discrimination structure are explicitly represented in training.</x:v>
      </x:c>
      <x:c r="U9" s="43" t="n">
        <x:f>'Evaluation Plan'!U9</x:f>
        <x:v>0</x:v>
      </x:c>
    </x:row>
    <x:row r="10" ht="51" customHeight="1">
      <x:c r="A10" s="40" t="str">
        <x:v>Not collected</x:v>
      </x:c>
      <x:c r="B10" s="41" t="n">
        <x:f>'Evaluation Plan'!B10</x:f>
        <x:v>8</x:v>
      </x:c>
      <x:c r="C10" s="40" t="str">
        <x:f>'Evaluation Plan'!C10</x:f>
        <x:v>Move the open glass spice container into the bowl.</x:v>
      </x:c>
      <x:c r="D10" s="40" t="str">
        <x:f>'Evaluation Plan'!D10</x:f>
        <x:v>glass spice container B (O, RU); glass spice container A (C, RU); white cup B (O, RU)</x:v>
      </x:c>
      <x:c r="E10" s="41" t="str">
        <x:f>'Evaluation Plan'!E10</x:f>
      </x:c>
      <x:c r="F10" s="41" t="str">
        <x:f>'Evaluation Plan'!F10</x:f>
        <x:v>156</x:v>
      </x:c>
      <x:c r="G10" s="40" t="str">
        <x:f>'Evaluation Plan'!G10</x:f>
        <x:v>Exact manifest episode: trained state-object cell, prompt, same-category candidate structure, and object membership match; physical layout is manually recreated.</x:v>
      </x:c>
      <x:c r="H10" s="40" t="str">
        <x:f>'Evaluation Plan'!H10</x:f>
        <x:v>glass spice container B</x:v>
      </x:c>
      <x:c r="I10" s="40" t="str"/>
      <x:c r="J10" s="42" t="str">
        <x:f>'Evaluation Plan'!J10</x:f>
        <x:v>In-distribution concept baseline</x:v>
      </x:c>
      <x:c r="K10" s="41" t="str">
        <x:f>'Evaluation Plan'!K10</x:f>
        <x:v>SR-ID09</x:v>
      </x:c>
      <x:c r="L10" s="41" t="str">
        <x:f>'Evaluation Plan'!L10</x:f>
        <x:v>O</x:v>
      </x:c>
      <x:c r="M10" s="41" t="str">
        <x:f>'Evaluation Plan'!M10</x:f>
        <x:v>glass spice container</x:v>
      </x:c>
      <x:c r="N10" s="41" t="n">
        <x:f>'Evaluation Plan'!N10</x:f>
        <x:v>3</x:v>
      </x:c>
      <x:c r="O10" s="41" t="n">
        <x:f>'Evaluation Plan'!O10</x:f>
        <x:v>1</x:v>
      </x:c>
      <x:c r="P10" s="41" t="str">
        <x:f>'Evaluation Plan'!P10</x:f>
        <x:v>Empty</x:v>
      </x:c>
      <x:c r="Q10" s="40" t="str">
        <x:f>'Evaluation Plan'!Q10</x:f>
        <x:v>Exact training-supported state-object baseline</x:v>
      </x:c>
      <x:c r="R10" s="41" t="n">
        <x:f>'Evaluation Plan'!R10</x:f>
        <x:v>1</x:v>
      </x:c>
      <x:c r="S10" s="40" t="str">
        <x:f>'Evaluation Plan'!S10</x:f>
        <x:v>Recreate the listed manifest scene with the bowl empty.</x:v>
      </x:c>
      <x:c r="T10" s="40" t="str">
        <x:f>'Evaluation Plan'!T10</x:f>
        <x:v>The queried state-object combination and same-category discrimination structure are explicitly represented in training.</x:v>
      </x:c>
      <x:c r="U10" s="40" t="n">
        <x:f>'Evaluation Plan'!U10</x:f>
        <x:v>0</x:v>
      </x:c>
    </x:row>
    <x:row r="11" ht="51" customHeight="1">
      <x:c r="A11" s="43" t="str">
        <x:v>Not collected</x:v>
      </x:c>
      <x:c r="B11" s="44" t="n">
        <x:f>'Evaluation Plan'!B11</x:f>
        <x:v>9</x:v>
      </x:c>
      <x:c r="C11" s="43" t="str">
        <x:f>'Evaluation Plan'!C11</x:f>
        <x:v>Put the upside-down glass spice container in the bowl.</x:v>
      </x:c>
      <x:c r="D11" s="43" t="str">
        <x:f>'Evaluation Plan'!D11</x:f>
        <x:v>glass spice container B (C, UD); glass spice container A (C, RU)</x:v>
      </x:c>
      <x:c r="E11" s="44" t="str">
        <x:f>'Evaluation Plan'!E11</x:f>
      </x:c>
      <x:c r="F11" s="44" t="str">
        <x:f>'Evaluation Plan'!F11</x:f>
        <x:v>176</x:v>
      </x:c>
      <x:c r="G11" s="43" t="str">
        <x:f>'Evaluation Plan'!G11</x:f>
        <x:v>Exact manifest episode: trained state-object cell, prompt, same-category candidate structure, and object membership match; physical layout is manually recreated.</x:v>
      </x:c>
      <x:c r="H11" s="43" t="str">
        <x:f>'Evaluation Plan'!H11</x:f>
        <x:v>glass spice container B</x:v>
      </x:c>
      <x:c r="I11" s="43" t="str"/>
      <x:c r="J11" s="42" t="str">
        <x:f>'Evaluation Plan'!J11</x:f>
        <x:v>In-distribution concept baseline</x:v>
      </x:c>
      <x:c r="K11" s="44" t="str">
        <x:f>'Evaluation Plan'!K11</x:f>
        <x:v>SR-ID10</x:v>
      </x:c>
      <x:c r="L11" s="44" t="str">
        <x:f>'Evaluation Plan'!L11</x:f>
        <x:v>UD</x:v>
      </x:c>
      <x:c r="M11" s="44" t="str">
        <x:f>'Evaluation Plan'!M11</x:f>
        <x:v>glass spice container</x:v>
      </x:c>
      <x:c r="N11" s="44" t="n">
        <x:f>'Evaluation Plan'!N11</x:f>
        <x:v>2</x:v>
      </x:c>
      <x:c r="O11" s="44" t="n">
        <x:f>'Evaluation Plan'!O11</x:f>
        <x:v>1</x:v>
      </x:c>
      <x:c r="P11" s="44" t="str">
        <x:f>'Evaluation Plan'!P11</x:f>
        <x:v>Empty</x:v>
      </x:c>
      <x:c r="Q11" s="43" t="str">
        <x:f>'Evaluation Plan'!Q11</x:f>
        <x:v>Exact training-supported state-object baseline</x:v>
      </x:c>
      <x:c r="R11" s="44" t="n">
        <x:f>'Evaluation Plan'!R11</x:f>
        <x:v>1</x:v>
      </x:c>
      <x:c r="S11" s="43" t="str">
        <x:f>'Evaluation Plan'!S11</x:f>
        <x:v>Recreate the listed manifest scene with the bowl empty.</x:v>
      </x:c>
      <x:c r="T11" s="43" t="str">
        <x:f>'Evaluation Plan'!T11</x:f>
        <x:v>The queried state-object combination and same-category discrimination structure are explicitly represented in training.</x:v>
      </x:c>
      <x:c r="U11" s="43" t="n">
        <x:f>'Evaluation Plan'!U11</x:f>
        <x:v>0</x:v>
      </x:c>
    </x:row>
    <x:row r="12" ht="51" customHeight="1">
      <x:c r="A12" s="40" t="str">
        <x:v>Not collected</x:v>
      </x:c>
      <x:c r="B12" s="41" t="n">
        <x:f>'Evaluation Plan'!B12</x:f>
        <x:v>10</x:v>
      </x:c>
      <x:c r="C12" s="40" t="str">
        <x:f>'Evaluation Plan'!C12</x:f>
        <x:v>Move the closed white cup into the bowl.</x:v>
      </x:c>
      <x:c r="D12" s="40" t="str">
        <x:f>'Evaluation Plan'!D12</x:f>
        <x:v>white cup B (C, RU); white cup A (O, RU); yellow-white striped cup A (C, RU); brown cup B (C, RU)</x:v>
      </x:c>
      <x:c r="E12" s="41" t="str">
        <x:f>'Evaluation Plan'!E12</x:f>
      </x:c>
      <x:c r="F12" s="41" t="str">
        <x:f>'Evaluation Plan'!F12</x:f>
        <x:v>0</x:v>
      </x:c>
      <x:c r="G12" s="40" t="str">
        <x:f>'Evaluation Plan'!G12</x:f>
        <x:v>Exact manifest episode: trained state-object cell, prompt, same-category candidate structure, and object membership match; physical layout is manually recreated.</x:v>
      </x:c>
      <x:c r="H12" s="40" t="str">
        <x:f>'Evaluation Plan'!H12</x:f>
        <x:v>white cup B</x:v>
      </x:c>
      <x:c r="I12" s="40" t="str"/>
      <x:c r="J12" s="42" t="str">
        <x:f>'Evaluation Plan'!J12</x:f>
        <x:v>In-distribution concept baseline</x:v>
      </x:c>
      <x:c r="K12" s="41" t="str">
        <x:f>'Evaluation Plan'!K12</x:f>
        <x:v>SR-ID11</x:v>
      </x:c>
      <x:c r="L12" s="41" t="str">
        <x:f>'Evaluation Plan'!L12</x:f>
        <x:v>C</x:v>
      </x:c>
      <x:c r="M12" s="41" t="str">
        <x:f>'Evaluation Plan'!M12</x:f>
        <x:v>white cup</x:v>
      </x:c>
      <x:c r="N12" s="41" t="n">
        <x:f>'Evaluation Plan'!N12</x:f>
        <x:v>4</x:v>
      </x:c>
      <x:c r="O12" s="41" t="n">
        <x:f>'Evaluation Plan'!O12</x:f>
        <x:v>1</x:v>
      </x:c>
      <x:c r="P12" s="41" t="str">
        <x:f>'Evaluation Plan'!P12</x:f>
        <x:v>Empty</x:v>
      </x:c>
      <x:c r="Q12" s="40" t="str">
        <x:f>'Evaluation Plan'!Q12</x:f>
        <x:v>Exact training-supported state-object baseline</x:v>
      </x:c>
      <x:c r="R12" s="41" t="n">
        <x:f>'Evaluation Plan'!R12</x:f>
        <x:v>1</x:v>
      </x:c>
      <x:c r="S12" s="40" t="str">
        <x:f>'Evaluation Plan'!S12</x:f>
        <x:v>Recreate the listed manifest scene with the bowl empty.</x:v>
      </x:c>
      <x:c r="T12" s="40" t="str">
        <x:f>'Evaluation Plan'!T12</x:f>
        <x:v>The queried state-object combination and same-category discrimination structure are explicitly represented in training.</x:v>
      </x:c>
      <x:c r="U12" s="40" t="n">
        <x:f>'Evaluation Plan'!U12</x:f>
        <x:v>0</x:v>
      </x:c>
    </x:row>
    <x:row r="13" ht="51" customHeight="1">
      <x:c r="A13" s="43" t="str">
        <x:v>Not collected</x:v>
      </x:c>
      <x:c r="B13" s="44" t="n">
        <x:f>'Evaluation Plan'!B13</x:f>
        <x:v>11</x:v>
      </x:c>
      <x:c r="C13" s="43" t="str">
        <x:f>'Evaluation Plan'!C13</x:f>
        <x:v>Place the closed white cup in the bowl.</x:v>
      </x:c>
      <x:c r="D13" s="43" t="str">
        <x:f>'Evaluation Plan'!D13</x:f>
        <x:v>white cup A (C, RU); white cup B (O, RU); brown cup B (O, RU)</x:v>
      </x:c>
      <x:c r="E13" s="44" t="str">
        <x:f>'Evaluation Plan'!E13</x:f>
      </x:c>
      <x:c r="F13" s="44" t="str">
        <x:f>'Evaluation Plan'!F13</x:f>
        <x:v>7</x:v>
      </x:c>
      <x:c r="G13" s="43" t="str">
        <x:f>'Evaluation Plan'!G13</x:f>
        <x:v>Exact manifest episode: trained state-object cell, prompt, same-category candidate structure, and object membership match; physical layout is manually recreated.</x:v>
      </x:c>
      <x:c r="H13" s="43" t="str">
        <x:f>'Evaluation Plan'!H13</x:f>
        <x:v>white cup A</x:v>
      </x:c>
      <x:c r="I13" s="43" t="str"/>
      <x:c r="J13" s="42" t="str">
        <x:f>'Evaluation Plan'!J13</x:f>
        <x:v>In-distribution concept baseline</x:v>
      </x:c>
      <x:c r="K13" s="44" t="str">
        <x:f>'Evaluation Plan'!K13</x:f>
        <x:v>SR-ID12</x:v>
      </x:c>
      <x:c r="L13" s="44" t="str">
        <x:f>'Evaluation Plan'!L13</x:f>
        <x:v>C</x:v>
      </x:c>
      <x:c r="M13" s="44" t="str">
        <x:f>'Evaluation Plan'!M13</x:f>
        <x:v>white cup</x:v>
      </x:c>
      <x:c r="N13" s="44" t="n">
        <x:f>'Evaluation Plan'!N13</x:f>
        <x:v>3</x:v>
      </x:c>
      <x:c r="O13" s="44" t="n">
        <x:f>'Evaluation Plan'!O13</x:f>
        <x:v>1</x:v>
      </x:c>
      <x:c r="P13" s="44" t="str">
        <x:f>'Evaluation Plan'!P13</x:f>
        <x:v>Empty</x:v>
      </x:c>
      <x:c r="Q13" s="43" t="str">
        <x:f>'Evaluation Plan'!Q13</x:f>
        <x:v>Exact training-supported state-object baseline</x:v>
      </x:c>
      <x:c r="R13" s="44" t="n">
        <x:f>'Evaluation Plan'!R13</x:f>
        <x:v>1</x:v>
      </x:c>
      <x:c r="S13" s="43" t="str">
        <x:f>'Evaluation Plan'!S13</x:f>
        <x:v>Recreate the listed manifest scene with the bowl empty.</x:v>
      </x:c>
      <x:c r="T13" s="43" t="str">
        <x:f>'Evaluation Plan'!T13</x:f>
        <x:v>The queried state-object combination and same-category discrimination structure are explicitly represented in training.</x:v>
      </x:c>
      <x:c r="U13" s="43" t="n">
        <x:f>'Evaluation Plan'!U13</x:f>
        <x:v>0</x:v>
      </x:c>
    </x:row>
    <x:row r="14" ht="51" customHeight="1">
      <x:c r="A14" s="40" t="str">
        <x:v>Not collected</x:v>
      </x:c>
      <x:c r="B14" s="41" t="n">
        <x:f>'Evaluation Plan'!B14</x:f>
        <x:v>12</x:v>
      </x:c>
      <x:c r="C14" s="40" t="str">
        <x:f>'Evaluation Plan'!C14</x:f>
        <x:v>Put the open white cup in the bowl.</x:v>
      </x:c>
      <x:c r="D14" s="40" t="str">
        <x:f>'Evaluation Plan'!D14</x:f>
        <x:v>white cup B (O, RU); white cup A (C, RU); glass spice container B (O, RU)</x:v>
      </x:c>
      <x:c r="E14" s="41" t="str">
        <x:f>'Evaluation Plan'!E14</x:f>
      </x:c>
      <x:c r="F14" s="41" t="str">
        <x:f>'Evaluation Plan'!F14</x:f>
        <x:v>17</x:v>
      </x:c>
      <x:c r="G14" s="40" t="str">
        <x:f>'Evaluation Plan'!G14</x:f>
        <x:v>Exact manifest episode: trained state-object cell, prompt, same-category candidate structure, and object membership match; physical layout is manually recreated.</x:v>
      </x:c>
      <x:c r="H14" s="40" t="str">
        <x:f>'Evaluation Plan'!H14</x:f>
        <x:v>white cup B</x:v>
      </x:c>
      <x:c r="I14" s="40" t="str"/>
      <x:c r="J14" s="42" t="str">
        <x:f>'Evaluation Plan'!J14</x:f>
        <x:v>In-distribution concept baseline</x:v>
      </x:c>
      <x:c r="K14" s="41" t="str">
        <x:f>'Evaluation Plan'!K14</x:f>
        <x:v>SR-ID13</x:v>
      </x:c>
      <x:c r="L14" s="41" t="str">
        <x:f>'Evaluation Plan'!L14</x:f>
        <x:v>O</x:v>
      </x:c>
      <x:c r="M14" s="41" t="str">
        <x:f>'Evaluation Plan'!M14</x:f>
        <x:v>white cup</x:v>
      </x:c>
      <x:c r="N14" s="41" t="n">
        <x:f>'Evaluation Plan'!N14</x:f>
        <x:v>3</x:v>
      </x:c>
      <x:c r="O14" s="41" t="n">
        <x:f>'Evaluation Plan'!O14</x:f>
        <x:v>1</x:v>
      </x:c>
      <x:c r="P14" s="41" t="str">
        <x:f>'Evaluation Plan'!P14</x:f>
        <x:v>Empty</x:v>
      </x:c>
      <x:c r="Q14" s="40" t="str">
        <x:f>'Evaluation Plan'!Q14</x:f>
        <x:v>Exact training-supported state-object baseline</x:v>
      </x:c>
      <x:c r="R14" s="41" t="n">
        <x:f>'Evaluation Plan'!R14</x:f>
        <x:v>1</x:v>
      </x:c>
      <x:c r="S14" s="40" t="str">
        <x:f>'Evaluation Plan'!S14</x:f>
        <x:v>Recreate the listed manifest scene with the bowl empty.</x:v>
      </x:c>
      <x:c r="T14" s="40" t="str">
        <x:f>'Evaluation Plan'!T14</x:f>
        <x:v>The queried state-object combination and same-category discrimination structure are explicitly represented in training.</x:v>
      </x:c>
      <x:c r="U14" s="40" t="n">
        <x:f>'Evaluation Plan'!U14</x:f>
        <x:v>0</x:v>
      </x:c>
    </x:row>
    <x:row r="15" ht="51" customHeight="1">
      <x:c r="A15" s="43" t="str">
        <x:v>Not collected</x:v>
      </x:c>
      <x:c r="B15" s="44" t="n">
        <x:f>'Evaluation Plan'!B15</x:f>
        <x:v>13</x:v>
      </x:c>
      <x:c r="C15" s="43" t="str">
        <x:f>'Evaluation Plan'!C15</x:f>
        <x:v>Place the upside-down yellow-white striped cup in the bowl.</x:v>
      </x:c>
      <x:c r="D15" s="43" t="str">
        <x:f>'Evaluation Plan'!D15</x:f>
        <x:v>yellow-white striped cup A (O, UD); yellow-white striped cup B (O, RU)</x:v>
      </x:c>
      <x:c r="E15" s="44" t="str">
        <x:f>'Evaluation Plan'!E15</x:f>
      </x:c>
      <x:c r="F15" s="44" t="str">
        <x:f>'Evaluation Plan'!F15</x:f>
        <x:v>88</x:v>
      </x:c>
      <x:c r="G15" s="43" t="str">
        <x:f>'Evaluation Plan'!G15</x:f>
        <x:v>Exact manifest episode: trained state-object cell, prompt, same-category candidate structure, and object membership match; physical layout is manually recreated.</x:v>
      </x:c>
      <x:c r="H15" s="43" t="str">
        <x:f>'Evaluation Plan'!H15</x:f>
        <x:v>yellow-white striped cup A</x:v>
      </x:c>
      <x:c r="I15" s="43" t="str"/>
      <x:c r="J15" s="42" t="str">
        <x:f>'Evaluation Plan'!J15</x:f>
        <x:v>In-distribution concept baseline</x:v>
      </x:c>
      <x:c r="K15" s="44" t="str">
        <x:f>'Evaluation Plan'!K15</x:f>
        <x:v>SR-ID14</x:v>
      </x:c>
      <x:c r="L15" s="44" t="str">
        <x:f>'Evaluation Plan'!L15</x:f>
        <x:v>UD</x:v>
      </x:c>
      <x:c r="M15" s="44" t="str">
        <x:f>'Evaluation Plan'!M15</x:f>
        <x:v>yellow-white striped cup</x:v>
      </x:c>
      <x:c r="N15" s="44" t="n">
        <x:f>'Evaluation Plan'!N15</x:f>
        <x:v>2</x:v>
      </x:c>
      <x:c r="O15" s="44" t="n">
        <x:f>'Evaluation Plan'!O15</x:f>
        <x:v>1</x:v>
      </x:c>
      <x:c r="P15" s="44" t="str">
        <x:f>'Evaluation Plan'!P15</x:f>
        <x:v>Empty</x:v>
      </x:c>
      <x:c r="Q15" s="43" t="str">
        <x:f>'Evaluation Plan'!Q15</x:f>
        <x:v>Exact training-supported state-object baseline</x:v>
      </x:c>
      <x:c r="R15" s="44" t="n">
        <x:f>'Evaluation Plan'!R15</x:f>
        <x:v>1</x:v>
      </x:c>
      <x:c r="S15" s="43" t="str">
        <x:f>'Evaluation Plan'!S15</x:f>
        <x:v>Recreate the listed manifest scene with the bowl empty.</x:v>
      </x:c>
      <x:c r="T15" s="43" t="str">
        <x:f>'Evaluation Plan'!T15</x:f>
        <x:v>The queried state-object combination and same-category discrimination structure are explicitly represented in training.</x:v>
      </x:c>
      <x:c r="U15" s="43" t="n">
        <x:f>'Evaluation Plan'!U15</x:f>
        <x:v>0</x:v>
      </x:c>
    </x:row>
    <x:row r="16" ht="51" customHeight="1">
      <x:c r="A16" s="40" t="str">
        <x:v>Not collected</x:v>
      </x:c>
      <x:c r="B16" s="41" t="n">
        <x:f>'Evaluation Plan'!B16</x:f>
        <x:v>14</x:v>
      </x:c>
      <x:c r="C16" s="40" t="str">
        <x:f>'Evaluation Plan'!C16</x:f>
        <x:v>Move the upright yellow-white striped cup into the bowl.</x:v>
      </x:c>
      <x:c r="D16" s="40" t="str">
        <x:f>'Evaluation Plan'!D16</x:f>
        <x:v>yellow-white striped cup A (O, RU); yellow-white striped cup B (O, UD); glass spice container A (O, RU); white cup B (C, UD)</x:v>
      </x:c>
      <x:c r="E16" s="41" t="str">
        <x:f>'Evaluation Plan'!E16</x:f>
      </x:c>
      <x:c r="F16" s="41" t="str">
        <x:f>'Evaluation Plan'!F16</x:f>
        <x:v>75</x:v>
      </x:c>
      <x:c r="G16" s="40" t="str">
        <x:f>'Evaluation Plan'!G16</x:f>
        <x:v>Exact manifest episode: trained state-object cell, prompt, same-category candidate structure, and object membership match; physical layout is manually recreated.</x:v>
      </x:c>
      <x:c r="H16" s="40" t="str">
        <x:f>'Evaluation Plan'!H16</x:f>
        <x:v>yellow-white striped cup A</x:v>
      </x:c>
      <x:c r="I16" s="40" t="str"/>
      <x:c r="J16" s="42" t="str">
        <x:f>'Evaluation Plan'!J16</x:f>
        <x:v>In-distribution concept baseline</x:v>
      </x:c>
      <x:c r="K16" s="41" t="str">
        <x:f>'Evaluation Plan'!K16</x:f>
        <x:v>SR-ID15</x:v>
      </x:c>
      <x:c r="L16" s="41" t="str">
        <x:f>'Evaluation Plan'!L16</x:f>
        <x:v>RU</x:v>
      </x:c>
      <x:c r="M16" s="41" t="str">
        <x:f>'Evaluation Plan'!M16</x:f>
        <x:v>yellow-white striped cup</x:v>
      </x:c>
      <x:c r="N16" s="41" t="n">
        <x:f>'Evaluation Plan'!N16</x:f>
        <x:v>4</x:v>
      </x:c>
      <x:c r="O16" s="41" t="n">
        <x:f>'Evaluation Plan'!O16</x:f>
        <x:v>1</x:v>
      </x:c>
      <x:c r="P16" s="41" t="str">
        <x:f>'Evaluation Plan'!P16</x:f>
        <x:v>Empty</x:v>
      </x:c>
      <x:c r="Q16" s="40" t="str">
        <x:f>'Evaluation Plan'!Q16</x:f>
        <x:v>Exact training-supported state-object baseline</x:v>
      </x:c>
      <x:c r="R16" s="41" t="n">
        <x:f>'Evaluation Plan'!R16</x:f>
        <x:v>1</x:v>
      </x:c>
      <x:c r="S16" s="40" t="str">
        <x:f>'Evaluation Plan'!S16</x:f>
        <x:v>Recreate the listed manifest scene with the bowl empty.</x:v>
      </x:c>
      <x:c r="T16" s="40" t="str">
        <x:f>'Evaluation Plan'!T16</x:f>
        <x:v>The queried state-object combination and same-category discrimination structure are explicitly represented in training.</x:v>
      </x:c>
      <x:c r="U16" s="40" t="n">
        <x:f>'Evaluation Plan'!U16</x:f>
        <x:v>0</x:v>
      </x:c>
    </x:row>
    <x:row r="17" ht="51" customHeight="1">
      <x:c r="A17" s="43" t="str">
        <x:v>Not collected</x:v>
      </x:c>
      <x:c r="B17" s="44" t="n">
        <x:f>'Evaluation Plan'!B17</x:f>
        <x:v>15</x:v>
      </x:c>
      <x:c r="C17" s="43" t="str">
        <x:f>'Evaluation Plan'!C17</x:f>
        <x:v>Put the upright yellow-white striped cup in the bowl.</x:v>
      </x:c>
      <x:c r="D17" s="43" t="str">
        <x:f>'Evaluation Plan'!D17</x:f>
        <x:v>yellow-white striped cup B (C, RU); yellow-white striped cup A (C, UD)</x:v>
      </x:c>
      <x:c r="E17" s="44" t="str">
        <x:f>'Evaluation Plan'!E17</x:f>
      </x:c>
      <x:c r="F17" s="44" t="str">
        <x:f>'Evaluation Plan'!F17</x:f>
        <x:v>80</x:v>
      </x:c>
      <x:c r="G17" s="43" t="str">
        <x:f>'Evaluation Plan'!G17</x:f>
        <x:v>Exact manifest episode: trained state-object cell, prompt, same-category candidate structure, and object membership match; physical layout is manually recreated.</x:v>
      </x:c>
      <x:c r="H17" s="43" t="str">
        <x:f>'Evaluation Plan'!H17</x:f>
        <x:v>yellow-white striped cup B</x:v>
      </x:c>
      <x:c r="I17" s="43" t="str"/>
      <x:c r="J17" s="42" t="str">
        <x:f>'Evaluation Plan'!J17</x:f>
        <x:v>In-distribution concept baseline</x:v>
      </x:c>
      <x:c r="K17" s="44" t="str">
        <x:f>'Evaluation Plan'!K17</x:f>
        <x:v>SR-ID16</x:v>
      </x:c>
      <x:c r="L17" s="44" t="str">
        <x:f>'Evaluation Plan'!L17</x:f>
        <x:v>RU</x:v>
      </x:c>
      <x:c r="M17" s="44" t="str">
        <x:f>'Evaluation Plan'!M17</x:f>
        <x:v>yellow-white striped cup</x:v>
      </x:c>
      <x:c r="N17" s="44" t="n">
        <x:f>'Evaluation Plan'!N17</x:f>
        <x:v>2</x:v>
      </x:c>
      <x:c r="O17" s="44" t="n">
        <x:f>'Evaluation Plan'!O17</x:f>
        <x:v>1</x:v>
      </x:c>
      <x:c r="P17" s="44" t="str">
        <x:f>'Evaluation Plan'!P17</x:f>
        <x:v>Empty</x:v>
      </x:c>
      <x:c r="Q17" s="43" t="str">
        <x:f>'Evaluation Plan'!Q17</x:f>
        <x:v>Exact training-supported state-object baseline</x:v>
      </x:c>
      <x:c r="R17" s="44" t="n">
        <x:f>'Evaluation Plan'!R17</x:f>
        <x:v>1</x:v>
      </x:c>
      <x:c r="S17" s="43" t="str">
        <x:f>'Evaluation Plan'!S17</x:f>
        <x:v>Recreate the listed manifest scene with the bowl empty.</x:v>
      </x:c>
      <x:c r="T17" s="43" t="str">
        <x:f>'Evaluation Plan'!T17</x:f>
        <x:v>The queried state-object combination and same-category discrimination structure are explicitly represented in training.</x:v>
      </x:c>
      <x:c r="U17" s="43" t="n">
        <x:f>'Evaluation Plan'!U17</x:f>
        <x:v>0</x:v>
      </x:c>
    </x:row>
    <x:row r="18" ht="51" customHeight="1">
      <x:c r="A18" s="40" t="str">
        <x:v>Not collected</x:v>
      </x:c>
      <x:c r="B18" s="41" t="n">
        <x:f>'Evaluation Plan'!B18</x:f>
        <x:v>16</x:v>
      </x:c>
      <x:c r="C18" s="40" t="str">
        <x:f>'Evaluation Plan'!C18</x:f>
        <x:v>Move the upside-down brown cup into the bowl.</x:v>
      </x:c>
      <x:c r="D18" s="40" t="str">
        <x:f>'Evaluation Plan'!D18</x:f>
        <x:v>brown cup A (C, UD); brown cup B (C, RU); yellow-white striped cup B (C, UD); glass spice container A (O, RU)</x:v>
      </x:c>
      <x:c r="E18" s="41" t="str">
        <x:f>'Evaluation Plan'!E18</x:f>
      </x:c>
      <x:c r="F18" s="41" t="str">
        <x:f>'Evaluation Plan'!F18</x:f>
        <x:v>135</x:v>
      </x:c>
      <x:c r="G18" s="40" t="str">
        <x:f>'Evaluation Plan'!G18</x:f>
        <x:v>Exact manifest episode: trained state-object cell, prompt, same-category candidate structure, and object membership match; physical layout is manually recreated.</x:v>
      </x:c>
      <x:c r="H18" s="40" t="str">
        <x:f>'Evaluation Plan'!H18</x:f>
        <x:v>brown cup A</x:v>
      </x:c>
      <x:c r="I18" s="40" t="str"/>
      <x:c r="J18" s="42" t="str">
        <x:f>'Evaluation Plan'!J18</x:f>
        <x:v>In-distribution concept baseline</x:v>
      </x:c>
      <x:c r="K18" s="41" t="str">
        <x:f>'Evaluation Plan'!K18</x:f>
        <x:v>SR-ID17</x:v>
      </x:c>
      <x:c r="L18" s="41" t="str">
        <x:f>'Evaluation Plan'!L18</x:f>
        <x:v>UD</x:v>
      </x:c>
      <x:c r="M18" s="41" t="str">
        <x:f>'Evaluation Plan'!M18</x:f>
        <x:v>brown cup</x:v>
      </x:c>
      <x:c r="N18" s="41" t="n">
        <x:f>'Evaluation Plan'!N18</x:f>
        <x:v>4</x:v>
      </x:c>
      <x:c r="O18" s="41" t="n">
        <x:f>'Evaluation Plan'!O18</x:f>
        <x:v>1</x:v>
      </x:c>
      <x:c r="P18" s="41" t="str">
        <x:f>'Evaluation Plan'!P18</x:f>
        <x:v>Empty</x:v>
      </x:c>
      <x:c r="Q18" s="40" t="str">
        <x:f>'Evaluation Plan'!Q18</x:f>
        <x:v>Exact training-supported state-object baseline</x:v>
      </x:c>
      <x:c r="R18" s="41" t="n">
        <x:f>'Evaluation Plan'!R18</x:f>
        <x:v>1</x:v>
      </x:c>
      <x:c r="S18" s="40" t="str">
        <x:f>'Evaluation Plan'!S18</x:f>
        <x:v>Recreate the listed manifest scene with the bowl empty.</x:v>
      </x:c>
      <x:c r="T18" s="40" t="str">
        <x:f>'Evaluation Plan'!T18</x:f>
        <x:v>The queried state-object combination and same-category discrimination structure are explicitly represented in training.</x:v>
      </x:c>
      <x:c r="U18" s="40" t="n">
        <x:f>'Evaluation Plan'!U18</x:f>
        <x:v>0</x:v>
      </x:c>
    </x:row>
    <x:row r="19" ht="51" customHeight="1">
      <x:c r="A19" s="43" t="str">
        <x:v>Not collected</x:v>
      </x:c>
      <x:c r="B19" s="44" t="n">
        <x:f>'Evaluation Plan'!B19</x:f>
        <x:v>17</x:v>
      </x:c>
      <x:c r="C19" s="43" t="str">
        <x:f>'Evaluation Plan'!C19</x:f>
        <x:v>Place the upright brown cup in the bowl.</x:v>
      </x:c>
      <x:c r="D19" s="43" t="str">
        <x:f>'Evaluation Plan'!D19</x:f>
        <x:v>brown cup A (C, RU); brown cup B (C, UD); glass spice container B (C, UD)</x:v>
      </x:c>
      <x:c r="E19" s="44" t="str">
        <x:f>'Evaluation Plan'!E19</x:f>
      </x:c>
      <x:c r="F19" s="44" t="str">
        <x:f>'Evaluation Plan'!F19</x:f>
        <x:v>139</x:v>
      </x:c>
      <x:c r="G19" s="43" t="str">
        <x:f>'Evaluation Plan'!G19</x:f>
        <x:v>Exact manifest episode: trained state-object cell, prompt, same-category candidate structure, and object membership match; physical layout is manually recreated.</x:v>
      </x:c>
      <x:c r="H19" s="43" t="str">
        <x:f>'Evaluation Plan'!H19</x:f>
        <x:v>brown cup A</x:v>
      </x:c>
      <x:c r="I19" s="43" t="str"/>
      <x:c r="J19" s="42" t="str">
        <x:f>'Evaluation Plan'!J19</x:f>
        <x:v>In-distribution concept baseline</x:v>
      </x:c>
      <x:c r="K19" s="44" t="str">
        <x:f>'Evaluation Plan'!K19</x:f>
        <x:v>SR-ID18</x:v>
      </x:c>
      <x:c r="L19" s="44" t="str">
        <x:f>'Evaluation Plan'!L19</x:f>
        <x:v>RU</x:v>
      </x:c>
      <x:c r="M19" s="44" t="str">
        <x:f>'Evaluation Plan'!M19</x:f>
        <x:v>brown cup</x:v>
      </x:c>
      <x:c r="N19" s="44" t="n">
        <x:f>'Evaluation Plan'!N19</x:f>
        <x:v>3</x:v>
      </x:c>
      <x:c r="O19" s="44" t="n">
        <x:f>'Evaluation Plan'!O19</x:f>
        <x:v>1</x:v>
      </x:c>
      <x:c r="P19" s="44" t="str">
        <x:f>'Evaluation Plan'!P19</x:f>
        <x:v>Empty</x:v>
      </x:c>
      <x:c r="Q19" s="43" t="str">
        <x:f>'Evaluation Plan'!Q19</x:f>
        <x:v>Exact training-supported state-object baseline</x:v>
      </x:c>
      <x:c r="R19" s="44" t="n">
        <x:f>'Evaluation Plan'!R19</x:f>
        <x:v>1</x:v>
      </x:c>
      <x:c r="S19" s="43" t="str">
        <x:f>'Evaluation Plan'!S19</x:f>
        <x:v>Recreate the listed manifest scene with the bowl empty.</x:v>
      </x:c>
      <x:c r="T19" s="43" t="str">
        <x:f>'Evaluation Plan'!T19</x:f>
        <x:v>The queried state-object combination and same-category discrimination structure are explicitly represented in training.</x:v>
      </x:c>
      <x:c r="U19" s="43" t="n">
        <x:f>'Evaluation Plan'!U19</x:f>
        <x:v>0</x:v>
      </x:c>
    </x:row>
    <x:row r="20" ht="51" customHeight="1">
      <x:c r="A20" s="40" t="str">
        <x:v>Not collected</x:v>
      </x:c>
      <x:c r="B20" s="41" t="n">
        <x:f>'Evaluation Plan'!B20</x:f>
        <x:v>18</x:v>
      </x:c>
      <x:c r="C20" s="40" t="str">
        <x:f>'Evaluation Plan'!C20</x:f>
        <x:v>Put the closed glass spice container in the bowl.</x:v>
      </x:c>
      <x:c r="D20" s="40" t="str">
        <x:f>'Evaluation Plan'!D20</x:f>
        <x:v>glass spice container A (C, RU); glass spice container B (O, RU); brown cup A (C, RU); white cup B (O, RU)</x:v>
      </x:c>
      <x:c r="E20" s="41" t="str">
        <x:f>'Evaluation Plan'!E20</x:f>
      </x:c>
      <x:c r="F20" s="41" t="str">
        <x:f>'Evaluation Plan'!F20</x:f>
        <x:v>155</x:v>
      </x:c>
      <x:c r="G20" s="40" t="str">
        <x:f>'Evaluation Plan'!G20</x:f>
        <x:v>Exact manifest episode: trained state-object cell, prompt, same-category candidate structure, and object membership match; physical layout is manually recreated.</x:v>
      </x:c>
      <x:c r="H20" s="40" t="str">
        <x:f>'Evaluation Plan'!H20</x:f>
        <x:v>glass spice container A</x:v>
      </x:c>
      <x:c r="I20" s="40" t="str"/>
      <x:c r="J20" s="42" t="str">
        <x:f>'Evaluation Plan'!J20</x:f>
        <x:v>In-distribution concept baseline</x:v>
      </x:c>
      <x:c r="K20" s="41" t="str">
        <x:f>'Evaluation Plan'!K20</x:f>
        <x:v>SR-ID19</x:v>
      </x:c>
      <x:c r="L20" s="41" t="str">
        <x:f>'Evaluation Plan'!L20</x:f>
        <x:v>C</x:v>
      </x:c>
      <x:c r="M20" s="41" t="str">
        <x:f>'Evaluation Plan'!M20</x:f>
        <x:v>glass spice container</x:v>
      </x:c>
      <x:c r="N20" s="41" t="n">
        <x:f>'Evaluation Plan'!N20</x:f>
        <x:v>4</x:v>
      </x:c>
      <x:c r="O20" s="41" t="n">
        <x:f>'Evaluation Plan'!O20</x:f>
        <x:v>1</x:v>
      </x:c>
      <x:c r="P20" s="41" t="str">
        <x:f>'Evaluation Plan'!P20</x:f>
        <x:v>Empty</x:v>
      </x:c>
      <x:c r="Q20" s="40" t="str">
        <x:f>'Evaluation Plan'!Q20</x:f>
        <x:v>Exact training-supported state-object baseline</x:v>
      </x:c>
      <x:c r="R20" s="41" t="n">
        <x:f>'Evaluation Plan'!R20</x:f>
        <x:v>1</x:v>
      </x:c>
      <x:c r="S20" s="40" t="str">
        <x:f>'Evaluation Plan'!S20</x:f>
        <x:v>Recreate the listed manifest scene with the bowl empty.</x:v>
      </x:c>
      <x:c r="T20" s="40" t="str">
        <x:f>'Evaluation Plan'!T20</x:f>
        <x:v>The queried state-object combination and same-category discrimination structure are explicitly represented in training.</x:v>
      </x:c>
      <x:c r="U20" s="40" t="n">
        <x:f>'Evaluation Plan'!U20</x:f>
        <x:v>0</x:v>
      </x:c>
    </x:row>
    <x:row r="21" ht="51" customHeight="1">
      <x:c r="A21" s="43" t="str">
        <x:v>Not collected</x:v>
      </x:c>
      <x:c r="B21" s="44" t="n">
        <x:f>'Evaluation Plan'!B21</x:f>
        <x:v>19</x:v>
      </x:c>
      <x:c r="C21" s="43" t="str">
        <x:f>'Evaluation Plan'!C21</x:f>
        <x:v>Move the open glass spice container into the bowl.</x:v>
      </x:c>
      <x:c r="D21" s="43" t="str">
        <x:f>'Evaluation Plan'!D21</x:f>
        <x:v>glass spice container B (O, RU); glass spice container A (C, RU); white cup B (O, RU); yellow-white striped cup A (O, RU)</x:v>
      </x:c>
      <x:c r="E21" s="44" t="str">
        <x:f>'Evaluation Plan'!E21</x:f>
      </x:c>
      <x:c r="F21" s="44" t="str">
        <x:f>'Evaluation Plan'!F21</x:f>
        <x:v>162</x:v>
      </x:c>
      <x:c r="G21" s="43" t="str">
        <x:f>'Evaluation Plan'!G21</x:f>
        <x:v>Exact manifest episode: trained state-object cell, prompt, same-category candidate structure, and object membership match; physical layout is manually recreated.</x:v>
      </x:c>
      <x:c r="H21" s="43" t="str">
        <x:f>'Evaluation Plan'!H21</x:f>
        <x:v>glass spice container B</x:v>
      </x:c>
      <x:c r="I21" s="43" t="str"/>
      <x:c r="J21" s="42" t="str">
        <x:f>'Evaluation Plan'!J21</x:f>
        <x:v>In-distribution concept baseline</x:v>
      </x:c>
      <x:c r="K21" s="44" t="str">
        <x:f>'Evaluation Plan'!K21</x:f>
        <x:v>SR-ID20</x:v>
      </x:c>
      <x:c r="L21" s="44" t="str">
        <x:f>'Evaluation Plan'!L21</x:f>
        <x:v>O</x:v>
      </x:c>
      <x:c r="M21" s="44" t="str">
        <x:f>'Evaluation Plan'!M21</x:f>
        <x:v>glass spice container</x:v>
      </x:c>
      <x:c r="N21" s="44" t="n">
        <x:f>'Evaluation Plan'!N21</x:f>
        <x:v>4</x:v>
      </x:c>
      <x:c r="O21" s="44" t="n">
        <x:f>'Evaluation Plan'!O21</x:f>
        <x:v>1</x:v>
      </x:c>
      <x:c r="P21" s="44" t="str">
        <x:f>'Evaluation Plan'!P21</x:f>
        <x:v>Empty</x:v>
      </x:c>
      <x:c r="Q21" s="43" t="str">
        <x:f>'Evaluation Plan'!Q21</x:f>
        <x:v>Exact training-supported state-object baseline</x:v>
      </x:c>
      <x:c r="R21" s="44" t="n">
        <x:f>'Evaluation Plan'!R21</x:f>
        <x:v>1</x:v>
      </x:c>
      <x:c r="S21" s="43" t="str">
        <x:f>'Evaluation Plan'!S21</x:f>
        <x:v>Recreate the listed manifest scene with the bowl empty.</x:v>
      </x:c>
      <x:c r="T21" s="43" t="str">
        <x:f>'Evaluation Plan'!T21</x:f>
        <x:v>The queried state-object combination and same-category discrimination structure are explicitly represented in training.</x:v>
      </x:c>
      <x:c r="U21" s="43" t="n">
        <x:f>'Evaluation Plan'!U21</x:f>
        <x:v>0</x:v>
      </x:c>
    </x:row>
    <x:row r="22" ht="51" customHeight="1">
      <x:c r="A22" s="40" t="str">
        <x:v>Not collected</x:v>
      </x:c>
      <x:c r="B22" s="41" t="n">
        <x:f>'Evaluation Plan'!B22</x:f>
        <x:v>20</x:v>
      </x:c>
      <x:c r="C22" s="40" t="str">
        <x:f>'Evaluation Plan'!C22</x:f>
        <x:v>Place the upside-down white cup in the bowl.</x:v>
      </x:c>
      <x:c r="D22" s="40" t="str">
        <x:f>'Evaluation Plan'!D22</x:f>
        <x:v>white cup A (C, UD); white cup B (C, RU)</x:v>
      </x:c>
      <x:c r="E22" s="41" t="str">
        <x:f>'Evaluation Plan'!E22</x:f>
      </x:c>
      <x:c r="F22" s="41" t="str">
        <x:f>'Evaluation Plan'!F22</x:f>
        <x:v>35</x:v>
      </x:c>
      <x:c r="G22" s="40" t="str">
        <x:f>'Evaluation Plan'!G22</x:f>
        <x:v>Physical-state and manipulation-trajectory reference under a direct category prompt; the evaluated state word × object-category cell is intentionally absent from training.</x:v>
      </x:c>
      <x:c r="H22" s="40" t="str">
        <x:f>'Evaluation Plan'!H22</x:f>
        <x:v>white cup A</x:v>
      </x:c>
      <x:c r="I22" s="40" t="str"/>
      <x:c r="J22" s="45" t="str">
        <x:f>'Evaluation Plan'!J22</x:f>
        <x:v>Concept/compositional transfer</x:v>
      </x:c>
      <x:c r="K22" s="41" t="str">
        <x:f>'Evaluation Plan'!K22</x:f>
        <x:v>SR-CT01</x:v>
      </x:c>
      <x:c r="L22" s="41" t="str">
        <x:f>'Evaluation Plan'!L22</x:f>
        <x:v>UD</x:v>
      </x:c>
      <x:c r="M22" s="41" t="str">
        <x:f>'Evaluation Plan'!M22</x:f>
        <x:v>white cup</x:v>
      </x:c>
      <x:c r="N22" s="41" t="n">
        <x:f>'Evaluation Plan'!N22</x:f>
        <x:v>2</x:v>
      </x:c>
      <x:c r="O22" s="41" t="n">
        <x:f>'Evaluation Plan'!O22</x:f>
        <x:v>1</x:v>
      </x:c>
      <x:c r="P22" s="41" t="str">
        <x:f>'Evaluation Plan'!P22</x:f>
        <x:v>Empty</x:v>
      </x:c>
      <x:c r="Q22" s="40" t="str">
        <x:f>'Evaluation Plan'!Q22</x:f>
        <x:v>Primary held-out state-object composition</x:v>
      </x:c>
      <x:c r="R22" s="41" t="n">
        <x:f>'Evaluation Plan'!R22</x:f>
        <x:v>2</x:v>
      </x:c>
      <x:c r="S22" s="40" t="str">
        <x:f>'Evaluation Plan'!S22</x:f>
        <x:v>Build the listed same-category discrimination scene with the bowl empty.</x:v>
      </x:c>
      <x:c r="T22" s="40" t="str">
        <x:f>'Evaluation Plan'!T22</x:f>
        <x:v>Two same-category candidates share the non-queried state axis; only the held-out state word identifies the target.</x:v>
      </x:c>
      <x:c r="U22" s="40" t="n">
        <x:f>'Evaluation Plan'!U22</x:f>
        <x:v>0</x:v>
      </x:c>
    </x:row>
    <x:row r="23" ht="51" customHeight="1">
      <x:c r="A23" s="32" t="str">
        <x:v>Not collected</x:v>
      </x:c>
      <x:c r="B23" s="34" t="n">
        <x:f>'Evaluation Plan'!B23</x:f>
        <x:v>21</x:v>
      </x:c>
      <x:c r="C23" s="32" t="str">
        <x:f>'Evaluation Plan'!C23</x:f>
        <x:v>Place the upright white cup in the bowl.</x:v>
      </x:c>
      <x:c r="D23" s="32" t="str">
        <x:f>'Evaluation Plan'!D23</x:f>
        <x:v>white cup A (C, UD); white cup B (C, RU)</x:v>
      </x:c>
      <x:c r="E23" s="34" t="n">
        <x:f>'Evaluation Plan'!E23</x:f>
        <x:v>20</x:v>
      </x:c>
      <x:c r="F23" s="34" t="str">
        <x:f>'Evaluation Plan'!F23</x:f>
        <x:v>27</x:v>
      </x:c>
      <x:c r="G23" s="32" t="str">
        <x:f>'Evaluation Plan'!G23</x:f>
        <x:v>Training-supported state-object cell for the control. The evaluation scene is shared exactly with the paired transfer row, while the physical layout is manually recreated.</x:v>
      </x:c>
      <x:c r="H23" s="32" t="str">
        <x:f>'Evaluation Plan'!H23</x:f>
        <x:v>white cup B</x:v>
      </x:c>
      <x:c r="I23" s="32" t="str"/>
      <x:c r="J23" s="37" t="str">
        <x:f>'Evaluation Plan'!J23</x:f>
        <x:v>Matched manipulation control</x:v>
      </x:c>
      <x:c r="K23" s="34" t="str">
        <x:f>'Evaluation Plan'!K23</x:f>
        <x:v>SR-CT01</x:v>
      </x:c>
      <x:c r="L23" s="34" t="str">
        <x:f>'Evaluation Plan'!L23</x:f>
        <x:v>RU</x:v>
      </x:c>
      <x:c r="M23" s="34" t="str">
        <x:f>'Evaluation Plan'!M23</x:f>
        <x:v>white cup</x:v>
      </x:c>
      <x:c r="N23" s="34" t="n">
        <x:f>'Evaluation Plan'!N23</x:f>
        <x:v>2</x:v>
      </x:c>
      <x:c r="O23" s="34" t="n">
        <x:f>'Evaluation Plan'!O23</x:f>
        <x:v>1</x:v>
      </x:c>
      <x:c r="P23" s="34" t="str">
        <x:f>'Evaluation Plan'!P23</x:f>
        <x:v>Empty</x:v>
      </x:c>
      <x:c r="Q23" s="32" t="str">
        <x:f>'Evaluation Plan'!Q23</x:f>
        <x:v>Exact-scene trained state-object counterfactual</x:v>
      </x:c>
      <x:c r="R23" s="34" t="n">
        <x:f>'Evaluation Plan'!R23</x:f>
        <x:v>2</x:v>
      </x:c>
      <x:c r="S23" s="32" t="str">
        <x:f>'Evaluation Plan'!S23</x:f>
        <x:v>Reset the moved object exactly; preserve every object and state; change only the prompt and expected target.</x:v>
      </x:c>
      <x:c r="T23" s="32" t="str">
        <x:f>'Evaluation Plan'!T23</x:f>
        <x:v>The correct target switches to the other same-category instance. This cell is explicit in training and controls recognition/manipulation in the transfer scene.</x:v>
      </x:c>
      <x:c r="U23" s="32" t="n">
        <x:f>'Evaluation Plan'!U23</x:f>
        <x:v>0</x:v>
      </x:c>
    </x:row>
    <x:row r="24" ht="51" customHeight="1">
      <x:c r="A24" s="31" t="str">
        <x:v>Not collected</x:v>
      </x:c>
      <x:c r="B24" s="33" t="n">
        <x:f>'Evaluation Plan'!B24</x:f>
        <x:v>22</x:v>
      </x:c>
      <x:c r="C24" s="31" t="str">
        <x:f>'Evaluation Plan'!C24</x:f>
        <x:v>Move the inverted white cup into the bowl.</x:v>
      </x:c>
      <x:c r="D24" s="31" t="str">
        <x:f>'Evaluation Plan'!D24</x:f>
        <x:v>white cup A (C, UD); white cup B (C, RU)</x:v>
      </x:c>
      <x:c r="E24" s="33" t="n">
        <x:f>'Evaluation Plan'!E24</x:f>
        <x:v>20</x:v>
      </x:c>
      <x:c r="F24" s="33" t="str">
        <x:f>'Evaluation Plan'!F24</x:f>
        <x:v>35</x:v>
      </x:c>
      <x:c r="G24" s="31" t="str">
        <x:f>'Evaluation Plan'!G24</x:f>
        <x:v>The canonical transfer scene and masked trajectory reference are unchanged; only the evaluation wording is paraphrased. This remains a language diagnostic and is not pooled into the primary 50.</x:v>
      </x:c>
      <x:c r="H24" s="31" t="str">
        <x:f>'Evaluation Plan'!H24</x:f>
        <x:v>white cup A</x:v>
      </x:c>
      <x:c r="I24" s="31" t="str"/>
      <x:c r="J24" s="38" t="str">
        <x:f>'Evaluation Plan'!J24</x:f>
        <x:v>Language robustness</x:v>
      </x:c>
      <x:c r="K24" s="33" t="str">
        <x:f>'Evaluation Plan'!K24</x:f>
        <x:v>SR-CT01</x:v>
      </x:c>
      <x:c r="L24" s="33" t="str">
        <x:f>'Evaluation Plan'!L24</x:f>
        <x:v>UD</x:v>
      </x:c>
      <x:c r="M24" s="33" t="str">
        <x:f>'Evaluation Plan'!M24</x:f>
        <x:v>white cup</x:v>
      </x:c>
      <x:c r="N24" s="33" t="n">
        <x:f>'Evaluation Plan'!N24</x:f>
        <x:v>2</x:v>
      </x:c>
      <x:c r="O24" s="33" t="n">
        <x:f>'Evaluation Plan'!O24</x:f>
        <x:v>1</x:v>
      </x:c>
      <x:c r="P24" s="33" t="str">
        <x:f>'Evaluation Plan'!P24</x:f>
        <x:v>Empty</x:v>
      </x:c>
      <x:c r="Q24" s="31" t="str">
        <x:f>'Evaluation Plan'!Q24</x:f>
        <x:v>Primary compositional-transfer prompt paraphrase</x:v>
      </x:c>
      <x:c r="R24" s="33" t="n">
        <x:f>'Evaluation Plan'!R24</x:f>
        <x:v>2</x:v>
      </x:c>
      <x:c r="S24" s="31" t="str">
        <x:f>'Evaluation Plan'!S24</x:f>
        <x:v>Reset the moved object exactly; preserve every object and state; change only the prompt wording.</x:v>
      </x:c>
      <x:c r="T24" s="31" t="str">
        <x:f>'Evaluation Plan'!T24</x:f>
        <x:v>Exact-scene paraphrase of one of the 50 canonical compositional-transfer trials.</x:v>
      </x:c>
      <x:c r="U24" s="31" t="n">
        <x:f>'Evaluation Plan'!U24</x:f>
        <x:v>0</x:v>
      </x:c>
    </x:row>
    <x:row r="25" ht="51" customHeight="1">
      <x:c r="A25" s="32" t="str">
        <x:v>Not collected</x:v>
      </x:c>
      <x:c r="B25" s="34" t="n">
        <x:f>'Evaluation Plan'!B25</x:f>
        <x:v>23</x:v>
      </x:c>
      <x:c r="C25" s="32" t="str">
        <x:f>'Evaluation Plan'!C25</x:f>
        <x:v>Move the right-side-up white cup into the bowl.</x:v>
      </x:c>
      <x:c r="D25" s="32" t="str">
        <x:f>'Evaluation Plan'!D25</x:f>
        <x:v>white cup A (C, UD); white cup B (C, RU)</x:v>
      </x:c>
      <x:c r="E25" s="34" t="n">
        <x:f>'Evaluation Plan'!E25</x:f>
        <x:v>21</x:v>
      </x:c>
      <x:c r="F25" s="34" t="str">
        <x:f>'Evaluation Plan'!F25</x:f>
        <x:v>27</x:v>
      </x:c>
      <x:c r="G25" s="32" t="str">
        <x:f>'Evaluation Plan'!G25</x:f>
        <x:v>Canonical matched-control cell is training-supported; evaluation wording is paraphrased. No held-out composition is used.</x:v>
      </x:c>
      <x:c r="H25" s="32" t="str">
        <x:f>'Evaluation Plan'!H25</x:f>
        <x:v>white cup B</x:v>
      </x:c>
      <x:c r="I25" s="32" t="str"/>
      <x:c r="J25" s="38" t="str">
        <x:f>'Evaluation Plan'!J25</x:f>
        <x:v>Language robustness</x:v>
      </x:c>
      <x:c r="K25" s="34" t="str">
        <x:f>'Evaluation Plan'!K25</x:f>
        <x:v>SR-CT01</x:v>
      </x:c>
      <x:c r="L25" s="34" t="str">
        <x:f>'Evaluation Plan'!L25</x:f>
        <x:v>RU</x:v>
      </x:c>
      <x:c r="M25" s="34" t="str">
        <x:f>'Evaluation Plan'!M25</x:f>
        <x:v>white cup</x:v>
      </x:c>
      <x:c r="N25" s="34" t="n">
        <x:f>'Evaluation Plan'!N25</x:f>
        <x:v>2</x:v>
      </x:c>
      <x:c r="O25" s="34" t="n">
        <x:f>'Evaluation Plan'!O25</x:f>
        <x:v>1</x:v>
      </x:c>
      <x:c r="P25" s="34" t="str">
        <x:f>'Evaluation Plan'!P25</x:f>
        <x:v>Empty</x:v>
      </x:c>
      <x:c r="Q25" s="32" t="str">
        <x:f>'Evaluation Plan'!Q25</x:f>
        <x:v>Matched-control state prompt paraphrase</x:v>
      </x:c>
      <x:c r="R25" s="34" t="n">
        <x:f>'Evaluation Plan'!R25</x:f>
        <x:v>2</x:v>
      </x:c>
      <x:c r="S25" s="32" t="str">
        <x:f>'Evaluation Plan'!S25</x:f>
        <x:v>Reset the moved object exactly; preserve the scene; change only the prompt wording.</x:v>
      </x:c>
      <x:c r="T25" s="32" t="str">
        <x:f>'Evaluation Plan'!T25</x:f>
        <x:v>This is one of 10 language trials paired with a matched trained-state control.</x:v>
      </x:c>
      <x:c r="U25" s="32" t="n">
        <x:f>'Evaluation Plan'!U25</x:f>
        <x:v>0</x:v>
      </x:c>
    </x:row>
    <x:row r="26" ht="51" customHeight="1">
      <x:c r="A26" s="40" t="str">
        <x:v>Not collected</x:v>
      </x:c>
      <x:c r="B26" s="41" t="n">
        <x:f>'Evaluation Plan'!B26</x:f>
        <x:v>24</x:v>
      </x:c>
      <x:c r="C26" s="40" t="str">
        <x:f>'Evaluation Plan'!C26</x:f>
        <x:v>Place the open yellow-white striped cup in the bowl.</x:v>
      </x:c>
      <x:c r="D26" s="40" t="str">
        <x:f>'Evaluation Plan'!D26</x:f>
        <x:v>yellow-white striped cup B (O, RU); yellow-white striped cup A (C, RU); brown cup B (O, RU)</x:v>
      </x:c>
      <x:c r="E26" s="41" t="str">
        <x:f>'Evaluation Plan'!E26</x:f>
      </x:c>
      <x:c r="F26" s="41" t="str">
        <x:f>'Evaluation Plan'!F26</x:f>
        <x:v>64</x:v>
      </x:c>
      <x:c r="G26" s="40" t="str">
        <x:f>'Evaluation Plan'!G26</x:f>
        <x:v>Physical-state and manipulation-trajectory reference under a direct category prompt; the evaluated state word × object-category cell is intentionally absent from training.</x:v>
      </x:c>
      <x:c r="H26" s="40" t="str">
        <x:f>'Evaluation Plan'!H26</x:f>
        <x:v>yellow-white striped cup B</x:v>
      </x:c>
      <x:c r="I26" s="40" t="str"/>
      <x:c r="J26" s="45" t="str">
        <x:f>'Evaluation Plan'!J26</x:f>
        <x:v>Concept/compositional transfer</x:v>
      </x:c>
      <x:c r="K26" s="41" t="str">
        <x:f>'Evaluation Plan'!K26</x:f>
        <x:v>SR-CT02</x:v>
      </x:c>
      <x:c r="L26" s="41" t="str">
        <x:f>'Evaluation Plan'!L26</x:f>
        <x:v>O</x:v>
      </x:c>
      <x:c r="M26" s="41" t="str">
        <x:f>'Evaluation Plan'!M26</x:f>
        <x:v>yellow-white striped cup</x:v>
      </x:c>
      <x:c r="N26" s="41" t="n">
        <x:f>'Evaluation Plan'!N26</x:f>
        <x:v>3</x:v>
      </x:c>
      <x:c r="O26" s="41" t="n">
        <x:f>'Evaluation Plan'!O26</x:f>
        <x:v>1</x:v>
      </x:c>
      <x:c r="P26" s="41" t="str">
        <x:f>'Evaluation Plan'!P26</x:f>
        <x:v>Empty</x:v>
      </x:c>
      <x:c r="Q26" s="40" t="str">
        <x:f>'Evaluation Plan'!Q26</x:f>
        <x:v>Primary held-out state-object composition</x:v>
      </x:c>
      <x:c r="R26" s="41" t="n">
        <x:f>'Evaluation Plan'!R26</x:f>
        <x:v>2</x:v>
      </x:c>
      <x:c r="S26" s="40" t="str">
        <x:f>'Evaluation Plan'!S26</x:f>
        <x:v>Build the listed same-category discrimination scene with the bowl empty.</x:v>
      </x:c>
      <x:c r="T26" s="40" t="str">
        <x:f>'Evaluation Plan'!T26</x:f>
        <x:v>Two same-category candidates share the non-queried state axis; only the held-out state word identifies the target.</x:v>
      </x:c>
      <x:c r="U26" s="40" t="n">
        <x:f>'Evaluation Plan'!U26</x:f>
        <x:v>0</x:v>
      </x:c>
    </x:row>
    <x:row r="27" ht="51" customHeight="1">
      <x:c r="A27" s="32" t="str">
        <x:v>Not collected</x:v>
      </x:c>
      <x:c r="B27" s="34" t="n">
        <x:f>'Evaluation Plan'!B27</x:f>
        <x:v>25</x:v>
      </x:c>
      <x:c r="C27" s="32" t="str">
        <x:f>'Evaluation Plan'!C27</x:f>
        <x:v>Place the closed yellow-white striped cup in the bowl.</x:v>
      </x:c>
      <x:c r="D27" s="32" t="str">
        <x:f>'Evaluation Plan'!D27</x:f>
        <x:v>yellow-white striped cup B (O, RU); yellow-white striped cup A (C, RU); brown cup B (O, RU)</x:v>
      </x:c>
      <x:c r="E27" s="34" t="n">
        <x:f>'Evaluation Plan'!E27</x:f>
        <x:v>24</x:v>
      </x:c>
      <x:c r="F27" s="34" t="str">
        <x:f>'Evaluation Plan'!F27</x:f>
        <x:v>55</x:v>
      </x:c>
      <x:c r="G27" s="32" t="str">
        <x:f>'Evaluation Plan'!G27</x:f>
        <x:v>Training-supported state-object cell for the control. The evaluation scene is shared exactly with the paired transfer row, while the physical layout is manually recreated.</x:v>
      </x:c>
      <x:c r="H27" s="32" t="str">
        <x:f>'Evaluation Plan'!H27</x:f>
        <x:v>yellow-white striped cup A</x:v>
      </x:c>
      <x:c r="I27" s="32" t="str"/>
      <x:c r="J27" s="37" t="str">
        <x:f>'Evaluation Plan'!J27</x:f>
        <x:v>Matched manipulation control</x:v>
      </x:c>
      <x:c r="K27" s="34" t="str">
        <x:f>'Evaluation Plan'!K27</x:f>
        <x:v>SR-CT02</x:v>
      </x:c>
      <x:c r="L27" s="34" t="str">
        <x:f>'Evaluation Plan'!L27</x:f>
        <x:v>C</x:v>
      </x:c>
      <x:c r="M27" s="34" t="str">
        <x:f>'Evaluation Plan'!M27</x:f>
        <x:v>yellow-white striped cup</x:v>
      </x:c>
      <x:c r="N27" s="34" t="n">
        <x:f>'Evaluation Plan'!N27</x:f>
        <x:v>3</x:v>
      </x:c>
      <x:c r="O27" s="34" t="n">
        <x:f>'Evaluation Plan'!O27</x:f>
        <x:v>1</x:v>
      </x:c>
      <x:c r="P27" s="34" t="str">
        <x:f>'Evaluation Plan'!P27</x:f>
        <x:v>Empty</x:v>
      </x:c>
      <x:c r="Q27" s="32" t="str">
        <x:f>'Evaluation Plan'!Q27</x:f>
        <x:v>Exact-scene trained state-object counterfactual</x:v>
      </x:c>
      <x:c r="R27" s="34" t="n">
        <x:f>'Evaluation Plan'!R27</x:f>
        <x:v>2</x:v>
      </x:c>
      <x:c r="S27" s="32" t="str">
        <x:f>'Evaluation Plan'!S27</x:f>
        <x:v>Reset the moved object exactly; preserve every object and state; change only the prompt and expected target.</x:v>
      </x:c>
      <x:c r="T27" s="32" t="str">
        <x:f>'Evaluation Plan'!T27</x:f>
        <x:v>The correct target switches to the other same-category instance. This cell is explicit in training and controls recognition/manipulation in the transfer scene.</x:v>
      </x:c>
      <x:c r="U27" s="32" t="n">
        <x:f>'Evaluation Plan'!U27</x:f>
        <x:v>0</x:v>
      </x:c>
    </x:row>
    <x:row r="28" ht="51" customHeight="1">
      <x:c r="A28" s="31" t="str">
        <x:v>Not collected</x:v>
      </x:c>
      <x:c r="B28" s="33" t="n">
        <x:f>'Evaluation Plan'!B28</x:f>
        <x:v>26</x:v>
      </x:c>
      <x:c r="C28" s="31" t="str">
        <x:f>'Evaluation Plan'!C28</x:f>
        <x:v>Move the yellow-white striped cup whose opening is uncovered into the bowl.</x:v>
      </x:c>
      <x:c r="D28" s="31" t="str">
        <x:f>'Evaluation Plan'!D28</x:f>
        <x:v>yellow-white striped cup B (O, RU); yellow-white striped cup A (C, RU); brown cup B (O, RU)</x:v>
      </x:c>
      <x:c r="E28" s="33" t="n">
        <x:f>'Evaluation Plan'!E28</x:f>
        <x:v>24</x:v>
      </x:c>
      <x:c r="F28" s="33" t="str">
        <x:f>'Evaluation Plan'!F28</x:f>
        <x:v>64</x:v>
      </x:c>
      <x:c r="G28" s="31" t="str">
        <x:f>'Evaluation Plan'!G28</x:f>
        <x:v>The canonical transfer scene and masked trajectory reference are unchanged; only the evaluation wording is paraphrased. This remains a language diagnostic and is not pooled into the primary 50.</x:v>
      </x:c>
      <x:c r="H28" s="31" t="str">
        <x:f>'Evaluation Plan'!H28</x:f>
        <x:v>yellow-white striped cup B</x:v>
      </x:c>
      <x:c r="I28" s="31" t="str"/>
      <x:c r="J28" s="38" t="str">
        <x:f>'Evaluation Plan'!J28</x:f>
        <x:v>Language robustness</x:v>
      </x:c>
      <x:c r="K28" s="33" t="str">
        <x:f>'Evaluation Plan'!K28</x:f>
        <x:v>SR-CT02</x:v>
      </x:c>
      <x:c r="L28" s="33" t="str">
        <x:f>'Evaluation Plan'!L28</x:f>
        <x:v>O</x:v>
      </x:c>
      <x:c r="M28" s="33" t="str">
        <x:f>'Evaluation Plan'!M28</x:f>
        <x:v>yellow-white striped cup</x:v>
      </x:c>
      <x:c r="N28" s="33" t="n">
        <x:f>'Evaluation Plan'!N28</x:f>
        <x:v>3</x:v>
      </x:c>
      <x:c r="O28" s="33" t="n">
        <x:f>'Evaluation Plan'!O28</x:f>
        <x:v>1</x:v>
      </x:c>
      <x:c r="P28" s="33" t="str">
        <x:f>'Evaluation Plan'!P28</x:f>
        <x:v>Empty</x:v>
      </x:c>
      <x:c r="Q28" s="31" t="str">
        <x:f>'Evaluation Plan'!Q28</x:f>
        <x:v>Primary compositional-transfer prompt paraphrase</x:v>
      </x:c>
      <x:c r="R28" s="33" t="n">
        <x:f>'Evaluation Plan'!R28</x:f>
        <x:v>2</x:v>
      </x:c>
      <x:c r="S28" s="31" t="str">
        <x:f>'Evaluation Plan'!S28</x:f>
        <x:v>Reset the moved object exactly; preserve every object and state; change only the prompt wording.</x:v>
      </x:c>
      <x:c r="T28" s="31" t="str">
        <x:f>'Evaluation Plan'!T28</x:f>
        <x:v>Exact-scene paraphrase of one of the 50 canonical compositional-transfer trials.</x:v>
      </x:c>
      <x:c r="U28" s="31" t="n">
        <x:f>'Evaluation Plan'!U28</x:f>
        <x:v>0</x:v>
      </x:c>
    </x:row>
    <x:row r="29" ht="51" customHeight="1">
      <x:c r="A29" s="32" t="str">
        <x:v>Not collected</x:v>
      </x:c>
      <x:c r="B29" s="34" t="n">
        <x:f>'Evaluation Plan'!B29</x:f>
        <x:v>27</x:v>
      </x:c>
      <x:c r="C29" s="32" t="str">
        <x:f>'Evaluation Plan'!C29</x:f>
        <x:v>Move the yellow-white striped cup whose opening is covered into the bowl.</x:v>
      </x:c>
      <x:c r="D29" s="32" t="str">
        <x:f>'Evaluation Plan'!D29</x:f>
        <x:v>yellow-white striped cup B (O, RU); yellow-white striped cup A (C, RU); brown cup B (O, RU)</x:v>
      </x:c>
      <x:c r="E29" s="34" t="n">
        <x:f>'Evaluation Plan'!E29</x:f>
        <x:v>25</x:v>
      </x:c>
      <x:c r="F29" s="34" t="str">
        <x:f>'Evaluation Plan'!F29</x:f>
        <x:v>55</x:v>
      </x:c>
      <x:c r="G29" s="32" t="str">
        <x:f>'Evaluation Plan'!G29</x:f>
        <x:v>Canonical matched-control cell is training-supported; evaluation wording is paraphrased. No held-out composition is used.</x:v>
      </x:c>
      <x:c r="H29" s="32" t="str">
        <x:f>'Evaluation Plan'!H29</x:f>
        <x:v>yellow-white striped cup A</x:v>
      </x:c>
      <x:c r="I29" s="32" t="str"/>
      <x:c r="J29" s="38" t="str">
        <x:f>'Evaluation Plan'!J29</x:f>
        <x:v>Language robustness</x:v>
      </x:c>
      <x:c r="K29" s="34" t="str">
        <x:f>'Evaluation Plan'!K29</x:f>
        <x:v>SR-CT02</x:v>
      </x:c>
      <x:c r="L29" s="34" t="str">
        <x:f>'Evaluation Plan'!L29</x:f>
        <x:v>C</x:v>
      </x:c>
      <x:c r="M29" s="34" t="str">
        <x:f>'Evaluation Plan'!M29</x:f>
        <x:v>yellow-white striped cup</x:v>
      </x:c>
      <x:c r="N29" s="34" t="n">
        <x:f>'Evaluation Plan'!N29</x:f>
        <x:v>3</x:v>
      </x:c>
      <x:c r="O29" s="34" t="n">
        <x:f>'Evaluation Plan'!O29</x:f>
        <x:v>1</x:v>
      </x:c>
      <x:c r="P29" s="34" t="str">
        <x:f>'Evaluation Plan'!P29</x:f>
        <x:v>Empty</x:v>
      </x:c>
      <x:c r="Q29" s="32" t="str">
        <x:f>'Evaluation Plan'!Q29</x:f>
        <x:v>Matched-control state prompt paraphrase</x:v>
      </x:c>
      <x:c r="R29" s="34" t="n">
        <x:f>'Evaluation Plan'!R29</x:f>
        <x:v>2</x:v>
      </x:c>
      <x:c r="S29" s="32" t="str">
        <x:f>'Evaluation Plan'!S29</x:f>
        <x:v>Reset the moved object exactly; preserve the scene; change only the prompt wording.</x:v>
      </x:c>
      <x:c r="T29" s="32" t="str">
        <x:f>'Evaluation Plan'!T29</x:f>
        <x:v>This is one of 10 language trials paired with a matched trained-state control.</x:v>
      </x:c>
      <x:c r="U29" s="32" t="n">
        <x:f>'Evaluation Plan'!U29</x:f>
        <x:v>0</x:v>
      </x:c>
    </x:row>
    <x:row r="30" ht="51" customHeight="1">
      <x:c r="A30" s="40" t="str">
        <x:v>Not collected</x:v>
      </x:c>
      <x:c r="B30" s="41" t="n">
        <x:f>'Evaluation Plan'!B30</x:f>
        <x:v>28</x:v>
      </x:c>
      <x:c r="C30" s="40" t="str">
        <x:f>'Evaluation Plan'!C30</x:f>
        <x:v>Place the closed brown cup in the bowl.</x:v>
      </x:c>
      <x:c r="D30" s="40" t="str">
        <x:f>'Evaluation Plan'!D30</x:f>
        <x:v>brown cup A (C, RU); brown cup B (O, RU); glass spice container A (C, UD); white cup B (O, UD)</x:v>
      </x:c>
      <x:c r="E30" s="41" t="str">
        <x:f>'Evaluation Plan'!E30</x:f>
      </x:c>
      <x:c r="F30" s="41" t="str">
        <x:f>'Evaluation Plan'!F30</x:f>
        <x:v>100</x:v>
      </x:c>
      <x:c r="G30" s="40" t="str">
        <x:f>'Evaluation Plan'!G30</x:f>
        <x:v>Physical-state and manipulation-trajectory reference under a direct category prompt; the evaluated state word × object-category cell is intentionally absent from training.</x:v>
      </x:c>
      <x:c r="H30" s="40" t="str">
        <x:f>'Evaluation Plan'!H30</x:f>
        <x:v>brown cup A</x:v>
      </x:c>
      <x:c r="I30" s="40" t="str"/>
      <x:c r="J30" s="45" t="str">
        <x:f>'Evaluation Plan'!J30</x:f>
        <x:v>Concept/compositional transfer</x:v>
      </x:c>
      <x:c r="K30" s="41" t="str">
        <x:f>'Evaluation Plan'!K30</x:f>
        <x:v>SR-CT03</x:v>
      </x:c>
      <x:c r="L30" s="41" t="str">
        <x:f>'Evaluation Plan'!L30</x:f>
        <x:v>C</x:v>
      </x:c>
      <x:c r="M30" s="41" t="str">
        <x:f>'Evaluation Plan'!M30</x:f>
        <x:v>brown cup</x:v>
      </x:c>
      <x:c r="N30" s="41" t="n">
        <x:f>'Evaluation Plan'!N30</x:f>
        <x:v>4</x:v>
      </x:c>
      <x:c r="O30" s="41" t="n">
        <x:f>'Evaluation Plan'!O30</x:f>
        <x:v>1</x:v>
      </x:c>
      <x:c r="P30" s="41" t="str">
        <x:f>'Evaluation Plan'!P30</x:f>
        <x:v>Empty</x:v>
      </x:c>
      <x:c r="Q30" s="40" t="str">
        <x:f>'Evaluation Plan'!Q30</x:f>
        <x:v>Primary held-out state-object composition</x:v>
      </x:c>
      <x:c r="R30" s="41" t="n">
        <x:f>'Evaluation Plan'!R30</x:f>
        <x:v>2</x:v>
      </x:c>
      <x:c r="S30" s="40" t="str">
        <x:f>'Evaluation Plan'!S30</x:f>
        <x:v>Build the listed same-category discrimination scene with the bowl empty.</x:v>
      </x:c>
      <x:c r="T30" s="40" t="str">
        <x:f>'Evaluation Plan'!T30</x:f>
        <x:v>Two same-category candidates share the non-queried state axis; only the held-out state word identifies the target.</x:v>
      </x:c>
      <x:c r="U30" s="40" t="n">
        <x:f>'Evaluation Plan'!U30</x:f>
        <x:v>0</x:v>
      </x:c>
    </x:row>
    <x:row r="31" ht="51" customHeight="1">
      <x:c r="A31" s="32" t="str">
        <x:v>Not collected</x:v>
      </x:c>
      <x:c r="B31" s="34" t="n">
        <x:f>'Evaluation Plan'!B31</x:f>
        <x:v>29</x:v>
      </x:c>
      <x:c r="C31" s="32" t="str">
        <x:f>'Evaluation Plan'!C31</x:f>
        <x:v>Place the open brown cup in the bowl.</x:v>
      </x:c>
      <x:c r="D31" s="32" t="str">
        <x:f>'Evaluation Plan'!D31</x:f>
        <x:v>brown cup A (C, RU); brown cup B (O, RU); glass spice container A (C, UD); white cup B (O, UD)</x:v>
      </x:c>
      <x:c r="E31" s="34" t="n">
        <x:f>'Evaluation Plan'!E31</x:f>
        <x:v>28</x:v>
      </x:c>
      <x:c r="F31" s="34" t="str">
        <x:f>'Evaluation Plan'!F31</x:f>
        <x:v>104</x:v>
      </x:c>
      <x:c r="G31" s="32" t="str">
        <x:f>'Evaluation Plan'!G31</x:f>
        <x:v>Training-supported state-object cell for the control. The evaluation scene is shared exactly with the paired transfer row, while the physical layout is manually recreated.</x:v>
      </x:c>
      <x:c r="H31" s="32" t="str">
        <x:f>'Evaluation Plan'!H31</x:f>
        <x:v>brown cup B</x:v>
      </x:c>
      <x:c r="I31" s="32" t="str"/>
      <x:c r="J31" s="37" t="str">
        <x:f>'Evaluation Plan'!J31</x:f>
        <x:v>Matched manipulation control</x:v>
      </x:c>
      <x:c r="K31" s="34" t="str">
        <x:f>'Evaluation Plan'!K31</x:f>
        <x:v>SR-CT03</x:v>
      </x:c>
      <x:c r="L31" s="34" t="str">
        <x:f>'Evaluation Plan'!L31</x:f>
        <x:v>O</x:v>
      </x:c>
      <x:c r="M31" s="34" t="str">
        <x:f>'Evaluation Plan'!M31</x:f>
        <x:v>brown cup</x:v>
      </x:c>
      <x:c r="N31" s="34" t="n">
        <x:f>'Evaluation Plan'!N31</x:f>
        <x:v>4</x:v>
      </x:c>
      <x:c r="O31" s="34" t="n">
        <x:f>'Evaluation Plan'!O31</x:f>
        <x:v>1</x:v>
      </x:c>
      <x:c r="P31" s="34" t="str">
        <x:f>'Evaluation Plan'!P31</x:f>
        <x:v>Empty</x:v>
      </x:c>
      <x:c r="Q31" s="32" t="str">
        <x:f>'Evaluation Plan'!Q31</x:f>
        <x:v>Exact-scene trained state-object counterfactual</x:v>
      </x:c>
      <x:c r="R31" s="34" t="n">
        <x:f>'Evaluation Plan'!R31</x:f>
        <x:v>2</x:v>
      </x:c>
      <x:c r="S31" s="32" t="str">
        <x:f>'Evaluation Plan'!S31</x:f>
        <x:v>Reset the moved object exactly; preserve every object and state; change only the prompt and expected target.</x:v>
      </x:c>
      <x:c r="T31" s="32" t="str">
        <x:f>'Evaluation Plan'!T31</x:f>
        <x:v>The correct target switches to the other same-category instance. This cell is explicit in training and controls recognition/manipulation in the transfer scene.</x:v>
      </x:c>
      <x:c r="U31" s="32" t="n">
        <x:f>'Evaluation Plan'!U31</x:f>
        <x:v>0</x:v>
      </x:c>
    </x:row>
    <x:row r="32" ht="51" customHeight="1">
      <x:c r="A32" s="31" t="str">
        <x:v>Not collected</x:v>
      </x:c>
      <x:c r="B32" s="33" t="n">
        <x:f>'Evaluation Plan'!B32</x:f>
        <x:v>30</x:v>
      </x:c>
      <x:c r="C32" s="31" t="str">
        <x:f>'Evaluation Plan'!C32</x:f>
        <x:v>Move the brown cup whose opening is covered into the bowl.</x:v>
      </x:c>
      <x:c r="D32" s="31" t="str">
        <x:f>'Evaluation Plan'!D32</x:f>
        <x:v>brown cup A (C, RU); brown cup B (O, RU); glass spice container A (C, UD); white cup B (O, UD)</x:v>
      </x:c>
      <x:c r="E32" s="33" t="n">
        <x:f>'Evaluation Plan'!E32</x:f>
        <x:v>28</x:v>
      </x:c>
      <x:c r="F32" s="33" t="str">
        <x:f>'Evaluation Plan'!F32</x:f>
        <x:v>100</x:v>
      </x:c>
      <x:c r="G32" s="31" t="str">
        <x:f>'Evaluation Plan'!G32</x:f>
        <x:v>The canonical transfer scene and masked trajectory reference are unchanged; only the evaluation wording is paraphrased. This remains a language diagnostic and is not pooled into the primary 50.</x:v>
      </x:c>
      <x:c r="H32" s="31" t="str">
        <x:f>'Evaluation Plan'!H32</x:f>
        <x:v>brown cup A</x:v>
      </x:c>
      <x:c r="I32" s="31" t="str"/>
      <x:c r="J32" s="38" t="str">
        <x:f>'Evaluation Plan'!J32</x:f>
        <x:v>Language robustness</x:v>
      </x:c>
      <x:c r="K32" s="33" t="str">
        <x:f>'Evaluation Plan'!K32</x:f>
        <x:v>SR-CT03</x:v>
      </x:c>
      <x:c r="L32" s="33" t="str">
        <x:f>'Evaluation Plan'!L32</x:f>
        <x:v>C</x:v>
      </x:c>
      <x:c r="M32" s="33" t="str">
        <x:f>'Evaluation Plan'!M32</x:f>
        <x:v>brown cup</x:v>
      </x:c>
      <x:c r="N32" s="33" t="n">
        <x:f>'Evaluation Plan'!N32</x:f>
        <x:v>4</x:v>
      </x:c>
      <x:c r="O32" s="33" t="n">
        <x:f>'Evaluation Plan'!O32</x:f>
        <x:v>1</x:v>
      </x:c>
      <x:c r="P32" s="33" t="str">
        <x:f>'Evaluation Plan'!P32</x:f>
        <x:v>Empty</x:v>
      </x:c>
      <x:c r="Q32" s="31" t="str">
        <x:f>'Evaluation Plan'!Q32</x:f>
        <x:v>Primary compositional-transfer prompt paraphrase</x:v>
      </x:c>
      <x:c r="R32" s="33" t="n">
        <x:f>'Evaluation Plan'!R32</x:f>
        <x:v>2</x:v>
      </x:c>
      <x:c r="S32" s="31" t="str">
        <x:f>'Evaluation Plan'!S32</x:f>
        <x:v>Reset the moved object exactly; preserve every object and state; change only the prompt wording.</x:v>
      </x:c>
      <x:c r="T32" s="31" t="str">
        <x:f>'Evaluation Plan'!T32</x:f>
        <x:v>Exact-scene paraphrase of one of the 50 canonical compositional-transfer trials.</x:v>
      </x:c>
      <x:c r="U32" s="31" t="n">
        <x:f>'Evaluation Plan'!U32</x:f>
        <x:v>0</x:v>
      </x:c>
    </x:row>
    <x:row r="33" ht="51" customHeight="1">
      <x:c r="A33" s="32" t="str">
        <x:v>Not collected</x:v>
      </x:c>
      <x:c r="B33" s="34" t="n">
        <x:f>'Evaluation Plan'!B33</x:f>
        <x:v>31</x:v>
      </x:c>
      <x:c r="C33" s="32" t="str">
        <x:f>'Evaluation Plan'!C33</x:f>
        <x:v>Move the brown cup whose opening is uncovered into the bowl.</x:v>
      </x:c>
      <x:c r="D33" s="32" t="str">
        <x:f>'Evaluation Plan'!D33</x:f>
        <x:v>brown cup A (C, RU); brown cup B (O, RU); glass spice container A (C, UD); white cup B (O, UD)</x:v>
      </x:c>
      <x:c r="E33" s="34" t="n">
        <x:f>'Evaluation Plan'!E33</x:f>
        <x:v>29</x:v>
      </x:c>
      <x:c r="F33" s="34" t="str">
        <x:f>'Evaluation Plan'!F33</x:f>
        <x:v>104</x:v>
      </x:c>
      <x:c r="G33" s="32" t="str">
        <x:f>'Evaluation Plan'!G33</x:f>
        <x:v>Canonical matched-control cell is training-supported; evaluation wording is paraphrased. No held-out composition is used.</x:v>
      </x:c>
      <x:c r="H33" s="32" t="str">
        <x:f>'Evaluation Plan'!H33</x:f>
        <x:v>brown cup B</x:v>
      </x:c>
      <x:c r="I33" s="32" t="str"/>
      <x:c r="J33" s="38" t="str">
        <x:f>'Evaluation Plan'!J33</x:f>
        <x:v>Language robustness</x:v>
      </x:c>
      <x:c r="K33" s="34" t="str">
        <x:f>'Evaluation Plan'!K33</x:f>
        <x:v>SR-CT03</x:v>
      </x:c>
      <x:c r="L33" s="34" t="str">
        <x:f>'Evaluation Plan'!L33</x:f>
        <x:v>O</x:v>
      </x:c>
      <x:c r="M33" s="34" t="str">
        <x:f>'Evaluation Plan'!M33</x:f>
        <x:v>brown cup</x:v>
      </x:c>
      <x:c r="N33" s="34" t="n">
        <x:f>'Evaluation Plan'!N33</x:f>
        <x:v>4</x:v>
      </x:c>
      <x:c r="O33" s="34" t="n">
        <x:f>'Evaluation Plan'!O33</x:f>
        <x:v>1</x:v>
      </x:c>
      <x:c r="P33" s="34" t="str">
        <x:f>'Evaluation Plan'!P33</x:f>
        <x:v>Empty</x:v>
      </x:c>
      <x:c r="Q33" s="32" t="str">
        <x:f>'Evaluation Plan'!Q33</x:f>
        <x:v>Matched-control state prompt paraphrase</x:v>
      </x:c>
      <x:c r="R33" s="34" t="n">
        <x:f>'Evaluation Plan'!R33</x:f>
        <x:v>2</x:v>
      </x:c>
      <x:c r="S33" s="32" t="str">
        <x:f>'Evaluation Plan'!S33</x:f>
        <x:v>Reset the moved object exactly; preserve the scene; change only the prompt wording.</x:v>
      </x:c>
      <x:c r="T33" s="32" t="str">
        <x:f>'Evaluation Plan'!T33</x:f>
        <x:v>This is one of 10 language trials paired with a matched trained-state control.</x:v>
      </x:c>
      <x:c r="U33" s="32" t="n">
        <x:f>'Evaluation Plan'!U33</x:f>
        <x:v>0</x:v>
      </x:c>
    </x:row>
    <x:row r="34" ht="51" customHeight="1">
      <x:c r="A34" s="40" t="str">
        <x:v>Not collected</x:v>
      </x:c>
      <x:c r="B34" s="41" t="n">
        <x:f>'Evaluation Plan'!B34</x:f>
        <x:v>32</x:v>
      </x:c>
      <x:c r="C34" s="40" t="str">
        <x:f>'Evaluation Plan'!C34</x:f>
        <x:v>Place the upright glass spice container in the bowl.</x:v>
      </x:c>
      <x:c r="D34" s="40" t="str">
        <x:f>'Evaluation Plan'!D34</x:f>
        <x:v>glass spice container B (C, RU); glass spice container A (C, UD)</x:v>
      </x:c>
      <x:c r="E34" s="41" t="str">
        <x:f>'Evaluation Plan'!E34</x:f>
      </x:c>
      <x:c r="F34" s="41" t="str">
        <x:f>'Evaluation Plan'!F34</x:f>
        <x:v>169</x:v>
      </x:c>
      <x:c r="G34" s="40" t="str">
        <x:f>'Evaluation Plan'!G34</x:f>
        <x:v>Physical-state and manipulation-trajectory reference under a direct category prompt; the evaluated state word × object-category cell is intentionally absent from training.</x:v>
      </x:c>
      <x:c r="H34" s="40" t="str">
        <x:f>'Evaluation Plan'!H34</x:f>
        <x:v>glass spice container B</x:v>
      </x:c>
      <x:c r="I34" s="40" t="str"/>
      <x:c r="J34" s="45" t="str">
        <x:f>'Evaluation Plan'!J34</x:f>
        <x:v>Concept/compositional transfer</x:v>
      </x:c>
      <x:c r="K34" s="41" t="str">
        <x:f>'Evaluation Plan'!K34</x:f>
        <x:v>SR-CT04</x:v>
      </x:c>
      <x:c r="L34" s="41" t="str">
        <x:f>'Evaluation Plan'!L34</x:f>
        <x:v>RU</x:v>
      </x:c>
      <x:c r="M34" s="41" t="str">
        <x:f>'Evaluation Plan'!M34</x:f>
        <x:v>glass spice container</x:v>
      </x:c>
      <x:c r="N34" s="41" t="n">
        <x:f>'Evaluation Plan'!N34</x:f>
        <x:v>2</x:v>
      </x:c>
      <x:c r="O34" s="41" t="n">
        <x:f>'Evaluation Plan'!O34</x:f>
        <x:v>1</x:v>
      </x:c>
      <x:c r="P34" s="41" t="str">
        <x:f>'Evaluation Plan'!P34</x:f>
        <x:v>Empty</x:v>
      </x:c>
      <x:c r="Q34" s="40" t="str">
        <x:f>'Evaluation Plan'!Q34</x:f>
        <x:v>Primary held-out state-object composition</x:v>
      </x:c>
      <x:c r="R34" s="41" t="n">
        <x:f>'Evaluation Plan'!R34</x:f>
        <x:v>2</x:v>
      </x:c>
      <x:c r="S34" s="40" t="str">
        <x:f>'Evaluation Plan'!S34</x:f>
        <x:v>Build the listed same-category discrimination scene with the bowl empty.</x:v>
      </x:c>
      <x:c r="T34" s="40" t="str">
        <x:f>'Evaluation Plan'!T34</x:f>
        <x:v>Two same-category candidates share the non-queried state axis; only the held-out state word identifies the target.</x:v>
      </x:c>
      <x:c r="U34" s="40" t="n">
        <x:f>'Evaluation Plan'!U34</x:f>
        <x:v>0</x:v>
      </x:c>
    </x:row>
    <x:row r="35" ht="51" customHeight="1">
      <x:c r="A35" s="32" t="str">
        <x:v>Not collected</x:v>
      </x:c>
      <x:c r="B35" s="34" t="n">
        <x:f>'Evaluation Plan'!B35</x:f>
        <x:v>33</x:v>
      </x:c>
      <x:c r="C35" s="32" t="str">
        <x:f>'Evaluation Plan'!C35</x:f>
        <x:v>Place the upside-down glass spice container in the bowl.</x:v>
      </x:c>
      <x:c r="D35" s="32" t="str">
        <x:f>'Evaluation Plan'!D35</x:f>
        <x:v>glass spice container B (C, RU); glass spice container A (C, UD)</x:v>
      </x:c>
      <x:c r="E35" s="34" t="n">
        <x:f>'Evaluation Plan'!E35</x:f>
        <x:v>32</x:v>
      </x:c>
      <x:c r="F35" s="34" t="str">
        <x:f>'Evaluation Plan'!F35</x:f>
        <x:v>177</x:v>
      </x:c>
      <x:c r="G35" s="32" t="str">
        <x:f>'Evaluation Plan'!G35</x:f>
        <x:v>Training-supported state-object cell for the control. The evaluation scene is shared exactly with the paired transfer row, while the physical layout is manually recreated.</x:v>
      </x:c>
      <x:c r="H35" s="32" t="str">
        <x:f>'Evaluation Plan'!H35</x:f>
        <x:v>glass spice container A</x:v>
      </x:c>
      <x:c r="I35" s="32" t="str"/>
      <x:c r="J35" s="37" t="str">
        <x:f>'Evaluation Plan'!J35</x:f>
        <x:v>Matched manipulation control</x:v>
      </x:c>
      <x:c r="K35" s="34" t="str">
        <x:f>'Evaluation Plan'!K35</x:f>
        <x:v>SR-CT04</x:v>
      </x:c>
      <x:c r="L35" s="34" t="str">
        <x:f>'Evaluation Plan'!L35</x:f>
        <x:v>UD</x:v>
      </x:c>
      <x:c r="M35" s="34" t="str">
        <x:f>'Evaluation Plan'!M35</x:f>
        <x:v>glass spice container</x:v>
      </x:c>
      <x:c r="N35" s="34" t="n">
        <x:f>'Evaluation Plan'!N35</x:f>
        <x:v>2</x:v>
      </x:c>
      <x:c r="O35" s="34" t="n">
        <x:f>'Evaluation Plan'!O35</x:f>
        <x:v>1</x:v>
      </x:c>
      <x:c r="P35" s="34" t="str">
        <x:f>'Evaluation Plan'!P35</x:f>
        <x:v>Empty</x:v>
      </x:c>
      <x:c r="Q35" s="32" t="str">
        <x:f>'Evaluation Plan'!Q35</x:f>
        <x:v>Exact-scene trained state-object counterfactual</x:v>
      </x:c>
      <x:c r="R35" s="34" t="n">
        <x:f>'Evaluation Plan'!R35</x:f>
        <x:v>2</x:v>
      </x:c>
      <x:c r="S35" s="32" t="str">
        <x:f>'Evaluation Plan'!S35</x:f>
        <x:v>Reset the moved object exactly; preserve every object and state; change only the prompt and expected target.</x:v>
      </x:c>
      <x:c r="T35" s="32" t="str">
        <x:f>'Evaluation Plan'!T35</x:f>
        <x:v>The correct target switches to the other same-category instance. This cell is explicit in training and controls recognition/manipulation in the transfer scene.</x:v>
      </x:c>
      <x:c r="U35" s="32" t="n">
        <x:f>'Evaluation Plan'!U35</x:f>
        <x:v>0</x:v>
      </x:c>
    </x:row>
    <x:row r="36" ht="51" customHeight="1">
      <x:c r="A36" s="31" t="str">
        <x:v>Not collected</x:v>
      </x:c>
      <x:c r="B36" s="33" t="n">
        <x:f>'Evaluation Plan'!B36</x:f>
        <x:v>34</x:v>
      </x:c>
      <x:c r="C36" s="31" t="str">
        <x:f>'Evaluation Plan'!C36</x:f>
        <x:v>Move the right-side-up glass spice container into the bowl.</x:v>
      </x:c>
      <x:c r="D36" s="31" t="str">
        <x:f>'Evaluation Plan'!D36</x:f>
        <x:v>glass spice container B (C, RU); glass spice container A (C, UD)</x:v>
      </x:c>
      <x:c r="E36" s="33" t="n">
        <x:f>'Evaluation Plan'!E36</x:f>
        <x:v>32</x:v>
      </x:c>
      <x:c r="F36" s="33" t="str">
        <x:f>'Evaluation Plan'!F36</x:f>
        <x:v>169</x:v>
      </x:c>
      <x:c r="G36" s="31" t="str">
        <x:f>'Evaluation Plan'!G36</x:f>
        <x:v>The canonical transfer scene and masked trajectory reference are unchanged; only the evaluation wording is paraphrased. This remains a language diagnostic and is not pooled into the primary 50.</x:v>
      </x:c>
      <x:c r="H36" s="31" t="str">
        <x:f>'Evaluation Plan'!H36</x:f>
        <x:v>glass spice container B</x:v>
      </x:c>
      <x:c r="I36" s="31" t="str"/>
      <x:c r="J36" s="38" t="str">
        <x:f>'Evaluation Plan'!J36</x:f>
        <x:v>Language robustness</x:v>
      </x:c>
      <x:c r="K36" s="33" t="str">
        <x:f>'Evaluation Plan'!K36</x:f>
        <x:v>SR-CT04</x:v>
      </x:c>
      <x:c r="L36" s="33" t="str">
        <x:f>'Evaluation Plan'!L36</x:f>
        <x:v>RU</x:v>
      </x:c>
      <x:c r="M36" s="33" t="str">
        <x:f>'Evaluation Plan'!M36</x:f>
        <x:v>glass spice container</x:v>
      </x:c>
      <x:c r="N36" s="33" t="n">
        <x:f>'Evaluation Plan'!N36</x:f>
        <x:v>2</x:v>
      </x:c>
      <x:c r="O36" s="33" t="n">
        <x:f>'Evaluation Plan'!O36</x:f>
        <x:v>1</x:v>
      </x:c>
      <x:c r="P36" s="33" t="str">
        <x:f>'Evaluation Plan'!P36</x:f>
        <x:v>Empty</x:v>
      </x:c>
      <x:c r="Q36" s="31" t="str">
        <x:f>'Evaluation Plan'!Q36</x:f>
        <x:v>Primary compositional-transfer prompt paraphrase</x:v>
      </x:c>
      <x:c r="R36" s="33" t="n">
        <x:f>'Evaluation Plan'!R36</x:f>
        <x:v>2</x:v>
      </x:c>
      <x:c r="S36" s="31" t="str">
        <x:f>'Evaluation Plan'!S36</x:f>
        <x:v>Reset the moved object exactly; preserve every object and state; change only the prompt wording.</x:v>
      </x:c>
      <x:c r="T36" s="31" t="str">
        <x:f>'Evaluation Plan'!T36</x:f>
        <x:v>Exact-scene paraphrase of one of the 50 canonical compositional-transfer trials.</x:v>
      </x:c>
      <x:c r="U36" s="31" t="n">
        <x:f>'Evaluation Plan'!U36</x:f>
        <x:v>0</x:v>
      </x:c>
    </x:row>
    <x:row r="37" ht="51" customHeight="1">
      <x:c r="A37" s="32" t="str">
        <x:v>Not collected</x:v>
      </x:c>
      <x:c r="B37" s="34" t="n">
        <x:f>'Evaluation Plan'!B37</x:f>
        <x:v>35</x:v>
      </x:c>
      <x:c r="C37" s="32" t="str">
        <x:f>'Evaluation Plan'!C37</x:f>
        <x:v>Move the inverted glass spice container into the bowl.</x:v>
      </x:c>
      <x:c r="D37" s="32" t="str">
        <x:f>'Evaluation Plan'!D37</x:f>
        <x:v>glass spice container B (C, RU); glass spice container A (C, UD)</x:v>
      </x:c>
      <x:c r="E37" s="34" t="n">
        <x:f>'Evaluation Plan'!E37</x:f>
        <x:v>33</x:v>
      </x:c>
      <x:c r="F37" s="34" t="str">
        <x:f>'Evaluation Plan'!F37</x:f>
        <x:v>177</x:v>
      </x:c>
      <x:c r="G37" s="32" t="str">
        <x:f>'Evaluation Plan'!G37</x:f>
        <x:v>Canonical matched-control cell is training-supported; evaluation wording is paraphrased. No held-out composition is used.</x:v>
      </x:c>
      <x:c r="H37" s="32" t="str">
        <x:f>'Evaluation Plan'!H37</x:f>
        <x:v>glass spice container A</x:v>
      </x:c>
      <x:c r="I37" s="32" t="str"/>
      <x:c r="J37" s="38" t="str">
        <x:f>'Evaluation Plan'!J37</x:f>
        <x:v>Language robustness</x:v>
      </x:c>
      <x:c r="K37" s="34" t="str">
        <x:f>'Evaluation Plan'!K37</x:f>
        <x:v>SR-CT04</x:v>
      </x:c>
      <x:c r="L37" s="34" t="str">
        <x:f>'Evaluation Plan'!L37</x:f>
        <x:v>UD</x:v>
      </x:c>
      <x:c r="M37" s="34" t="str">
        <x:f>'Evaluation Plan'!M37</x:f>
        <x:v>glass spice container</x:v>
      </x:c>
      <x:c r="N37" s="34" t="n">
        <x:f>'Evaluation Plan'!N37</x:f>
        <x:v>2</x:v>
      </x:c>
      <x:c r="O37" s="34" t="n">
        <x:f>'Evaluation Plan'!O37</x:f>
        <x:v>1</x:v>
      </x:c>
      <x:c r="P37" s="34" t="str">
        <x:f>'Evaluation Plan'!P37</x:f>
        <x:v>Empty</x:v>
      </x:c>
      <x:c r="Q37" s="32" t="str">
        <x:f>'Evaluation Plan'!Q37</x:f>
        <x:v>Matched-control state prompt paraphrase</x:v>
      </x:c>
      <x:c r="R37" s="34" t="n">
        <x:f>'Evaluation Plan'!R37</x:f>
        <x:v>2</x:v>
      </x:c>
      <x:c r="S37" s="32" t="str">
        <x:f>'Evaluation Plan'!S37</x:f>
        <x:v>Reset the moved object exactly; preserve the scene; change only the prompt wording.</x:v>
      </x:c>
      <x:c r="T37" s="32" t="str">
        <x:f>'Evaluation Plan'!T37</x:f>
        <x:v>This is one of 10 language trials paired with a matched trained-state control.</x:v>
      </x:c>
      <x:c r="U37" s="32" t="n">
        <x:f>'Evaluation Plan'!U37</x:f>
        <x:v>0</x:v>
      </x:c>
    </x:row>
    <x:row r="38" ht="51" customHeight="1">
      <x:c r="A38" s="40" t="str">
        <x:v>Not collected</x:v>
      </x:c>
      <x:c r="B38" s="41" t="n">
        <x:f>'Evaluation Plan'!B38</x:f>
        <x:v>36</x:v>
      </x:c>
      <x:c r="C38" s="40" t="str">
        <x:f>'Evaluation Plan'!C38</x:f>
        <x:v>Place the upside-down white cup in the bowl.</x:v>
      </x:c>
      <x:c r="D38" s="40" t="str">
        <x:f>'Evaluation Plan'!D38</x:f>
        <x:v>white cup A (O, UD); white cup B (O, RU); brown cup A (C, RU)</x:v>
      </x:c>
      <x:c r="E38" s="41" t="str">
        <x:f>'Evaluation Plan'!E38</x:f>
      </x:c>
      <x:c r="F38" s="41" t="str">
        <x:f>'Evaluation Plan'!F38</x:f>
        <x:v>30</x:v>
      </x:c>
      <x:c r="G38" s="40" t="str">
        <x:f>'Evaluation Plan'!G38</x:f>
        <x:v>Physical-state and manipulation-trajectory reference under a direct category prompt; the evaluated state word × object-category cell is intentionally absent from training.</x:v>
      </x:c>
      <x:c r="H38" s="40" t="str">
        <x:f>'Evaluation Plan'!H38</x:f>
        <x:v>white cup A</x:v>
      </x:c>
      <x:c r="I38" s="40" t="str"/>
      <x:c r="J38" s="45" t="str">
        <x:f>'Evaluation Plan'!J38</x:f>
        <x:v>Concept/compositional transfer</x:v>
      </x:c>
      <x:c r="K38" s="41" t="str">
        <x:f>'Evaluation Plan'!K38</x:f>
        <x:v>SR-CT05</x:v>
      </x:c>
      <x:c r="L38" s="41" t="str">
        <x:f>'Evaluation Plan'!L38</x:f>
        <x:v>UD</x:v>
      </x:c>
      <x:c r="M38" s="41" t="str">
        <x:f>'Evaluation Plan'!M38</x:f>
        <x:v>white cup</x:v>
      </x:c>
      <x:c r="N38" s="41" t="n">
        <x:f>'Evaluation Plan'!N38</x:f>
        <x:v>3</x:v>
      </x:c>
      <x:c r="O38" s="41" t="n">
        <x:f>'Evaluation Plan'!O38</x:f>
        <x:v>1</x:v>
      </x:c>
      <x:c r="P38" s="41" t="str">
        <x:f>'Evaluation Plan'!P38</x:f>
        <x:v>Empty</x:v>
      </x:c>
      <x:c r="Q38" s="40" t="str">
        <x:f>'Evaluation Plan'!Q38</x:f>
        <x:v>Primary held-out state-object composition</x:v>
      </x:c>
      <x:c r="R38" s="41" t="n">
        <x:f>'Evaluation Plan'!R38</x:f>
        <x:v>2</x:v>
      </x:c>
      <x:c r="S38" s="40" t="str">
        <x:f>'Evaluation Plan'!S38</x:f>
        <x:v>Build the listed same-category discrimination scene with the bowl empty.</x:v>
      </x:c>
      <x:c r="T38" s="40" t="str">
        <x:f>'Evaluation Plan'!T38</x:f>
        <x:v>Two same-category candidates share the non-queried state axis; only the held-out state word identifies the target.</x:v>
      </x:c>
      <x:c r="U38" s="40" t="n">
        <x:f>'Evaluation Plan'!U38</x:f>
        <x:v>0</x:v>
      </x:c>
    </x:row>
    <x:row r="39" ht="51" customHeight="1">
      <x:c r="A39" s="32" t="str">
        <x:v>Not collected</x:v>
      </x:c>
      <x:c r="B39" s="34" t="n">
        <x:f>'Evaluation Plan'!B39</x:f>
        <x:v>37</x:v>
      </x:c>
      <x:c r="C39" s="32" t="str">
        <x:f>'Evaluation Plan'!C39</x:f>
        <x:v>Place the upright white cup in the bowl.</x:v>
      </x:c>
      <x:c r="D39" s="32" t="str">
        <x:f>'Evaluation Plan'!D39</x:f>
        <x:v>white cup A (O, UD); white cup B (O, RU); brown cup A (C, RU)</x:v>
      </x:c>
      <x:c r="E39" s="34" t="n">
        <x:f>'Evaluation Plan'!E39</x:f>
        <x:v>36</x:v>
      </x:c>
      <x:c r="F39" s="34" t="str">
        <x:f>'Evaluation Plan'!F39</x:f>
        <x:v>31</x:v>
      </x:c>
      <x:c r="G39" s="32" t="str">
        <x:f>'Evaluation Plan'!G39</x:f>
        <x:v>Training-supported state-object cell for the control. The evaluation scene is shared exactly with the paired transfer row, while the physical layout is manually recreated.</x:v>
      </x:c>
      <x:c r="H39" s="32" t="str">
        <x:f>'Evaluation Plan'!H39</x:f>
        <x:v>white cup B</x:v>
      </x:c>
      <x:c r="I39" s="32" t="str"/>
      <x:c r="J39" s="37" t="str">
        <x:f>'Evaluation Plan'!J39</x:f>
        <x:v>Matched manipulation control</x:v>
      </x:c>
      <x:c r="K39" s="34" t="str">
        <x:f>'Evaluation Plan'!K39</x:f>
        <x:v>SR-CT05</x:v>
      </x:c>
      <x:c r="L39" s="34" t="str">
        <x:f>'Evaluation Plan'!L39</x:f>
        <x:v>RU</x:v>
      </x:c>
      <x:c r="M39" s="34" t="str">
        <x:f>'Evaluation Plan'!M39</x:f>
        <x:v>white cup</x:v>
      </x:c>
      <x:c r="N39" s="34" t="n">
        <x:f>'Evaluation Plan'!N39</x:f>
        <x:v>3</x:v>
      </x:c>
      <x:c r="O39" s="34" t="n">
        <x:f>'Evaluation Plan'!O39</x:f>
        <x:v>1</x:v>
      </x:c>
      <x:c r="P39" s="34" t="str">
        <x:f>'Evaluation Plan'!P39</x:f>
        <x:v>Empty</x:v>
      </x:c>
      <x:c r="Q39" s="32" t="str">
        <x:f>'Evaluation Plan'!Q39</x:f>
        <x:v>Exact-scene trained state-object counterfactual</x:v>
      </x:c>
      <x:c r="R39" s="34" t="n">
        <x:f>'Evaluation Plan'!R39</x:f>
        <x:v>2</x:v>
      </x:c>
      <x:c r="S39" s="32" t="str">
        <x:f>'Evaluation Plan'!S39</x:f>
        <x:v>Reset the moved object exactly; preserve every object and state; change only the prompt and expected target.</x:v>
      </x:c>
      <x:c r="T39" s="32" t="str">
        <x:f>'Evaluation Plan'!T39</x:f>
        <x:v>The correct target switches to the other same-category instance. This cell is explicit in training and controls recognition/manipulation in the transfer scene.</x:v>
      </x:c>
      <x:c r="U39" s="32" t="n">
        <x:f>'Evaluation Plan'!U39</x:f>
        <x:v>0</x:v>
      </x:c>
    </x:row>
    <x:row r="40" ht="51" customHeight="1">
      <x:c r="A40" s="31" t="str">
        <x:v>Not collected</x:v>
      </x:c>
      <x:c r="B40" s="33" t="n">
        <x:f>'Evaluation Plan'!B40</x:f>
        <x:v>38</x:v>
      </x:c>
      <x:c r="C40" s="31" t="str">
        <x:f>'Evaluation Plan'!C40</x:f>
        <x:v>Move the inverted white cup into the bowl.</x:v>
      </x:c>
      <x:c r="D40" s="31" t="str">
        <x:f>'Evaluation Plan'!D40</x:f>
        <x:v>white cup A (O, UD); white cup B (O, RU); brown cup A (C, RU)</x:v>
      </x:c>
      <x:c r="E40" s="33" t="n">
        <x:f>'Evaluation Plan'!E40</x:f>
        <x:v>36</x:v>
      </x:c>
      <x:c r="F40" s="33" t="str">
        <x:f>'Evaluation Plan'!F40</x:f>
        <x:v>30</x:v>
      </x:c>
      <x:c r="G40" s="31" t="str">
        <x:f>'Evaluation Plan'!G40</x:f>
        <x:v>The canonical transfer scene and masked trajectory reference are unchanged; only the evaluation wording is paraphrased. This remains a language diagnostic and is not pooled into the primary 50.</x:v>
      </x:c>
      <x:c r="H40" s="31" t="str">
        <x:f>'Evaluation Plan'!H40</x:f>
        <x:v>white cup A</x:v>
      </x:c>
      <x:c r="I40" s="31" t="str"/>
      <x:c r="J40" s="38" t="str">
        <x:f>'Evaluation Plan'!J40</x:f>
        <x:v>Language robustness</x:v>
      </x:c>
      <x:c r="K40" s="33" t="str">
        <x:f>'Evaluation Plan'!K40</x:f>
        <x:v>SR-CT05</x:v>
      </x:c>
      <x:c r="L40" s="33" t="str">
        <x:f>'Evaluation Plan'!L40</x:f>
        <x:v>UD</x:v>
      </x:c>
      <x:c r="M40" s="33" t="str">
        <x:f>'Evaluation Plan'!M40</x:f>
        <x:v>white cup</x:v>
      </x:c>
      <x:c r="N40" s="33" t="n">
        <x:f>'Evaluation Plan'!N40</x:f>
        <x:v>3</x:v>
      </x:c>
      <x:c r="O40" s="33" t="n">
        <x:f>'Evaluation Plan'!O40</x:f>
        <x:v>1</x:v>
      </x:c>
      <x:c r="P40" s="33" t="str">
        <x:f>'Evaluation Plan'!P40</x:f>
        <x:v>Empty</x:v>
      </x:c>
      <x:c r="Q40" s="31" t="str">
        <x:f>'Evaluation Plan'!Q40</x:f>
        <x:v>Primary compositional-transfer prompt paraphrase</x:v>
      </x:c>
      <x:c r="R40" s="33" t="n">
        <x:f>'Evaluation Plan'!R40</x:f>
        <x:v>2</x:v>
      </x:c>
      <x:c r="S40" s="31" t="str">
        <x:f>'Evaluation Plan'!S40</x:f>
        <x:v>Reset the moved object exactly; preserve every object and state; change only the prompt wording.</x:v>
      </x:c>
      <x:c r="T40" s="31" t="str">
        <x:f>'Evaluation Plan'!T40</x:f>
        <x:v>Exact-scene paraphrase of one of the 50 canonical compositional-transfer trials.</x:v>
      </x:c>
      <x:c r="U40" s="31" t="n">
        <x:f>'Evaluation Plan'!U40</x:f>
        <x:v>0</x:v>
      </x:c>
    </x:row>
    <x:row r="41" ht="51" customHeight="1">
      <x:c r="A41" s="32" t="str">
        <x:v>Not collected</x:v>
      </x:c>
      <x:c r="B41" s="34" t="n">
        <x:f>'Evaluation Plan'!B41</x:f>
        <x:v>39</x:v>
      </x:c>
      <x:c r="C41" s="32" t="str">
        <x:f>'Evaluation Plan'!C41</x:f>
        <x:v>Move the right-side-up white cup into the bowl.</x:v>
      </x:c>
      <x:c r="D41" s="32" t="str">
        <x:f>'Evaluation Plan'!D41</x:f>
        <x:v>white cup A (O, UD); white cup B (O, RU); brown cup A (C, RU)</x:v>
      </x:c>
      <x:c r="E41" s="34" t="n">
        <x:f>'Evaluation Plan'!E41</x:f>
        <x:v>37</x:v>
      </x:c>
      <x:c r="F41" s="34" t="str">
        <x:f>'Evaluation Plan'!F41</x:f>
        <x:v>31</x:v>
      </x:c>
      <x:c r="G41" s="32" t="str">
        <x:f>'Evaluation Plan'!G41</x:f>
        <x:v>Canonical matched-control cell is training-supported; evaluation wording is paraphrased. No held-out composition is used.</x:v>
      </x:c>
      <x:c r="H41" s="32" t="str">
        <x:f>'Evaluation Plan'!H41</x:f>
        <x:v>white cup B</x:v>
      </x:c>
      <x:c r="I41" s="32" t="str"/>
      <x:c r="J41" s="38" t="str">
        <x:f>'Evaluation Plan'!J41</x:f>
        <x:v>Language robustness</x:v>
      </x:c>
      <x:c r="K41" s="34" t="str">
        <x:f>'Evaluation Plan'!K41</x:f>
        <x:v>SR-CT05</x:v>
      </x:c>
      <x:c r="L41" s="34" t="str">
        <x:f>'Evaluation Plan'!L41</x:f>
        <x:v>RU</x:v>
      </x:c>
      <x:c r="M41" s="34" t="str">
        <x:f>'Evaluation Plan'!M41</x:f>
        <x:v>white cup</x:v>
      </x:c>
      <x:c r="N41" s="34" t="n">
        <x:f>'Evaluation Plan'!N41</x:f>
        <x:v>3</x:v>
      </x:c>
      <x:c r="O41" s="34" t="n">
        <x:f>'Evaluation Plan'!O41</x:f>
        <x:v>1</x:v>
      </x:c>
      <x:c r="P41" s="34" t="str">
        <x:f>'Evaluation Plan'!P41</x:f>
        <x:v>Empty</x:v>
      </x:c>
      <x:c r="Q41" s="32" t="str">
        <x:f>'Evaluation Plan'!Q41</x:f>
        <x:v>Matched-control state prompt paraphrase</x:v>
      </x:c>
      <x:c r="R41" s="34" t="n">
        <x:f>'Evaluation Plan'!R41</x:f>
        <x:v>2</x:v>
      </x:c>
      <x:c r="S41" s="32" t="str">
        <x:f>'Evaluation Plan'!S41</x:f>
        <x:v>Reset the moved object exactly; preserve the scene; change only the prompt wording.</x:v>
      </x:c>
      <x:c r="T41" s="32" t="str">
        <x:f>'Evaluation Plan'!T41</x:f>
        <x:v>This is one of 10 language trials paired with a matched trained-state control.</x:v>
      </x:c>
      <x:c r="U41" s="32" t="n">
        <x:f>'Evaluation Plan'!U41</x:f>
        <x:v>0</x:v>
      </x:c>
    </x:row>
    <x:row r="42" ht="51" customHeight="1">
      <x:c r="A42" s="40" t="str">
        <x:v>Not collected</x:v>
      </x:c>
      <x:c r="B42" s="41" t="n">
        <x:f>'Evaluation Plan'!B42</x:f>
        <x:v>40</x:v>
      </x:c>
      <x:c r="C42" s="40" t="str">
        <x:f>'Evaluation Plan'!C42</x:f>
        <x:v>Place the open yellow-white striped cup in the bowl.</x:v>
      </x:c>
      <x:c r="D42" s="40" t="str">
        <x:f>'Evaluation Plan'!D42</x:f>
        <x:v>yellow-white striped cup B (O, UD); yellow-white striped cup A (C, UD); glass spice container B (O, RU); white cup A (C, UD)</x:v>
      </x:c>
      <x:c r="E42" s="41" t="str">
        <x:f>'Evaluation Plan'!E42</x:f>
      </x:c>
      <x:c r="F42" s="41" t="str">
        <x:f>'Evaluation Plan'!F42</x:f>
        <x:v>53</x:v>
      </x:c>
      <x:c r="G42" s="40" t="str">
        <x:f>'Evaluation Plan'!G42</x:f>
        <x:v>Physical-state and manipulation-trajectory reference under a direct category prompt; the evaluated state word × object-category cell is intentionally absent from training.</x:v>
      </x:c>
      <x:c r="H42" s="40" t="str">
        <x:f>'Evaluation Plan'!H42</x:f>
        <x:v>yellow-white striped cup B</x:v>
      </x:c>
      <x:c r="I42" s="40" t="str"/>
      <x:c r="J42" s="45" t="str">
        <x:f>'Evaluation Plan'!J42</x:f>
        <x:v>Concept/compositional transfer</x:v>
      </x:c>
      <x:c r="K42" s="41" t="str">
        <x:f>'Evaluation Plan'!K42</x:f>
        <x:v>SR-CT06</x:v>
      </x:c>
      <x:c r="L42" s="41" t="str">
        <x:f>'Evaluation Plan'!L42</x:f>
        <x:v>O</x:v>
      </x:c>
      <x:c r="M42" s="41" t="str">
        <x:f>'Evaluation Plan'!M42</x:f>
        <x:v>yellow-white striped cup</x:v>
      </x:c>
      <x:c r="N42" s="41" t="n">
        <x:f>'Evaluation Plan'!N42</x:f>
        <x:v>4</x:v>
      </x:c>
      <x:c r="O42" s="41" t="n">
        <x:f>'Evaluation Plan'!O42</x:f>
        <x:v>1</x:v>
      </x:c>
      <x:c r="P42" s="41" t="str">
        <x:f>'Evaluation Plan'!P42</x:f>
        <x:v>Empty</x:v>
      </x:c>
      <x:c r="Q42" s="40" t="str">
        <x:f>'Evaluation Plan'!Q42</x:f>
        <x:v>Primary held-out state-object composition</x:v>
      </x:c>
      <x:c r="R42" s="41" t="n">
        <x:f>'Evaluation Plan'!R42</x:f>
        <x:v>2</x:v>
      </x:c>
      <x:c r="S42" s="40" t="str">
        <x:f>'Evaluation Plan'!S42</x:f>
        <x:v>Build the listed same-category discrimination scene with the bowl empty.</x:v>
      </x:c>
      <x:c r="T42" s="40" t="str">
        <x:f>'Evaluation Plan'!T42</x:f>
        <x:v>Two same-category candidates share the non-queried state axis; only the held-out state word identifies the target.</x:v>
      </x:c>
      <x:c r="U42" s="40" t="n">
        <x:f>'Evaluation Plan'!U42</x:f>
        <x:v>0</x:v>
      </x:c>
    </x:row>
    <x:row r="43" ht="51" customHeight="1">
      <x:c r="A43" s="32" t="str">
        <x:v>Not collected</x:v>
      </x:c>
      <x:c r="B43" s="34" t="n">
        <x:f>'Evaluation Plan'!B43</x:f>
        <x:v>41</x:v>
      </x:c>
      <x:c r="C43" s="32" t="str">
        <x:f>'Evaluation Plan'!C43</x:f>
        <x:v>Place the closed yellow-white striped cup in the bowl.</x:v>
      </x:c>
      <x:c r="D43" s="32" t="str">
        <x:f>'Evaluation Plan'!D43</x:f>
        <x:v>yellow-white striped cup B (O, UD); yellow-white striped cup A (C, UD); glass spice container B (O, RU); white cup A (C, UD)</x:v>
      </x:c>
      <x:c r="E43" s="34" t="n">
        <x:f>'Evaluation Plan'!E43</x:f>
        <x:v>40</x:v>
      </x:c>
      <x:c r="F43" s="34" t="str">
        <x:f>'Evaluation Plan'!F43</x:f>
        <x:v>61</x:v>
      </x:c>
      <x:c r="G43" s="32" t="str">
        <x:f>'Evaluation Plan'!G43</x:f>
        <x:v>Training-supported state-object cell for the control. The evaluation scene is shared exactly with the paired transfer row, while the physical layout is manually recreated.</x:v>
      </x:c>
      <x:c r="H43" s="32" t="str">
        <x:f>'Evaluation Plan'!H43</x:f>
        <x:v>yellow-white striped cup A</x:v>
      </x:c>
      <x:c r="I43" s="32" t="str"/>
      <x:c r="J43" s="37" t="str">
        <x:f>'Evaluation Plan'!J43</x:f>
        <x:v>Matched manipulation control</x:v>
      </x:c>
      <x:c r="K43" s="34" t="str">
        <x:f>'Evaluation Plan'!K43</x:f>
        <x:v>SR-CT06</x:v>
      </x:c>
      <x:c r="L43" s="34" t="str">
        <x:f>'Evaluation Plan'!L43</x:f>
        <x:v>C</x:v>
      </x:c>
      <x:c r="M43" s="34" t="str">
        <x:f>'Evaluation Plan'!M43</x:f>
        <x:v>yellow-white striped cup</x:v>
      </x:c>
      <x:c r="N43" s="34" t="n">
        <x:f>'Evaluation Plan'!N43</x:f>
        <x:v>4</x:v>
      </x:c>
      <x:c r="O43" s="34" t="n">
        <x:f>'Evaluation Plan'!O43</x:f>
        <x:v>1</x:v>
      </x:c>
      <x:c r="P43" s="34" t="str">
        <x:f>'Evaluation Plan'!P43</x:f>
        <x:v>Empty</x:v>
      </x:c>
      <x:c r="Q43" s="32" t="str">
        <x:f>'Evaluation Plan'!Q43</x:f>
        <x:v>Exact-scene trained state-object counterfactual</x:v>
      </x:c>
      <x:c r="R43" s="34" t="n">
        <x:f>'Evaluation Plan'!R43</x:f>
        <x:v>2</x:v>
      </x:c>
      <x:c r="S43" s="32" t="str">
        <x:f>'Evaluation Plan'!S43</x:f>
        <x:v>Reset the moved object exactly; preserve every object and state; change only the prompt and expected target.</x:v>
      </x:c>
      <x:c r="T43" s="32" t="str">
        <x:f>'Evaluation Plan'!T43</x:f>
        <x:v>The correct target switches to the other same-category instance. This cell is explicit in training and controls recognition/manipulation in the transfer scene.</x:v>
      </x:c>
      <x:c r="U43" s="32" t="n">
        <x:f>'Evaluation Plan'!U43</x:f>
        <x:v>0</x:v>
      </x:c>
    </x:row>
    <x:row r="44" ht="51" customHeight="1">
      <x:c r="A44" s="31" t="str">
        <x:v>Not collected</x:v>
      </x:c>
      <x:c r="B44" s="33" t="n">
        <x:f>'Evaluation Plan'!B44</x:f>
        <x:v>42</x:v>
      </x:c>
      <x:c r="C44" s="31" t="str">
        <x:f>'Evaluation Plan'!C44</x:f>
        <x:v>Move the yellow-white striped cup whose opening is uncovered into the bowl.</x:v>
      </x:c>
      <x:c r="D44" s="31" t="str">
        <x:f>'Evaluation Plan'!D44</x:f>
        <x:v>yellow-white striped cup B (O, UD); yellow-white striped cup A (C, UD); glass spice container B (O, RU); white cup A (C, UD)</x:v>
      </x:c>
      <x:c r="E44" s="33" t="n">
        <x:f>'Evaluation Plan'!E44</x:f>
        <x:v>40</x:v>
      </x:c>
      <x:c r="F44" s="33" t="str">
        <x:f>'Evaluation Plan'!F44</x:f>
        <x:v>53</x:v>
      </x:c>
      <x:c r="G44" s="31" t="str">
        <x:f>'Evaluation Plan'!G44</x:f>
        <x:v>The canonical transfer scene and masked trajectory reference are unchanged; only the evaluation wording is paraphrased. This remains a language diagnostic and is not pooled into the primary 50.</x:v>
      </x:c>
      <x:c r="H44" s="31" t="str">
        <x:f>'Evaluation Plan'!H44</x:f>
        <x:v>yellow-white striped cup B</x:v>
      </x:c>
      <x:c r="I44" s="31" t="str"/>
      <x:c r="J44" s="38" t="str">
        <x:f>'Evaluation Plan'!J44</x:f>
        <x:v>Language robustness</x:v>
      </x:c>
      <x:c r="K44" s="33" t="str">
        <x:f>'Evaluation Plan'!K44</x:f>
        <x:v>SR-CT06</x:v>
      </x:c>
      <x:c r="L44" s="33" t="str">
        <x:f>'Evaluation Plan'!L44</x:f>
        <x:v>O</x:v>
      </x:c>
      <x:c r="M44" s="33" t="str">
        <x:f>'Evaluation Plan'!M44</x:f>
        <x:v>yellow-white striped cup</x:v>
      </x:c>
      <x:c r="N44" s="33" t="n">
        <x:f>'Evaluation Plan'!N44</x:f>
        <x:v>4</x:v>
      </x:c>
      <x:c r="O44" s="33" t="n">
        <x:f>'Evaluation Plan'!O44</x:f>
        <x:v>1</x:v>
      </x:c>
      <x:c r="P44" s="33" t="str">
        <x:f>'Evaluation Plan'!P44</x:f>
        <x:v>Empty</x:v>
      </x:c>
      <x:c r="Q44" s="31" t="str">
        <x:f>'Evaluation Plan'!Q44</x:f>
        <x:v>Primary compositional-transfer prompt paraphrase</x:v>
      </x:c>
      <x:c r="R44" s="33" t="n">
        <x:f>'Evaluation Plan'!R44</x:f>
        <x:v>2</x:v>
      </x:c>
      <x:c r="S44" s="31" t="str">
        <x:f>'Evaluation Plan'!S44</x:f>
        <x:v>Reset the moved object exactly; preserve every object and state; change only the prompt wording.</x:v>
      </x:c>
      <x:c r="T44" s="31" t="str">
        <x:f>'Evaluation Plan'!T44</x:f>
        <x:v>Exact-scene paraphrase of one of the 50 canonical compositional-transfer trials.</x:v>
      </x:c>
      <x:c r="U44" s="31" t="n">
        <x:f>'Evaluation Plan'!U44</x:f>
        <x:v>0</x:v>
      </x:c>
    </x:row>
    <x:row r="45" ht="51" customHeight="1">
      <x:c r="A45" s="32" t="str">
        <x:v>Not collected</x:v>
      </x:c>
      <x:c r="B45" s="34" t="n">
        <x:f>'Evaluation Plan'!B45</x:f>
        <x:v>43</x:v>
      </x:c>
      <x:c r="C45" s="32" t="str">
        <x:f>'Evaluation Plan'!C45</x:f>
        <x:v>Move the yellow-white striped cup whose opening is covered into the bowl.</x:v>
      </x:c>
      <x:c r="D45" s="32" t="str">
        <x:f>'Evaluation Plan'!D45</x:f>
        <x:v>yellow-white striped cup B (O, UD); yellow-white striped cup A (C, UD); glass spice container B (O, RU); white cup A (C, UD)</x:v>
      </x:c>
      <x:c r="E45" s="34" t="n">
        <x:f>'Evaluation Plan'!E45</x:f>
        <x:v>41</x:v>
      </x:c>
      <x:c r="F45" s="34" t="str">
        <x:f>'Evaluation Plan'!F45</x:f>
        <x:v>61</x:v>
      </x:c>
      <x:c r="G45" s="32" t="str">
        <x:f>'Evaluation Plan'!G45</x:f>
        <x:v>Canonical matched-control cell is training-supported; evaluation wording is paraphrased. No held-out composition is used.</x:v>
      </x:c>
      <x:c r="H45" s="32" t="str">
        <x:f>'Evaluation Plan'!H45</x:f>
        <x:v>yellow-white striped cup A</x:v>
      </x:c>
      <x:c r="I45" s="32" t="str"/>
      <x:c r="J45" s="38" t="str">
        <x:f>'Evaluation Plan'!J45</x:f>
        <x:v>Language robustness</x:v>
      </x:c>
      <x:c r="K45" s="34" t="str">
        <x:f>'Evaluation Plan'!K45</x:f>
        <x:v>SR-CT06</x:v>
      </x:c>
      <x:c r="L45" s="34" t="str">
        <x:f>'Evaluation Plan'!L45</x:f>
        <x:v>C</x:v>
      </x:c>
      <x:c r="M45" s="34" t="str">
        <x:f>'Evaluation Plan'!M45</x:f>
        <x:v>yellow-white striped cup</x:v>
      </x:c>
      <x:c r="N45" s="34" t="n">
        <x:f>'Evaluation Plan'!N45</x:f>
        <x:v>4</x:v>
      </x:c>
      <x:c r="O45" s="34" t="n">
        <x:f>'Evaluation Plan'!O45</x:f>
        <x:v>1</x:v>
      </x:c>
      <x:c r="P45" s="34" t="str">
        <x:f>'Evaluation Plan'!P45</x:f>
        <x:v>Empty</x:v>
      </x:c>
      <x:c r="Q45" s="32" t="str">
        <x:f>'Evaluation Plan'!Q45</x:f>
        <x:v>Matched-control state prompt paraphrase</x:v>
      </x:c>
      <x:c r="R45" s="34" t="n">
        <x:f>'Evaluation Plan'!R45</x:f>
        <x:v>2</x:v>
      </x:c>
      <x:c r="S45" s="32" t="str">
        <x:f>'Evaluation Plan'!S45</x:f>
        <x:v>Reset the moved object exactly; preserve the scene; change only the prompt wording.</x:v>
      </x:c>
      <x:c r="T45" s="32" t="str">
        <x:f>'Evaluation Plan'!T45</x:f>
        <x:v>This is one of 10 language trials paired with a matched trained-state control.</x:v>
      </x:c>
      <x:c r="U45" s="32" t="n">
        <x:f>'Evaluation Plan'!U45</x:f>
        <x:v>0</x:v>
      </x:c>
    </x:row>
    <x:row r="46" ht="51" customHeight="1">
      <x:c r="A46" s="40" t="str">
        <x:v>Not collected</x:v>
      </x:c>
      <x:c r="B46" s="41" t="n">
        <x:f>'Evaluation Plan'!B46</x:f>
        <x:v>44</x:v>
      </x:c>
      <x:c r="C46" s="40" t="str">
        <x:f>'Evaluation Plan'!C46</x:f>
        <x:v>Place the closed brown cup in the bowl.</x:v>
      </x:c>
      <x:c r="D46" s="40" t="str">
        <x:f>'Evaluation Plan'!D46</x:f>
        <x:v>brown cup A (C, UD); brown cup B (O, UD)</x:v>
      </x:c>
      <x:c r="E46" s="41" t="str">
        <x:f>'Evaluation Plan'!E46</x:f>
      </x:c>
      <x:c r="F46" s="41" t="str">
        <x:f>'Evaluation Plan'!F46</x:f>
        <x:v>107</x:v>
      </x:c>
      <x:c r="G46" s="40" t="str">
        <x:f>'Evaluation Plan'!G46</x:f>
        <x:v>Physical-state and manipulation-trajectory reference under a direct category prompt; the evaluated state word × object-category cell is intentionally absent from training.</x:v>
      </x:c>
      <x:c r="H46" s="40" t="str">
        <x:f>'Evaluation Plan'!H46</x:f>
        <x:v>brown cup A</x:v>
      </x:c>
      <x:c r="I46" s="40" t="str"/>
      <x:c r="J46" s="45" t="str">
        <x:f>'Evaluation Plan'!J46</x:f>
        <x:v>Concept/compositional transfer</x:v>
      </x:c>
      <x:c r="K46" s="41" t="str">
        <x:f>'Evaluation Plan'!K46</x:f>
        <x:v>SR-CT07</x:v>
      </x:c>
      <x:c r="L46" s="41" t="str">
        <x:f>'Evaluation Plan'!L46</x:f>
        <x:v>C</x:v>
      </x:c>
      <x:c r="M46" s="41" t="str">
        <x:f>'Evaluation Plan'!M46</x:f>
        <x:v>brown cup</x:v>
      </x:c>
      <x:c r="N46" s="41" t="n">
        <x:f>'Evaluation Plan'!N46</x:f>
        <x:v>2</x:v>
      </x:c>
      <x:c r="O46" s="41" t="n">
        <x:f>'Evaluation Plan'!O46</x:f>
        <x:v>1</x:v>
      </x:c>
      <x:c r="P46" s="41" t="str">
        <x:f>'Evaluation Plan'!P46</x:f>
        <x:v>Empty</x:v>
      </x:c>
      <x:c r="Q46" s="40" t="str">
        <x:f>'Evaluation Plan'!Q46</x:f>
        <x:v>Primary held-out state-object composition</x:v>
      </x:c>
      <x:c r="R46" s="41" t="n">
        <x:f>'Evaluation Plan'!R46</x:f>
        <x:v>2</x:v>
      </x:c>
      <x:c r="S46" s="40" t="str">
        <x:f>'Evaluation Plan'!S46</x:f>
        <x:v>Build the listed same-category discrimination scene with the bowl empty.</x:v>
      </x:c>
      <x:c r="T46" s="40" t="str">
        <x:f>'Evaluation Plan'!T46</x:f>
        <x:v>Two same-category candidates share the non-queried state axis; only the held-out state word identifies the target.</x:v>
      </x:c>
      <x:c r="U46" s="40" t="n">
        <x:f>'Evaluation Plan'!U46</x:f>
        <x:v>0</x:v>
      </x:c>
    </x:row>
    <x:row r="47" ht="51" customHeight="1">
      <x:c r="A47" s="32" t="str">
        <x:v>Not collected</x:v>
      </x:c>
      <x:c r="B47" s="34" t="n">
        <x:f>'Evaluation Plan'!B47</x:f>
        <x:v>45</x:v>
      </x:c>
      <x:c r="C47" s="32" t="str">
        <x:f>'Evaluation Plan'!C47</x:f>
        <x:v>Place the open brown cup in the bowl.</x:v>
      </x:c>
      <x:c r="D47" s="32" t="str">
        <x:f>'Evaluation Plan'!D47</x:f>
        <x:v>brown cup A (C, UD); brown cup B (O, UD)</x:v>
      </x:c>
      <x:c r="E47" s="34" t="n">
        <x:f>'Evaluation Plan'!E47</x:f>
        <x:v>44</x:v>
      </x:c>
      <x:c r="F47" s="34" t="str">
        <x:f>'Evaluation Plan'!F47</x:f>
        <x:v>106</x:v>
      </x:c>
      <x:c r="G47" s="32" t="str">
        <x:f>'Evaluation Plan'!G47</x:f>
        <x:v>Training-supported state-object cell for the control. The evaluation scene is shared exactly with the paired transfer row, while the physical layout is manually recreated.</x:v>
      </x:c>
      <x:c r="H47" s="32" t="str">
        <x:f>'Evaluation Plan'!H47</x:f>
        <x:v>brown cup B</x:v>
      </x:c>
      <x:c r="I47" s="32" t="str"/>
      <x:c r="J47" s="37" t="str">
        <x:f>'Evaluation Plan'!J47</x:f>
        <x:v>Matched manipulation control</x:v>
      </x:c>
      <x:c r="K47" s="34" t="str">
        <x:f>'Evaluation Plan'!K47</x:f>
        <x:v>SR-CT07</x:v>
      </x:c>
      <x:c r="L47" s="34" t="str">
        <x:f>'Evaluation Plan'!L47</x:f>
        <x:v>O</x:v>
      </x:c>
      <x:c r="M47" s="34" t="str">
        <x:f>'Evaluation Plan'!M47</x:f>
        <x:v>brown cup</x:v>
      </x:c>
      <x:c r="N47" s="34" t="n">
        <x:f>'Evaluation Plan'!N47</x:f>
        <x:v>2</x:v>
      </x:c>
      <x:c r="O47" s="34" t="n">
        <x:f>'Evaluation Plan'!O47</x:f>
        <x:v>1</x:v>
      </x:c>
      <x:c r="P47" s="34" t="str">
        <x:f>'Evaluation Plan'!P47</x:f>
        <x:v>Empty</x:v>
      </x:c>
      <x:c r="Q47" s="32" t="str">
        <x:f>'Evaluation Plan'!Q47</x:f>
        <x:v>Exact-scene trained state-object counterfactual</x:v>
      </x:c>
      <x:c r="R47" s="34" t="n">
        <x:f>'Evaluation Plan'!R47</x:f>
        <x:v>2</x:v>
      </x:c>
      <x:c r="S47" s="32" t="str">
        <x:f>'Evaluation Plan'!S47</x:f>
        <x:v>Reset the moved object exactly; preserve every object and state; change only the prompt and expected target.</x:v>
      </x:c>
      <x:c r="T47" s="32" t="str">
        <x:f>'Evaluation Plan'!T47</x:f>
        <x:v>The correct target switches to the other same-category instance. This cell is explicit in training and controls recognition/manipulation in the transfer scene.</x:v>
      </x:c>
      <x:c r="U47" s="32" t="n">
        <x:f>'Evaluation Plan'!U47</x:f>
        <x:v>0</x:v>
      </x:c>
    </x:row>
    <x:row r="48" ht="51" customHeight="1">
      <x:c r="A48" s="31" t="str">
        <x:v>Not collected</x:v>
      </x:c>
      <x:c r="B48" s="33" t="n">
        <x:f>'Evaluation Plan'!B48</x:f>
        <x:v>46</x:v>
      </x:c>
      <x:c r="C48" s="31" t="str">
        <x:f>'Evaluation Plan'!C48</x:f>
        <x:v>Move the brown cup whose opening is covered into the bowl.</x:v>
      </x:c>
      <x:c r="D48" s="31" t="str">
        <x:f>'Evaluation Plan'!D48</x:f>
        <x:v>brown cup A (C, UD); brown cup B (O, UD)</x:v>
      </x:c>
      <x:c r="E48" s="33" t="n">
        <x:f>'Evaluation Plan'!E48</x:f>
        <x:v>44</x:v>
      </x:c>
      <x:c r="F48" s="33" t="str">
        <x:f>'Evaluation Plan'!F48</x:f>
        <x:v>107</x:v>
      </x:c>
      <x:c r="G48" s="31" t="str">
        <x:f>'Evaluation Plan'!G48</x:f>
        <x:v>The canonical transfer scene and masked trajectory reference are unchanged; only the evaluation wording is paraphrased. This remains a language diagnostic and is not pooled into the primary 50.</x:v>
      </x:c>
      <x:c r="H48" s="31" t="str">
        <x:f>'Evaluation Plan'!H48</x:f>
        <x:v>brown cup A</x:v>
      </x:c>
      <x:c r="I48" s="31" t="str"/>
      <x:c r="J48" s="38" t="str">
        <x:f>'Evaluation Plan'!J48</x:f>
        <x:v>Language robustness</x:v>
      </x:c>
      <x:c r="K48" s="33" t="str">
        <x:f>'Evaluation Plan'!K48</x:f>
        <x:v>SR-CT07</x:v>
      </x:c>
      <x:c r="L48" s="33" t="str">
        <x:f>'Evaluation Plan'!L48</x:f>
        <x:v>C</x:v>
      </x:c>
      <x:c r="M48" s="33" t="str">
        <x:f>'Evaluation Plan'!M48</x:f>
        <x:v>brown cup</x:v>
      </x:c>
      <x:c r="N48" s="33" t="n">
        <x:f>'Evaluation Plan'!N48</x:f>
        <x:v>2</x:v>
      </x:c>
      <x:c r="O48" s="33" t="n">
        <x:f>'Evaluation Plan'!O48</x:f>
        <x:v>1</x:v>
      </x:c>
      <x:c r="P48" s="33" t="str">
        <x:f>'Evaluation Plan'!P48</x:f>
        <x:v>Empty</x:v>
      </x:c>
      <x:c r="Q48" s="31" t="str">
        <x:f>'Evaluation Plan'!Q48</x:f>
        <x:v>Primary compositional-transfer prompt paraphrase</x:v>
      </x:c>
      <x:c r="R48" s="33" t="n">
        <x:f>'Evaluation Plan'!R48</x:f>
        <x:v>2</x:v>
      </x:c>
      <x:c r="S48" s="31" t="str">
        <x:f>'Evaluation Plan'!S48</x:f>
        <x:v>Reset the moved object exactly; preserve every object and state; change only the prompt wording.</x:v>
      </x:c>
      <x:c r="T48" s="31" t="str">
        <x:f>'Evaluation Plan'!T48</x:f>
        <x:v>Exact-scene paraphrase of one of the 50 canonical compositional-transfer trials.</x:v>
      </x:c>
      <x:c r="U48" s="31" t="n">
        <x:f>'Evaluation Plan'!U48</x:f>
        <x:v>0</x:v>
      </x:c>
    </x:row>
    <x:row r="49" ht="51" customHeight="1">
      <x:c r="A49" s="32" t="str">
        <x:v>Not collected</x:v>
      </x:c>
      <x:c r="B49" s="34" t="n">
        <x:f>'Evaluation Plan'!B49</x:f>
        <x:v>47</x:v>
      </x:c>
      <x:c r="C49" s="32" t="str">
        <x:f>'Evaluation Plan'!C49</x:f>
        <x:v>Move the brown cup whose opening is uncovered into the bowl.</x:v>
      </x:c>
      <x:c r="D49" s="32" t="str">
        <x:f>'Evaluation Plan'!D49</x:f>
        <x:v>brown cup A (C, UD); brown cup B (O, UD)</x:v>
      </x:c>
      <x:c r="E49" s="34" t="n">
        <x:f>'Evaluation Plan'!E49</x:f>
        <x:v>45</x:v>
      </x:c>
      <x:c r="F49" s="34" t="str">
        <x:f>'Evaluation Plan'!F49</x:f>
        <x:v>106</x:v>
      </x:c>
      <x:c r="G49" s="32" t="str">
        <x:f>'Evaluation Plan'!G49</x:f>
        <x:v>Canonical matched-control cell is training-supported; evaluation wording is paraphrased. No held-out composition is used.</x:v>
      </x:c>
      <x:c r="H49" s="32" t="str">
        <x:f>'Evaluation Plan'!H49</x:f>
        <x:v>brown cup B</x:v>
      </x:c>
      <x:c r="I49" s="32" t="str"/>
      <x:c r="J49" s="38" t="str">
        <x:f>'Evaluation Plan'!J49</x:f>
        <x:v>Language robustness</x:v>
      </x:c>
      <x:c r="K49" s="34" t="str">
        <x:f>'Evaluation Plan'!K49</x:f>
        <x:v>SR-CT07</x:v>
      </x:c>
      <x:c r="L49" s="34" t="str">
        <x:f>'Evaluation Plan'!L49</x:f>
        <x:v>O</x:v>
      </x:c>
      <x:c r="M49" s="34" t="str">
        <x:f>'Evaluation Plan'!M49</x:f>
        <x:v>brown cup</x:v>
      </x:c>
      <x:c r="N49" s="34" t="n">
        <x:f>'Evaluation Plan'!N49</x:f>
        <x:v>2</x:v>
      </x:c>
      <x:c r="O49" s="34" t="n">
        <x:f>'Evaluation Plan'!O49</x:f>
        <x:v>1</x:v>
      </x:c>
      <x:c r="P49" s="34" t="str">
        <x:f>'Evaluation Plan'!P49</x:f>
        <x:v>Empty</x:v>
      </x:c>
      <x:c r="Q49" s="32" t="str">
        <x:f>'Evaluation Plan'!Q49</x:f>
        <x:v>Matched-control state prompt paraphrase</x:v>
      </x:c>
      <x:c r="R49" s="34" t="n">
        <x:f>'Evaluation Plan'!R49</x:f>
        <x:v>2</x:v>
      </x:c>
      <x:c r="S49" s="32" t="str">
        <x:f>'Evaluation Plan'!S49</x:f>
        <x:v>Reset the moved object exactly; preserve the scene; change only the prompt wording.</x:v>
      </x:c>
      <x:c r="T49" s="32" t="str">
        <x:f>'Evaluation Plan'!T49</x:f>
        <x:v>This is one of 10 language trials paired with a matched trained-state control.</x:v>
      </x:c>
      <x:c r="U49" s="32" t="n">
        <x:f>'Evaluation Plan'!U49</x:f>
        <x:v>0</x:v>
      </x:c>
    </x:row>
    <x:row r="50" ht="51" customHeight="1">
      <x:c r="A50" s="40" t="str">
        <x:v>Not collected</x:v>
      </x:c>
      <x:c r="B50" s="41" t="n">
        <x:f>'Evaluation Plan'!B50</x:f>
        <x:v>48</x:v>
      </x:c>
      <x:c r="C50" s="40" t="str">
        <x:f>'Evaluation Plan'!C50</x:f>
        <x:v>Place the upright glass spice container in the bowl.</x:v>
      </x:c>
      <x:c r="D50" s="40" t="str">
        <x:f>'Evaluation Plan'!D50</x:f>
        <x:v>glass spice container B (O, RU); glass spice container A (O, UD); yellow-white striped cup B (O, UD)</x:v>
      </x:c>
      <x:c r="E50" s="41" t="str">
        <x:f>'Evaluation Plan'!E50</x:f>
      </x:c>
      <x:c r="F50" s="41" t="str">
        <x:f>'Evaluation Plan'!F50</x:f>
        <x:v>153</x:v>
      </x:c>
      <x:c r="G50" s="40" t="str">
        <x:f>'Evaluation Plan'!G50</x:f>
        <x:v>Physical-state and manipulation-trajectory reference under a direct category prompt; the evaluated state word × object-category cell is intentionally absent from training.</x:v>
      </x:c>
      <x:c r="H50" s="40" t="str">
        <x:f>'Evaluation Plan'!H50</x:f>
        <x:v>glass spice container B</x:v>
      </x:c>
      <x:c r="I50" s="40" t="str"/>
      <x:c r="J50" s="45" t="str">
        <x:f>'Evaluation Plan'!J50</x:f>
        <x:v>Concept/compositional transfer</x:v>
      </x:c>
      <x:c r="K50" s="41" t="str">
        <x:f>'Evaluation Plan'!K50</x:f>
        <x:v>SR-CT08</x:v>
      </x:c>
      <x:c r="L50" s="41" t="str">
        <x:f>'Evaluation Plan'!L50</x:f>
        <x:v>RU</x:v>
      </x:c>
      <x:c r="M50" s="41" t="str">
        <x:f>'Evaluation Plan'!M50</x:f>
        <x:v>glass spice container</x:v>
      </x:c>
      <x:c r="N50" s="41" t="n">
        <x:f>'Evaluation Plan'!N50</x:f>
        <x:v>3</x:v>
      </x:c>
      <x:c r="O50" s="41" t="n">
        <x:f>'Evaluation Plan'!O50</x:f>
        <x:v>1</x:v>
      </x:c>
      <x:c r="P50" s="41" t="str">
        <x:f>'Evaluation Plan'!P50</x:f>
        <x:v>Empty</x:v>
      </x:c>
      <x:c r="Q50" s="40" t="str">
        <x:f>'Evaluation Plan'!Q50</x:f>
        <x:v>Primary held-out state-object composition</x:v>
      </x:c>
      <x:c r="R50" s="41" t="n">
        <x:f>'Evaluation Plan'!R50</x:f>
        <x:v>2</x:v>
      </x:c>
      <x:c r="S50" s="40" t="str">
        <x:f>'Evaluation Plan'!S50</x:f>
        <x:v>Build the listed same-category discrimination scene with the bowl empty.</x:v>
      </x:c>
      <x:c r="T50" s="40" t="str">
        <x:f>'Evaluation Plan'!T50</x:f>
        <x:v>Two same-category candidates share the non-queried state axis; only the held-out state word identifies the target.</x:v>
      </x:c>
      <x:c r="U50" s="40" t="n">
        <x:f>'Evaluation Plan'!U50</x:f>
        <x:v>0</x:v>
      </x:c>
    </x:row>
    <x:row r="51" ht="51" customHeight="1">
      <x:c r="A51" s="32" t="str">
        <x:v>Not collected</x:v>
      </x:c>
      <x:c r="B51" s="34" t="n">
        <x:f>'Evaluation Plan'!B51</x:f>
        <x:v>49</x:v>
      </x:c>
      <x:c r="C51" s="32" t="str">
        <x:f>'Evaluation Plan'!C51</x:f>
        <x:v>Place the upside-down glass spice container in the bowl.</x:v>
      </x:c>
      <x:c r="D51" s="32" t="str">
        <x:f>'Evaluation Plan'!D51</x:f>
        <x:v>glass spice container B (O, RU); glass spice container A (O, UD); yellow-white striped cup B (O, UD)</x:v>
      </x:c>
      <x:c r="E51" s="34" t="n">
        <x:f>'Evaluation Plan'!E51</x:f>
        <x:v>48</x:v>
      </x:c>
      <x:c r="F51" s="34" t="str">
        <x:f>'Evaluation Plan'!F51</x:f>
        <x:v>181</x:v>
      </x:c>
      <x:c r="G51" s="32" t="str">
        <x:f>'Evaluation Plan'!G51</x:f>
        <x:v>Training-supported state-object cell for the control. The evaluation scene is shared exactly with the paired transfer row, while the physical layout is manually recreated.</x:v>
      </x:c>
      <x:c r="H51" s="32" t="str">
        <x:f>'Evaluation Plan'!H51</x:f>
        <x:v>glass spice container A</x:v>
      </x:c>
      <x:c r="I51" s="32" t="str"/>
      <x:c r="J51" s="37" t="str">
        <x:f>'Evaluation Plan'!J51</x:f>
        <x:v>Matched manipulation control</x:v>
      </x:c>
      <x:c r="K51" s="34" t="str">
        <x:f>'Evaluation Plan'!K51</x:f>
        <x:v>SR-CT08</x:v>
      </x:c>
      <x:c r="L51" s="34" t="str">
        <x:f>'Evaluation Plan'!L51</x:f>
        <x:v>UD</x:v>
      </x:c>
      <x:c r="M51" s="34" t="str">
        <x:f>'Evaluation Plan'!M51</x:f>
        <x:v>glass spice container</x:v>
      </x:c>
      <x:c r="N51" s="34" t="n">
        <x:f>'Evaluation Plan'!N51</x:f>
        <x:v>3</x:v>
      </x:c>
      <x:c r="O51" s="34" t="n">
        <x:f>'Evaluation Plan'!O51</x:f>
        <x:v>1</x:v>
      </x:c>
      <x:c r="P51" s="34" t="str">
        <x:f>'Evaluation Plan'!P51</x:f>
        <x:v>Empty</x:v>
      </x:c>
      <x:c r="Q51" s="32" t="str">
        <x:f>'Evaluation Plan'!Q51</x:f>
        <x:v>Exact-scene trained state-object counterfactual</x:v>
      </x:c>
      <x:c r="R51" s="34" t="n">
        <x:f>'Evaluation Plan'!R51</x:f>
        <x:v>2</x:v>
      </x:c>
      <x:c r="S51" s="32" t="str">
        <x:f>'Evaluation Plan'!S51</x:f>
        <x:v>Reset the moved object exactly; preserve every object and state; change only the prompt and expected target.</x:v>
      </x:c>
      <x:c r="T51" s="32" t="str">
        <x:f>'Evaluation Plan'!T51</x:f>
        <x:v>The correct target switches to the other same-category instance. This cell is explicit in training and controls recognition/manipulation in the transfer scene.</x:v>
      </x:c>
      <x:c r="U51" s="32" t="n">
        <x:f>'Evaluation Plan'!U51</x:f>
        <x:v>0</x:v>
      </x:c>
    </x:row>
    <x:row r="52" ht="51" customHeight="1">
      <x:c r="A52" s="31" t="str">
        <x:v>Not collected</x:v>
      </x:c>
      <x:c r="B52" s="33" t="n">
        <x:f>'Evaluation Plan'!B52</x:f>
        <x:v>50</x:v>
      </x:c>
      <x:c r="C52" s="31" t="str">
        <x:f>'Evaluation Plan'!C52</x:f>
        <x:v>Move the right-side-up glass spice container into the bowl.</x:v>
      </x:c>
      <x:c r="D52" s="31" t="str">
        <x:f>'Evaluation Plan'!D52</x:f>
        <x:v>glass spice container B (O, RU); glass spice container A (O, UD); yellow-white striped cup B (O, UD)</x:v>
      </x:c>
      <x:c r="E52" s="33" t="n">
        <x:f>'Evaluation Plan'!E52</x:f>
        <x:v>48</x:v>
      </x:c>
      <x:c r="F52" s="33" t="str">
        <x:f>'Evaluation Plan'!F52</x:f>
        <x:v>153</x:v>
      </x:c>
      <x:c r="G52" s="31" t="str">
        <x:f>'Evaluation Plan'!G52</x:f>
        <x:v>The canonical transfer scene and masked trajectory reference are unchanged; only the evaluation wording is paraphrased. This remains a language diagnostic and is not pooled into the primary 50.</x:v>
      </x:c>
      <x:c r="H52" s="31" t="str">
        <x:f>'Evaluation Plan'!H52</x:f>
        <x:v>glass spice container B</x:v>
      </x:c>
      <x:c r="I52" s="31" t="str"/>
      <x:c r="J52" s="38" t="str">
        <x:f>'Evaluation Plan'!J52</x:f>
        <x:v>Language robustness</x:v>
      </x:c>
      <x:c r="K52" s="33" t="str">
        <x:f>'Evaluation Plan'!K52</x:f>
        <x:v>SR-CT08</x:v>
      </x:c>
      <x:c r="L52" s="33" t="str">
        <x:f>'Evaluation Plan'!L52</x:f>
        <x:v>RU</x:v>
      </x:c>
      <x:c r="M52" s="33" t="str">
        <x:f>'Evaluation Plan'!M52</x:f>
        <x:v>glass spice container</x:v>
      </x:c>
      <x:c r="N52" s="33" t="n">
        <x:f>'Evaluation Plan'!N52</x:f>
        <x:v>3</x:v>
      </x:c>
      <x:c r="O52" s="33" t="n">
        <x:f>'Evaluation Plan'!O52</x:f>
        <x:v>1</x:v>
      </x:c>
      <x:c r="P52" s="33" t="str">
        <x:f>'Evaluation Plan'!P52</x:f>
        <x:v>Empty</x:v>
      </x:c>
      <x:c r="Q52" s="31" t="str">
        <x:f>'Evaluation Plan'!Q52</x:f>
        <x:v>Primary compositional-transfer prompt paraphrase</x:v>
      </x:c>
      <x:c r="R52" s="33" t="n">
        <x:f>'Evaluation Plan'!R52</x:f>
        <x:v>2</x:v>
      </x:c>
      <x:c r="S52" s="31" t="str">
        <x:f>'Evaluation Plan'!S52</x:f>
        <x:v>Reset the moved object exactly; preserve every object and state; change only the prompt wording.</x:v>
      </x:c>
      <x:c r="T52" s="31" t="str">
        <x:f>'Evaluation Plan'!T52</x:f>
        <x:v>Exact-scene paraphrase of one of the 50 canonical compositional-transfer trials.</x:v>
      </x:c>
      <x:c r="U52" s="31" t="n">
        <x:f>'Evaluation Plan'!U52</x:f>
        <x:v>0</x:v>
      </x:c>
    </x:row>
    <x:row r="53" ht="51" customHeight="1">
      <x:c r="A53" s="32" t="str">
        <x:v>Not collected</x:v>
      </x:c>
      <x:c r="B53" s="34" t="n">
        <x:f>'Evaluation Plan'!B53</x:f>
        <x:v>51</x:v>
      </x:c>
      <x:c r="C53" s="32" t="str">
        <x:f>'Evaluation Plan'!C53</x:f>
        <x:v>Move the inverted glass spice container into the bowl.</x:v>
      </x:c>
      <x:c r="D53" s="32" t="str">
        <x:f>'Evaluation Plan'!D53</x:f>
        <x:v>glass spice container B (O, RU); glass spice container A (O, UD); yellow-white striped cup B (O, UD)</x:v>
      </x:c>
      <x:c r="E53" s="34" t="n">
        <x:f>'Evaluation Plan'!E53</x:f>
        <x:v>49</x:v>
      </x:c>
      <x:c r="F53" s="34" t="str">
        <x:f>'Evaluation Plan'!F53</x:f>
        <x:v>181</x:v>
      </x:c>
      <x:c r="G53" s="32" t="str">
        <x:f>'Evaluation Plan'!G53</x:f>
        <x:v>Canonical matched-control cell is training-supported; evaluation wording is paraphrased. No held-out composition is used.</x:v>
      </x:c>
      <x:c r="H53" s="32" t="str">
        <x:f>'Evaluation Plan'!H53</x:f>
        <x:v>glass spice container A</x:v>
      </x:c>
      <x:c r="I53" s="32" t="str"/>
      <x:c r="J53" s="38" t="str">
        <x:f>'Evaluation Plan'!J53</x:f>
        <x:v>Language robustness</x:v>
      </x:c>
      <x:c r="K53" s="34" t="str">
        <x:f>'Evaluation Plan'!K53</x:f>
        <x:v>SR-CT08</x:v>
      </x:c>
      <x:c r="L53" s="34" t="str">
        <x:f>'Evaluation Plan'!L53</x:f>
        <x:v>UD</x:v>
      </x:c>
      <x:c r="M53" s="34" t="str">
        <x:f>'Evaluation Plan'!M53</x:f>
        <x:v>glass spice container</x:v>
      </x:c>
      <x:c r="N53" s="34" t="n">
        <x:f>'Evaluation Plan'!N53</x:f>
        <x:v>3</x:v>
      </x:c>
      <x:c r="O53" s="34" t="n">
        <x:f>'Evaluation Plan'!O53</x:f>
        <x:v>1</x:v>
      </x:c>
      <x:c r="P53" s="34" t="str">
        <x:f>'Evaluation Plan'!P53</x:f>
        <x:v>Empty</x:v>
      </x:c>
      <x:c r="Q53" s="32" t="str">
        <x:f>'Evaluation Plan'!Q53</x:f>
        <x:v>Matched-control state prompt paraphrase</x:v>
      </x:c>
      <x:c r="R53" s="34" t="n">
        <x:f>'Evaluation Plan'!R53</x:f>
        <x:v>2</x:v>
      </x:c>
      <x:c r="S53" s="32" t="str">
        <x:f>'Evaluation Plan'!S53</x:f>
        <x:v>Reset the moved object exactly; preserve the scene; change only the prompt wording.</x:v>
      </x:c>
      <x:c r="T53" s="32" t="str">
        <x:f>'Evaluation Plan'!T53</x:f>
        <x:v>This is one of 10 language trials paired with a matched trained-state control.</x:v>
      </x:c>
      <x:c r="U53" s="32" t="n">
        <x:f>'Evaluation Plan'!U53</x:f>
        <x:v>0</x:v>
      </x:c>
    </x:row>
    <x:row r="54" ht="51" customHeight="1">
      <x:c r="A54" s="40" t="str">
        <x:v>Not collected</x:v>
      </x:c>
      <x:c r="B54" s="41" t="n">
        <x:f>'Evaluation Plan'!B54</x:f>
        <x:v>52</x:v>
      </x:c>
      <x:c r="C54" s="40" t="str">
        <x:f>'Evaluation Plan'!C54</x:f>
        <x:v>Place the upside-down white cup in the bowl.</x:v>
      </x:c>
      <x:c r="D54" s="40" t="str">
        <x:f>'Evaluation Plan'!D54</x:f>
        <x:v>white cup A (C, UD); white cup B (C, RU); glass spice container A (C, RU); yellow-white striped cup B (O, RU)</x:v>
      </x:c>
      <x:c r="E54" s="41" t="str">
        <x:f>'Evaluation Plan'!E54</x:f>
      </x:c>
      <x:c r="F54" s="41" t="str">
        <x:f>'Evaluation Plan'!F54</x:f>
        <x:v>39</x:v>
      </x:c>
      <x:c r="G54" s="40" t="str">
        <x:f>'Evaluation Plan'!G54</x:f>
        <x:v>Physical-state and manipulation-trajectory reference under a direct category prompt; the evaluated state word × object-category cell is intentionally absent from training.</x:v>
      </x:c>
      <x:c r="H54" s="40" t="str">
        <x:f>'Evaluation Plan'!H54</x:f>
        <x:v>white cup A</x:v>
      </x:c>
      <x:c r="I54" s="40" t="str"/>
      <x:c r="J54" s="45" t="str">
        <x:f>'Evaluation Plan'!J54</x:f>
        <x:v>Concept/compositional transfer</x:v>
      </x:c>
      <x:c r="K54" s="41" t="str">
        <x:f>'Evaluation Plan'!K54</x:f>
        <x:v>SR-CT09</x:v>
      </x:c>
      <x:c r="L54" s="41" t="str">
        <x:f>'Evaluation Plan'!L54</x:f>
        <x:v>UD</x:v>
      </x:c>
      <x:c r="M54" s="41" t="str">
        <x:f>'Evaluation Plan'!M54</x:f>
        <x:v>white cup</x:v>
      </x:c>
      <x:c r="N54" s="41" t="n">
        <x:f>'Evaluation Plan'!N54</x:f>
        <x:v>4</x:v>
      </x:c>
      <x:c r="O54" s="41" t="n">
        <x:f>'Evaluation Plan'!O54</x:f>
        <x:v>1</x:v>
      </x:c>
      <x:c r="P54" s="41" t="str">
        <x:f>'Evaluation Plan'!P54</x:f>
        <x:v>Empty</x:v>
      </x:c>
      <x:c r="Q54" s="40" t="str">
        <x:f>'Evaluation Plan'!Q54</x:f>
        <x:v>Primary held-out state-object composition</x:v>
      </x:c>
      <x:c r="R54" s="41" t="n">
        <x:f>'Evaluation Plan'!R54</x:f>
        <x:v>2</x:v>
      </x:c>
      <x:c r="S54" s="40" t="str">
        <x:f>'Evaluation Plan'!S54</x:f>
        <x:v>Build the listed same-category discrimination scene with the bowl empty.</x:v>
      </x:c>
      <x:c r="T54" s="40" t="str">
        <x:f>'Evaluation Plan'!T54</x:f>
        <x:v>Two same-category candidates share the non-queried state axis; only the held-out state word identifies the target.</x:v>
      </x:c>
      <x:c r="U54" s="40" t="n">
        <x:f>'Evaluation Plan'!U54</x:f>
        <x:v>0</x:v>
      </x:c>
    </x:row>
    <x:row r="55" ht="51" customHeight="1">
      <x:c r="A55" s="32" t="str">
        <x:v>Not collected</x:v>
      </x:c>
      <x:c r="B55" s="34" t="n">
        <x:f>'Evaluation Plan'!B55</x:f>
        <x:v>53</x:v>
      </x:c>
      <x:c r="C55" s="32" t="str">
        <x:f>'Evaluation Plan'!C55</x:f>
        <x:v>Place the upright white cup in the bowl.</x:v>
      </x:c>
      <x:c r="D55" s="32" t="str">
        <x:f>'Evaluation Plan'!D55</x:f>
        <x:v>white cup A (C, UD); white cup B (C, RU); glass spice container A (C, RU); yellow-white striped cup B (O, RU)</x:v>
      </x:c>
      <x:c r="E55" s="34" t="n">
        <x:f>'Evaluation Plan'!E55</x:f>
        <x:v>52</x:v>
      </x:c>
      <x:c r="F55" s="34" t="str">
        <x:f>'Evaluation Plan'!F55</x:f>
        <x:v>33</x:v>
      </x:c>
      <x:c r="G55" s="32" t="str">
        <x:f>'Evaluation Plan'!G55</x:f>
        <x:v>Training-supported state-object cell for the control. The evaluation scene is shared exactly with the paired transfer row, while the physical layout is manually recreated.</x:v>
      </x:c>
      <x:c r="H55" s="32" t="str">
        <x:f>'Evaluation Plan'!H55</x:f>
        <x:v>white cup B</x:v>
      </x:c>
      <x:c r="I55" s="32" t="str"/>
      <x:c r="J55" s="37" t="str">
        <x:f>'Evaluation Plan'!J55</x:f>
        <x:v>Matched manipulation control</x:v>
      </x:c>
      <x:c r="K55" s="34" t="str">
        <x:f>'Evaluation Plan'!K55</x:f>
        <x:v>SR-CT09</x:v>
      </x:c>
      <x:c r="L55" s="34" t="str">
        <x:f>'Evaluation Plan'!L55</x:f>
        <x:v>RU</x:v>
      </x:c>
      <x:c r="M55" s="34" t="str">
        <x:f>'Evaluation Plan'!M55</x:f>
        <x:v>white cup</x:v>
      </x:c>
      <x:c r="N55" s="34" t="n">
        <x:f>'Evaluation Plan'!N55</x:f>
        <x:v>4</x:v>
      </x:c>
      <x:c r="O55" s="34" t="n">
        <x:f>'Evaluation Plan'!O55</x:f>
        <x:v>1</x:v>
      </x:c>
      <x:c r="P55" s="34" t="str">
        <x:f>'Evaluation Plan'!P55</x:f>
        <x:v>Empty</x:v>
      </x:c>
      <x:c r="Q55" s="32" t="str">
        <x:f>'Evaluation Plan'!Q55</x:f>
        <x:v>Exact-scene trained state-object counterfactual</x:v>
      </x:c>
      <x:c r="R55" s="34" t="n">
        <x:f>'Evaluation Plan'!R55</x:f>
        <x:v>2</x:v>
      </x:c>
      <x:c r="S55" s="32" t="str">
        <x:f>'Evaluation Plan'!S55</x:f>
        <x:v>Reset the moved object exactly; preserve every object and state; change only the prompt and expected target.</x:v>
      </x:c>
      <x:c r="T55" s="32" t="str">
        <x:f>'Evaluation Plan'!T55</x:f>
        <x:v>The correct target switches to the other same-category instance. This cell is explicit in training and controls recognition/manipulation in the transfer scene.</x:v>
      </x:c>
      <x:c r="U55" s="32" t="n">
        <x:f>'Evaluation Plan'!U55</x:f>
        <x:v>0</x:v>
      </x:c>
    </x:row>
    <x:row r="56" ht="51" customHeight="1">
      <x:c r="A56" s="31" t="str">
        <x:v>Not collected</x:v>
      </x:c>
      <x:c r="B56" s="33" t="n">
        <x:f>'Evaluation Plan'!B56</x:f>
        <x:v>54</x:v>
      </x:c>
      <x:c r="C56" s="31" t="str">
        <x:f>'Evaluation Plan'!C56</x:f>
        <x:v>Move the inverted white cup into the bowl.</x:v>
      </x:c>
      <x:c r="D56" s="31" t="str">
        <x:f>'Evaluation Plan'!D56</x:f>
        <x:v>white cup A (C, UD); white cup B (C, RU); glass spice container A (C, RU); yellow-white striped cup B (O, RU)</x:v>
      </x:c>
      <x:c r="E56" s="33" t="n">
        <x:f>'Evaluation Plan'!E56</x:f>
        <x:v>52</x:v>
      </x:c>
      <x:c r="F56" s="33" t="str">
        <x:f>'Evaluation Plan'!F56</x:f>
        <x:v>39</x:v>
      </x:c>
      <x:c r="G56" s="31" t="str">
        <x:f>'Evaluation Plan'!G56</x:f>
        <x:v>The canonical transfer scene and masked trajectory reference are unchanged; only the evaluation wording is paraphrased. This remains a language diagnostic and is not pooled into the primary 50.</x:v>
      </x:c>
      <x:c r="H56" s="31" t="str">
        <x:f>'Evaluation Plan'!H56</x:f>
        <x:v>white cup A</x:v>
      </x:c>
      <x:c r="I56" s="31" t="str"/>
      <x:c r="J56" s="38" t="str">
        <x:f>'Evaluation Plan'!J56</x:f>
        <x:v>Language robustness</x:v>
      </x:c>
      <x:c r="K56" s="33" t="str">
        <x:f>'Evaluation Plan'!K56</x:f>
        <x:v>SR-CT09</x:v>
      </x:c>
      <x:c r="L56" s="33" t="str">
        <x:f>'Evaluation Plan'!L56</x:f>
        <x:v>UD</x:v>
      </x:c>
      <x:c r="M56" s="33" t="str">
        <x:f>'Evaluation Plan'!M56</x:f>
        <x:v>white cup</x:v>
      </x:c>
      <x:c r="N56" s="33" t="n">
        <x:f>'Evaluation Plan'!N56</x:f>
        <x:v>4</x:v>
      </x:c>
      <x:c r="O56" s="33" t="n">
        <x:f>'Evaluation Plan'!O56</x:f>
        <x:v>1</x:v>
      </x:c>
      <x:c r="P56" s="33" t="str">
        <x:f>'Evaluation Plan'!P56</x:f>
        <x:v>Empty</x:v>
      </x:c>
      <x:c r="Q56" s="31" t="str">
        <x:f>'Evaluation Plan'!Q56</x:f>
        <x:v>Primary compositional-transfer prompt paraphrase</x:v>
      </x:c>
      <x:c r="R56" s="33" t="n">
        <x:f>'Evaluation Plan'!R56</x:f>
        <x:v>2</x:v>
      </x:c>
      <x:c r="S56" s="31" t="str">
        <x:f>'Evaluation Plan'!S56</x:f>
        <x:v>Reset the moved object exactly; preserve every object and state; change only the prompt wording.</x:v>
      </x:c>
      <x:c r="T56" s="31" t="str">
        <x:f>'Evaluation Plan'!T56</x:f>
        <x:v>Exact-scene paraphrase of one of the 50 canonical compositional-transfer trials.</x:v>
      </x:c>
      <x:c r="U56" s="31" t="n">
        <x:f>'Evaluation Plan'!U56</x:f>
        <x:v>0</x:v>
      </x:c>
    </x:row>
    <x:row r="57" ht="51" customHeight="1">
      <x:c r="A57" s="32" t="str">
        <x:v>Not collected</x:v>
      </x:c>
      <x:c r="B57" s="34" t="n">
        <x:f>'Evaluation Plan'!B57</x:f>
        <x:v>55</x:v>
      </x:c>
      <x:c r="C57" s="32" t="str">
        <x:f>'Evaluation Plan'!C57</x:f>
        <x:v>Move the right-side-up white cup into the bowl.</x:v>
      </x:c>
      <x:c r="D57" s="32" t="str">
        <x:f>'Evaluation Plan'!D57</x:f>
        <x:v>white cup A (C, UD); white cup B (C, RU); glass spice container A (C, RU); yellow-white striped cup B (O, RU)</x:v>
      </x:c>
      <x:c r="E57" s="34" t="n">
        <x:f>'Evaluation Plan'!E57</x:f>
        <x:v>53</x:v>
      </x:c>
      <x:c r="F57" s="34" t="str">
        <x:f>'Evaluation Plan'!F57</x:f>
        <x:v>33</x:v>
      </x:c>
      <x:c r="G57" s="32" t="str">
        <x:f>'Evaluation Plan'!G57</x:f>
        <x:v>Canonical matched-control cell is training-supported; evaluation wording is paraphrased. No held-out composition is used.</x:v>
      </x:c>
      <x:c r="H57" s="32" t="str">
        <x:f>'Evaluation Plan'!H57</x:f>
        <x:v>white cup B</x:v>
      </x:c>
      <x:c r="I57" s="32" t="str"/>
      <x:c r="J57" s="38" t="str">
        <x:f>'Evaluation Plan'!J57</x:f>
        <x:v>Language robustness</x:v>
      </x:c>
      <x:c r="K57" s="34" t="str">
        <x:f>'Evaluation Plan'!K57</x:f>
        <x:v>SR-CT09</x:v>
      </x:c>
      <x:c r="L57" s="34" t="str">
        <x:f>'Evaluation Plan'!L57</x:f>
        <x:v>RU</x:v>
      </x:c>
      <x:c r="M57" s="34" t="str">
        <x:f>'Evaluation Plan'!M57</x:f>
        <x:v>white cup</x:v>
      </x:c>
      <x:c r="N57" s="34" t="n">
        <x:f>'Evaluation Plan'!N57</x:f>
        <x:v>4</x:v>
      </x:c>
      <x:c r="O57" s="34" t="n">
        <x:f>'Evaluation Plan'!O57</x:f>
        <x:v>1</x:v>
      </x:c>
      <x:c r="P57" s="34" t="str">
        <x:f>'Evaluation Plan'!P57</x:f>
        <x:v>Empty</x:v>
      </x:c>
      <x:c r="Q57" s="32" t="str">
        <x:f>'Evaluation Plan'!Q57</x:f>
        <x:v>Matched-control state prompt paraphrase</x:v>
      </x:c>
      <x:c r="R57" s="34" t="n">
        <x:f>'Evaluation Plan'!R57</x:f>
        <x:v>2</x:v>
      </x:c>
      <x:c r="S57" s="32" t="str">
        <x:f>'Evaluation Plan'!S57</x:f>
        <x:v>Reset the moved object exactly; preserve the scene; change only the prompt wording.</x:v>
      </x:c>
      <x:c r="T57" s="32" t="str">
        <x:f>'Evaluation Plan'!T57</x:f>
        <x:v>This is one of 10 language trials paired with a matched trained-state control.</x:v>
      </x:c>
      <x:c r="U57" s="32" t="n">
        <x:f>'Evaluation Plan'!U57</x:f>
        <x:v>0</x:v>
      </x:c>
    </x:row>
    <x:row r="58" ht="51" customHeight="1">
      <x:c r="A58" s="40" t="str">
        <x:v>Not collected</x:v>
      </x:c>
      <x:c r="B58" s="41" t="n">
        <x:f>'Evaluation Plan'!B58</x:f>
        <x:v>56</x:v>
      </x:c>
      <x:c r="C58" s="40" t="str">
        <x:f>'Evaluation Plan'!C58</x:f>
        <x:v>Place the open yellow-white striped cup in the bowl.</x:v>
      </x:c>
      <x:c r="D58" s="40" t="str">
        <x:f>'Evaluation Plan'!D58</x:f>
        <x:v>yellow-white striped cup B (O, RU); yellow-white striped cup A (C, RU)</x:v>
      </x:c>
      <x:c r="E58" s="41" t="str">
        <x:f>'Evaluation Plan'!E58</x:f>
      </x:c>
      <x:c r="F58" s="41" t="str">
        <x:f>'Evaluation Plan'!F58</x:f>
        <x:v>71</x:v>
      </x:c>
      <x:c r="G58" s="40" t="str">
        <x:f>'Evaluation Plan'!G58</x:f>
        <x:v>Physical-state and manipulation-trajectory reference under a direct category prompt; the evaluated state word × object-category cell is intentionally absent from training.</x:v>
      </x:c>
      <x:c r="H58" s="40" t="str">
        <x:f>'Evaluation Plan'!H58</x:f>
        <x:v>yellow-white striped cup B</x:v>
      </x:c>
      <x:c r="I58" s="40" t="str"/>
      <x:c r="J58" s="45" t="str">
        <x:f>'Evaluation Plan'!J58</x:f>
        <x:v>Concept/compositional transfer</x:v>
      </x:c>
      <x:c r="K58" s="41" t="str">
        <x:f>'Evaluation Plan'!K58</x:f>
        <x:v>SR-CT10</x:v>
      </x:c>
      <x:c r="L58" s="41" t="str">
        <x:f>'Evaluation Plan'!L58</x:f>
        <x:v>O</x:v>
      </x:c>
      <x:c r="M58" s="41" t="str">
        <x:f>'Evaluation Plan'!M58</x:f>
        <x:v>yellow-white striped cup</x:v>
      </x:c>
      <x:c r="N58" s="41" t="n">
        <x:f>'Evaluation Plan'!N58</x:f>
        <x:v>2</x:v>
      </x:c>
      <x:c r="O58" s="41" t="n">
        <x:f>'Evaluation Plan'!O58</x:f>
        <x:v>1</x:v>
      </x:c>
      <x:c r="P58" s="41" t="str">
        <x:f>'Evaluation Plan'!P58</x:f>
        <x:v>Empty</x:v>
      </x:c>
      <x:c r="Q58" s="40" t="str">
        <x:f>'Evaluation Plan'!Q58</x:f>
        <x:v>Primary held-out state-object composition</x:v>
      </x:c>
      <x:c r="R58" s="41" t="n">
        <x:f>'Evaluation Plan'!R58</x:f>
        <x:v>2</x:v>
      </x:c>
      <x:c r="S58" s="40" t="str">
        <x:f>'Evaluation Plan'!S58</x:f>
        <x:v>Build the listed same-category discrimination scene with the bowl empty.</x:v>
      </x:c>
      <x:c r="T58" s="40" t="str">
        <x:f>'Evaluation Plan'!T58</x:f>
        <x:v>Two same-category candidates share the non-queried state axis; only the held-out state word identifies the target.</x:v>
      </x:c>
      <x:c r="U58" s="40" t="n">
        <x:f>'Evaluation Plan'!U58</x:f>
        <x:v>0</x:v>
      </x:c>
    </x:row>
    <x:row r="59" ht="51" customHeight="1">
      <x:c r="A59" s="32" t="str">
        <x:v>Not collected</x:v>
      </x:c>
      <x:c r="B59" s="34" t="n">
        <x:f>'Evaluation Plan'!B59</x:f>
        <x:v>57</x:v>
      </x:c>
      <x:c r="C59" s="32" t="str">
        <x:f>'Evaluation Plan'!C59</x:f>
        <x:v>Place the closed yellow-white striped cup in the bowl.</x:v>
      </x:c>
      <x:c r="D59" s="32" t="str">
        <x:f>'Evaluation Plan'!D59</x:f>
        <x:v>yellow-white striped cup B (O, RU); yellow-white striped cup A (C, RU)</x:v>
      </x:c>
      <x:c r="E59" s="34" t="n">
        <x:f>'Evaluation Plan'!E59</x:f>
        <x:v>56</x:v>
      </x:c>
      <x:c r="F59" s="34" t="str">
        <x:f>'Evaluation Plan'!F59</x:f>
        <x:v>67</x:v>
      </x:c>
      <x:c r="G59" s="32" t="str">
        <x:f>'Evaluation Plan'!G59</x:f>
        <x:v>Training-supported state-object cell for the control. The evaluation scene is shared exactly with the paired transfer row, while the physical layout is manually recreated.</x:v>
      </x:c>
      <x:c r="H59" s="32" t="str">
        <x:f>'Evaluation Plan'!H59</x:f>
        <x:v>yellow-white striped cup A</x:v>
      </x:c>
      <x:c r="I59" s="32" t="str"/>
      <x:c r="J59" s="37" t="str">
        <x:f>'Evaluation Plan'!J59</x:f>
        <x:v>Matched manipulation control</x:v>
      </x:c>
      <x:c r="K59" s="34" t="str">
        <x:f>'Evaluation Plan'!K59</x:f>
        <x:v>SR-CT10</x:v>
      </x:c>
      <x:c r="L59" s="34" t="str">
        <x:f>'Evaluation Plan'!L59</x:f>
        <x:v>C</x:v>
      </x:c>
      <x:c r="M59" s="34" t="str">
        <x:f>'Evaluation Plan'!M59</x:f>
        <x:v>yellow-white striped cup</x:v>
      </x:c>
      <x:c r="N59" s="34" t="n">
        <x:f>'Evaluation Plan'!N59</x:f>
        <x:v>2</x:v>
      </x:c>
      <x:c r="O59" s="34" t="n">
        <x:f>'Evaluation Plan'!O59</x:f>
        <x:v>1</x:v>
      </x:c>
      <x:c r="P59" s="34" t="str">
        <x:f>'Evaluation Plan'!P59</x:f>
        <x:v>Empty</x:v>
      </x:c>
      <x:c r="Q59" s="32" t="str">
        <x:f>'Evaluation Plan'!Q59</x:f>
        <x:v>Exact-scene trained state-object counterfactual</x:v>
      </x:c>
      <x:c r="R59" s="34" t="n">
        <x:f>'Evaluation Plan'!R59</x:f>
        <x:v>2</x:v>
      </x:c>
      <x:c r="S59" s="32" t="str">
        <x:f>'Evaluation Plan'!S59</x:f>
        <x:v>Reset the moved object exactly; preserve every object and state; change only the prompt and expected target.</x:v>
      </x:c>
      <x:c r="T59" s="32" t="str">
        <x:f>'Evaluation Plan'!T59</x:f>
        <x:v>The correct target switches to the other same-category instance. This cell is explicit in training and controls recognition/manipulation in the transfer scene.</x:v>
      </x:c>
      <x:c r="U59" s="32" t="n">
        <x:f>'Evaluation Plan'!U59</x:f>
        <x:v>0</x:v>
      </x:c>
    </x:row>
    <x:row r="60" ht="51" customHeight="1">
      <x:c r="A60" s="31" t="str">
        <x:v>Not collected</x:v>
      </x:c>
      <x:c r="B60" s="33" t="n">
        <x:f>'Evaluation Plan'!B60</x:f>
        <x:v>58</x:v>
      </x:c>
      <x:c r="C60" s="31" t="str">
        <x:f>'Evaluation Plan'!C60</x:f>
        <x:v>Move the yellow-white striped cup whose opening is uncovered into the bowl.</x:v>
      </x:c>
      <x:c r="D60" s="31" t="str">
        <x:f>'Evaluation Plan'!D60</x:f>
        <x:v>yellow-white striped cup B (O, RU); yellow-white striped cup A (C, RU)</x:v>
      </x:c>
      <x:c r="E60" s="33" t="n">
        <x:f>'Evaluation Plan'!E60</x:f>
        <x:v>56</x:v>
      </x:c>
      <x:c r="F60" s="33" t="str">
        <x:f>'Evaluation Plan'!F60</x:f>
        <x:v>71</x:v>
      </x:c>
      <x:c r="G60" s="31" t="str">
        <x:f>'Evaluation Plan'!G60</x:f>
        <x:v>The canonical transfer scene and masked trajectory reference are unchanged; only the evaluation wording is paraphrased. This remains a language diagnostic and is not pooled into the primary 50.</x:v>
      </x:c>
      <x:c r="H60" s="31" t="str">
        <x:f>'Evaluation Plan'!H60</x:f>
        <x:v>yellow-white striped cup B</x:v>
      </x:c>
      <x:c r="I60" s="31" t="str"/>
      <x:c r="J60" s="38" t="str">
        <x:f>'Evaluation Plan'!J60</x:f>
        <x:v>Language robustness</x:v>
      </x:c>
      <x:c r="K60" s="33" t="str">
        <x:f>'Evaluation Plan'!K60</x:f>
        <x:v>SR-CT10</x:v>
      </x:c>
      <x:c r="L60" s="33" t="str">
        <x:f>'Evaluation Plan'!L60</x:f>
        <x:v>O</x:v>
      </x:c>
      <x:c r="M60" s="33" t="str">
        <x:f>'Evaluation Plan'!M60</x:f>
        <x:v>yellow-white striped cup</x:v>
      </x:c>
      <x:c r="N60" s="33" t="n">
        <x:f>'Evaluation Plan'!N60</x:f>
        <x:v>2</x:v>
      </x:c>
      <x:c r="O60" s="33" t="n">
        <x:f>'Evaluation Plan'!O60</x:f>
        <x:v>1</x:v>
      </x:c>
      <x:c r="P60" s="33" t="str">
        <x:f>'Evaluation Plan'!P60</x:f>
        <x:v>Empty</x:v>
      </x:c>
      <x:c r="Q60" s="31" t="str">
        <x:f>'Evaluation Plan'!Q60</x:f>
        <x:v>Primary compositional-transfer prompt paraphrase</x:v>
      </x:c>
      <x:c r="R60" s="33" t="n">
        <x:f>'Evaluation Plan'!R60</x:f>
        <x:v>2</x:v>
      </x:c>
      <x:c r="S60" s="31" t="str">
        <x:f>'Evaluation Plan'!S60</x:f>
        <x:v>Reset the moved object exactly; preserve every object and state; change only the prompt wording.</x:v>
      </x:c>
      <x:c r="T60" s="31" t="str">
        <x:f>'Evaluation Plan'!T60</x:f>
        <x:v>Exact-scene paraphrase of one of the 50 canonical compositional-transfer trials.</x:v>
      </x:c>
      <x:c r="U60" s="31" t="n">
        <x:f>'Evaluation Plan'!U60</x:f>
        <x:v>0</x:v>
      </x:c>
    </x:row>
    <x:row r="61" ht="51" customHeight="1">
      <x:c r="A61" s="32" t="str">
        <x:v>Not collected</x:v>
      </x:c>
      <x:c r="B61" s="34" t="n">
        <x:f>'Evaluation Plan'!B61</x:f>
        <x:v>59</x:v>
      </x:c>
      <x:c r="C61" s="32" t="str">
        <x:f>'Evaluation Plan'!C61</x:f>
        <x:v>Move the yellow-white striped cup whose opening is covered into the bowl.</x:v>
      </x:c>
      <x:c r="D61" s="32" t="str">
        <x:f>'Evaluation Plan'!D61</x:f>
        <x:v>yellow-white striped cup B (O, RU); yellow-white striped cup A (C, RU)</x:v>
      </x:c>
      <x:c r="E61" s="34" t="n">
        <x:f>'Evaluation Plan'!E61</x:f>
        <x:v>57</x:v>
      </x:c>
      <x:c r="F61" s="34" t="str">
        <x:f>'Evaluation Plan'!F61</x:f>
        <x:v>67</x:v>
      </x:c>
      <x:c r="G61" s="32" t="str">
        <x:f>'Evaluation Plan'!G61</x:f>
        <x:v>Canonical matched-control cell is training-supported; evaluation wording is paraphrased. No held-out composition is used.</x:v>
      </x:c>
      <x:c r="H61" s="32" t="str">
        <x:f>'Evaluation Plan'!H61</x:f>
        <x:v>yellow-white striped cup A</x:v>
      </x:c>
      <x:c r="I61" s="32" t="str"/>
      <x:c r="J61" s="38" t="str">
        <x:f>'Evaluation Plan'!J61</x:f>
        <x:v>Language robustness</x:v>
      </x:c>
      <x:c r="K61" s="34" t="str">
        <x:f>'Evaluation Plan'!K61</x:f>
        <x:v>SR-CT10</x:v>
      </x:c>
      <x:c r="L61" s="34" t="str">
        <x:f>'Evaluation Plan'!L61</x:f>
        <x:v>C</x:v>
      </x:c>
      <x:c r="M61" s="34" t="str">
        <x:f>'Evaluation Plan'!M61</x:f>
        <x:v>yellow-white striped cup</x:v>
      </x:c>
      <x:c r="N61" s="34" t="n">
        <x:f>'Evaluation Plan'!N61</x:f>
        <x:v>2</x:v>
      </x:c>
      <x:c r="O61" s="34" t="n">
        <x:f>'Evaluation Plan'!O61</x:f>
        <x:v>1</x:v>
      </x:c>
      <x:c r="P61" s="34" t="str">
        <x:f>'Evaluation Plan'!P61</x:f>
        <x:v>Empty</x:v>
      </x:c>
      <x:c r="Q61" s="32" t="str">
        <x:f>'Evaluation Plan'!Q61</x:f>
        <x:v>Matched-control state prompt paraphrase</x:v>
      </x:c>
      <x:c r="R61" s="34" t="n">
        <x:f>'Evaluation Plan'!R61</x:f>
        <x:v>2</x:v>
      </x:c>
      <x:c r="S61" s="32" t="str">
        <x:f>'Evaluation Plan'!S61</x:f>
        <x:v>Reset the moved object exactly; preserve the scene; change only the prompt wording.</x:v>
      </x:c>
      <x:c r="T61" s="32" t="str">
        <x:f>'Evaluation Plan'!T61</x:f>
        <x:v>This is one of 10 language trials paired with a matched trained-state control.</x:v>
      </x:c>
      <x:c r="U61" s="32" t="n">
        <x:f>'Evaluation Plan'!U61</x:f>
        <x:v>0</x:v>
      </x:c>
    </x:row>
    <x:row r="62" ht="51" customHeight="1">
      <x:c r="A62" s="40" t="str">
        <x:v>Not collected</x:v>
      </x:c>
      <x:c r="B62" s="41" t="n">
        <x:f>'Evaluation Plan'!B62</x:f>
        <x:v>60</x:v>
      </x:c>
      <x:c r="C62" s="40" t="str">
        <x:f>'Evaluation Plan'!C62</x:f>
        <x:v>Place the closed brown cup in the bowl.</x:v>
      </x:c>
      <x:c r="D62" s="40" t="str">
        <x:f>'Evaluation Plan'!D62</x:f>
        <x:v>brown cup A (C, RU); brown cup B (O, RU); yellow-white striped cup A (C, UD)</x:v>
      </x:c>
      <x:c r="E62" s="41" t="str">
        <x:f>'Evaluation Plan'!E62</x:f>
      </x:c>
      <x:c r="F62" s="41" t="str">
        <x:f>'Evaluation Plan'!F62</x:f>
        <x:v>102</x:v>
      </x:c>
      <x:c r="G62" s="40" t="str">
        <x:f>'Evaluation Plan'!G62</x:f>
        <x:v>Physical-state and manipulation-trajectory reference under a direct category prompt; the evaluated state word × object-category cell is intentionally absent from training.</x:v>
      </x:c>
      <x:c r="H62" s="40" t="str">
        <x:f>'Evaluation Plan'!H62</x:f>
        <x:v>brown cup A</x:v>
      </x:c>
      <x:c r="I62" s="40" t="str"/>
      <x:c r="J62" s="45" t="str">
        <x:f>'Evaluation Plan'!J62</x:f>
        <x:v>Concept/compositional transfer</x:v>
      </x:c>
      <x:c r="K62" s="41" t="str">
        <x:f>'Evaluation Plan'!K62</x:f>
        <x:v>SR-CT11</x:v>
      </x:c>
      <x:c r="L62" s="41" t="str">
        <x:f>'Evaluation Plan'!L62</x:f>
        <x:v>C</x:v>
      </x:c>
      <x:c r="M62" s="41" t="str">
        <x:f>'Evaluation Plan'!M62</x:f>
        <x:v>brown cup</x:v>
      </x:c>
      <x:c r="N62" s="41" t="n">
        <x:f>'Evaluation Plan'!N62</x:f>
        <x:v>3</x:v>
      </x:c>
      <x:c r="O62" s="41" t="n">
        <x:f>'Evaluation Plan'!O62</x:f>
        <x:v>1</x:v>
      </x:c>
      <x:c r="P62" s="41" t="str">
        <x:f>'Evaluation Plan'!P62</x:f>
        <x:v>Empty</x:v>
      </x:c>
      <x:c r="Q62" s="40" t="str">
        <x:f>'Evaluation Plan'!Q62</x:f>
        <x:v>Primary held-out state-object composition</x:v>
      </x:c>
      <x:c r="R62" s="41" t="n">
        <x:f>'Evaluation Plan'!R62</x:f>
        <x:v>3</x:v>
      </x:c>
      <x:c r="S62" s="40" t="str">
        <x:f>'Evaluation Plan'!S62</x:f>
        <x:v>Build the listed same-category discrimination scene with the bowl empty.</x:v>
      </x:c>
      <x:c r="T62" s="40" t="str">
        <x:f>'Evaluation Plan'!T62</x:f>
        <x:v>Two same-category candidates share the non-queried state axis; only the held-out state word identifies the target.</x:v>
      </x:c>
      <x:c r="U62" s="40" t="n">
        <x:f>'Evaluation Plan'!U62</x:f>
        <x:v>0</x:v>
      </x:c>
    </x:row>
    <x:row r="63" ht="51" customHeight="1">
      <x:c r="A63" s="32" t="str">
        <x:v>Not collected</x:v>
      </x:c>
      <x:c r="B63" s="34" t="n">
        <x:f>'Evaluation Plan'!B63</x:f>
        <x:v>61</x:v>
      </x:c>
      <x:c r="C63" s="32" t="str">
        <x:f>'Evaluation Plan'!C63</x:f>
        <x:v>Place the open brown cup in the bowl.</x:v>
      </x:c>
      <x:c r="D63" s="32" t="str">
        <x:f>'Evaluation Plan'!D63</x:f>
        <x:v>brown cup A (C, RU); brown cup B (O, RU); yellow-white striped cup A (C, UD)</x:v>
      </x:c>
      <x:c r="E63" s="34" t="n">
        <x:f>'Evaluation Plan'!E63</x:f>
        <x:v>60</x:v>
      </x:c>
      <x:c r="F63" s="34" t="str">
        <x:f>'Evaluation Plan'!F63</x:f>
        <x:v>110</x:v>
      </x:c>
      <x:c r="G63" s="32" t="str">
        <x:f>'Evaluation Plan'!G63</x:f>
        <x:v>Training-supported state-object cell for the control. The evaluation scene is shared exactly with the paired transfer row, while the physical layout is manually recreated.</x:v>
      </x:c>
      <x:c r="H63" s="32" t="str">
        <x:f>'Evaluation Plan'!H63</x:f>
        <x:v>brown cup B</x:v>
      </x:c>
      <x:c r="I63" s="32" t="str"/>
      <x:c r="J63" s="37" t="str">
        <x:f>'Evaluation Plan'!J63</x:f>
        <x:v>Matched manipulation control</x:v>
      </x:c>
      <x:c r="K63" s="34" t="str">
        <x:f>'Evaluation Plan'!K63</x:f>
        <x:v>SR-CT11</x:v>
      </x:c>
      <x:c r="L63" s="34" t="str">
        <x:f>'Evaluation Plan'!L63</x:f>
        <x:v>O</x:v>
      </x:c>
      <x:c r="M63" s="34" t="str">
        <x:f>'Evaluation Plan'!M63</x:f>
        <x:v>brown cup</x:v>
      </x:c>
      <x:c r="N63" s="34" t="n">
        <x:f>'Evaluation Plan'!N63</x:f>
        <x:v>3</x:v>
      </x:c>
      <x:c r="O63" s="34" t="n">
        <x:f>'Evaluation Plan'!O63</x:f>
        <x:v>1</x:v>
      </x:c>
      <x:c r="P63" s="34" t="str">
        <x:f>'Evaluation Plan'!P63</x:f>
        <x:v>Empty</x:v>
      </x:c>
      <x:c r="Q63" s="32" t="str">
        <x:f>'Evaluation Plan'!Q63</x:f>
        <x:v>Exact-scene trained state-object counterfactual</x:v>
      </x:c>
      <x:c r="R63" s="34" t="n">
        <x:f>'Evaluation Plan'!R63</x:f>
        <x:v>3</x:v>
      </x:c>
      <x:c r="S63" s="32" t="str">
        <x:f>'Evaluation Plan'!S63</x:f>
        <x:v>Reset the moved object exactly; preserve every object and state; change only the prompt and expected target.</x:v>
      </x:c>
      <x:c r="T63" s="32" t="str">
        <x:f>'Evaluation Plan'!T63</x:f>
        <x:v>The correct target switches to the other same-category instance. This cell is explicit in training and controls recognition/manipulation in the transfer scene.</x:v>
      </x:c>
      <x:c r="U63" s="32" t="n">
        <x:f>'Evaluation Plan'!U63</x:f>
        <x:v>0</x:v>
      </x:c>
    </x:row>
    <x:row r="64" ht="51" customHeight="1">
      <x:c r="A64" s="40" t="str">
        <x:v>Not collected</x:v>
      </x:c>
      <x:c r="B64" s="41" t="n">
        <x:f>'Evaluation Plan'!B64</x:f>
        <x:v>62</x:v>
      </x:c>
      <x:c r="C64" s="40" t="str">
        <x:f>'Evaluation Plan'!C64</x:f>
        <x:v>Place the upright glass spice container in the bowl.</x:v>
      </x:c>
      <x:c r="D64" s="40" t="str">
        <x:f>'Evaluation Plan'!D64</x:f>
        <x:v>glass spice container B (C, RU); glass spice container A (C, UD); brown cup B (O, UD); white cup A (C, RU)</x:v>
      </x:c>
      <x:c r="E64" s="41" t="str">
        <x:f>'Evaluation Plan'!E64</x:f>
      </x:c>
      <x:c r="F64" s="41" t="str">
        <x:f>'Evaluation Plan'!F64</x:f>
        <x:v>172</x:v>
      </x:c>
      <x:c r="G64" s="40" t="str">
        <x:f>'Evaluation Plan'!G64</x:f>
        <x:v>Physical-state and manipulation-trajectory reference under a direct category prompt; the evaluated state word × object-category cell is intentionally absent from training.</x:v>
      </x:c>
      <x:c r="H64" s="40" t="str">
        <x:f>'Evaluation Plan'!H64</x:f>
        <x:v>glass spice container B</x:v>
      </x:c>
      <x:c r="I64" s="40" t="str"/>
      <x:c r="J64" s="45" t="str">
        <x:f>'Evaluation Plan'!J64</x:f>
        <x:v>Concept/compositional transfer</x:v>
      </x:c>
      <x:c r="K64" s="41" t="str">
        <x:f>'Evaluation Plan'!K64</x:f>
        <x:v>SR-CT12</x:v>
      </x:c>
      <x:c r="L64" s="41" t="str">
        <x:f>'Evaluation Plan'!L64</x:f>
        <x:v>RU</x:v>
      </x:c>
      <x:c r="M64" s="41" t="str">
        <x:f>'Evaluation Plan'!M64</x:f>
        <x:v>glass spice container</x:v>
      </x:c>
      <x:c r="N64" s="41" t="n">
        <x:f>'Evaluation Plan'!N64</x:f>
        <x:v>4</x:v>
      </x:c>
      <x:c r="O64" s="41" t="n">
        <x:f>'Evaluation Plan'!O64</x:f>
        <x:v>1</x:v>
      </x:c>
      <x:c r="P64" s="41" t="str">
        <x:f>'Evaluation Plan'!P64</x:f>
        <x:v>Empty</x:v>
      </x:c>
      <x:c r="Q64" s="40" t="str">
        <x:f>'Evaluation Plan'!Q64</x:f>
        <x:v>Primary held-out state-object composition</x:v>
      </x:c>
      <x:c r="R64" s="41" t="n">
        <x:f>'Evaluation Plan'!R64</x:f>
        <x:v>3</x:v>
      </x:c>
      <x:c r="S64" s="40" t="str">
        <x:f>'Evaluation Plan'!S64</x:f>
        <x:v>Build the listed same-category discrimination scene with the bowl empty.</x:v>
      </x:c>
      <x:c r="T64" s="40" t="str">
        <x:f>'Evaluation Plan'!T64</x:f>
        <x:v>Two same-category candidates share the non-queried state axis; only the held-out state word identifies the target.</x:v>
      </x:c>
      <x:c r="U64" s="40" t="n">
        <x:f>'Evaluation Plan'!U64</x:f>
        <x:v>0</x:v>
      </x:c>
    </x:row>
    <x:row r="65" ht="51" customHeight="1">
      <x:c r="A65" s="32" t="str">
        <x:v>Not collected</x:v>
      </x:c>
      <x:c r="B65" s="34" t="n">
        <x:f>'Evaluation Plan'!B65</x:f>
        <x:v>63</x:v>
      </x:c>
      <x:c r="C65" s="32" t="str">
        <x:f>'Evaluation Plan'!C65</x:f>
        <x:v>Place the upside-down glass spice container in the bowl.</x:v>
      </x:c>
      <x:c r="D65" s="32" t="str">
        <x:f>'Evaluation Plan'!D65</x:f>
        <x:v>glass spice container B (C, RU); glass spice container A (C, UD); brown cup B (O, UD); white cup A (C, RU)</x:v>
      </x:c>
      <x:c r="E65" s="34" t="n">
        <x:f>'Evaluation Plan'!E65</x:f>
        <x:v>62</x:v>
      </x:c>
      <x:c r="F65" s="34" t="str">
        <x:f>'Evaluation Plan'!F65</x:f>
        <x:v>186</x:v>
      </x:c>
      <x:c r="G65" s="32" t="str">
        <x:f>'Evaluation Plan'!G65</x:f>
        <x:v>Training-supported state-object cell for the control. The evaluation scene is shared exactly with the paired transfer row, while the physical layout is manually recreated.</x:v>
      </x:c>
      <x:c r="H65" s="32" t="str">
        <x:f>'Evaluation Plan'!H65</x:f>
        <x:v>glass spice container A</x:v>
      </x:c>
      <x:c r="I65" s="32" t="str"/>
      <x:c r="J65" s="37" t="str">
        <x:f>'Evaluation Plan'!J65</x:f>
        <x:v>Matched manipulation control</x:v>
      </x:c>
      <x:c r="K65" s="34" t="str">
        <x:f>'Evaluation Plan'!K65</x:f>
        <x:v>SR-CT12</x:v>
      </x:c>
      <x:c r="L65" s="34" t="str">
        <x:f>'Evaluation Plan'!L65</x:f>
        <x:v>UD</x:v>
      </x:c>
      <x:c r="M65" s="34" t="str">
        <x:f>'Evaluation Plan'!M65</x:f>
        <x:v>glass spice container</x:v>
      </x:c>
      <x:c r="N65" s="34" t="n">
        <x:f>'Evaluation Plan'!N65</x:f>
        <x:v>4</x:v>
      </x:c>
      <x:c r="O65" s="34" t="n">
        <x:f>'Evaluation Plan'!O65</x:f>
        <x:v>1</x:v>
      </x:c>
      <x:c r="P65" s="34" t="str">
        <x:f>'Evaluation Plan'!P65</x:f>
        <x:v>Empty</x:v>
      </x:c>
      <x:c r="Q65" s="32" t="str">
        <x:f>'Evaluation Plan'!Q65</x:f>
        <x:v>Exact-scene trained state-object counterfactual</x:v>
      </x:c>
      <x:c r="R65" s="34" t="n">
        <x:f>'Evaluation Plan'!R65</x:f>
        <x:v>3</x:v>
      </x:c>
      <x:c r="S65" s="32" t="str">
        <x:f>'Evaluation Plan'!S65</x:f>
        <x:v>Reset the moved object exactly; preserve every object and state; change only the prompt and expected target.</x:v>
      </x:c>
      <x:c r="T65" s="32" t="str">
        <x:f>'Evaluation Plan'!T65</x:f>
        <x:v>The correct target switches to the other same-category instance. This cell is explicit in training and controls recognition/manipulation in the transfer scene.</x:v>
      </x:c>
      <x:c r="U65" s="32" t="n">
        <x:f>'Evaluation Plan'!U65</x:f>
        <x:v>0</x:v>
      </x:c>
    </x:row>
    <x:row r="66" ht="51" customHeight="1">
      <x:c r="A66" s="40" t="str">
        <x:v>Not collected</x:v>
      </x:c>
      <x:c r="B66" s="41" t="n">
        <x:f>'Evaluation Plan'!B66</x:f>
        <x:v>64</x:v>
      </x:c>
      <x:c r="C66" s="40" t="str">
        <x:f>'Evaluation Plan'!C66</x:f>
        <x:v>Place the upside-down white cup in the bowl.</x:v>
      </x:c>
      <x:c r="D66" s="40" t="str">
        <x:f>'Evaluation Plan'!D66</x:f>
        <x:v>white cup A (O, UD); white cup B (O, RU)</x:v>
      </x:c>
      <x:c r="E66" s="41" t="str">
        <x:f>'Evaluation Plan'!E66</x:f>
      </x:c>
      <x:c r="F66" s="41" t="str">
        <x:f>'Evaluation Plan'!F66</x:f>
        <x:v>32</x:v>
      </x:c>
      <x:c r="G66" s="40" t="str">
        <x:f>'Evaluation Plan'!G66</x:f>
        <x:v>Physical-state and manipulation-trajectory reference under a direct category prompt; the evaluated state word × object-category cell is intentionally absent from training.</x:v>
      </x:c>
      <x:c r="H66" s="40" t="str">
        <x:f>'Evaluation Plan'!H66</x:f>
        <x:v>white cup A</x:v>
      </x:c>
      <x:c r="I66" s="40" t="str"/>
      <x:c r="J66" s="45" t="str">
        <x:f>'Evaluation Plan'!J66</x:f>
        <x:v>Concept/compositional transfer</x:v>
      </x:c>
      <x:c r="K66" s="41" t="str">
        <x:f>'Evaluation Plan'!K66</x:f>
        <x:v>SR-CT13</x:v>
      </x:c>
      <x:c r="L66" s="41" t="str">
        <x:f>'Evaluation Plan'!L66</x:f>
        <x:v>UD</x:v>
      </x:c>
      <x:c r="M66" s="41" t="str">
        <x:f>'Evaluation Plan'!M66</x:f>
        <x:v>white cup</x:v>
      </x:c>
      <x:c r="N66" s="41" t="n">
        <x:f>'Evaluation Plan'!N66</x:f>
        <x:v>2</x:v>
      </x:c>
      <x:c r="O66" s="41" t="n">
        <x:f>'Evaluation Plan'!O66</x:f>
        <x:v>1</x:v>
      </x:c>
      <x:c r="P66" s="41" t="str">
        <x:f>'Evaluation Plan'!P66</x:f>
        <x:v>Empty</x:v>
      </x:c>
      <x:c r="Q66" s="40" t="str">
        <x:f>'Evaluation Plan'!Q66</x:f>
        <x:v>Primary held-out state-object composition</x:v>
      </x:c>
      <x:c r="R66" s="41" t="n">
        <x:f>'Evaluation Plan'!R66</x:f>
        <x:v>3</x:v>
      </x:c>
      <x:c r="S66" s="40" t="str">
        <x:f>'Evaluation Plan'!S66</x:f>
        <x:v>Build the listed same-category discrimination scene with the bowl empty.</x:v>
      </x:c>
      <x:c r="T66" s="40" t="str">
        <x:f>'Evaluation Plan'!T66</x:f>
        <x:v>Two same-category candidates share the non-queried state axis; only the held-out state word identifies the target.</x:v>
      </x:c>
      <x:c r="U66" s="40" t="n">
        <x:f>'Evaluation Plan'!U66</x:f>
        <x:v>0</x:v>
      </x:c>
    </x:row>
    <x:row r="67" ht="51" customHeight="1">
      <x:c r="A67" s="32" t="str">
        <x:v>Not collected</x:v>
      </x:c>
      <x:c r="B67" s="34" t="n">
        <x:f>'Evaluation Plan'!B67</x:f>
        <x:v>65</x:v>
      </x:c>
      <x:c r="C67" s="32" t="str">
        <x:f>'Evaluation Plan'!C67</x:f>
        <x:v>Place the upright white cup in the bowl.</x:v>
      </x:c>
      <x:c r="D67" s="32" t="str">
        <x:f>'Evaluation Plan'!D67</x:f>
        <x:v>white cup A (O, UD); white cup B (O, RU)</x:v>
      </x:c>
      <x:c r="E67" s="34" t="n">
        <x:f>'Evaluation Plan'!E67</x:f>
        <x:v>64</x:v>
      </x:c>
      <x:c r="F67" s="34" t="str">
        <x:f>'Evaluation Plan'!F67</x:f>
        <x:v>44</x:v>
      </x:c>
      <x:c r="G67" s="32" t="str">
        <x:f>'Evaluation Plan'!G67</x:f>
        <x:v>Training-supported state-object cell for the control. The evaluation scene is shared exactly with the paired transfer row, while the physical layout is manually recreated.</x:v>
      </x:c>
      <x:c r="H67" s="32" t="str">
        <x:f>'Evaluation Plan'!H67</x:f>
        <x:v>white cup B</x:v>
      </x:c>
      <x:c r="I67" s="32" t="str"/>
      <x:c r="J67" s="37" t="str">
        <x:f>'Evaluation Plan'!J67</x:f>
        <x:v>Matched manipulation control</x:v>
      </x:c>
      <x:c r="K67" s="34" t="str">
        <x:f>'Evaluation Plan'!K67</x:f>
        <x:v>SR-CT13</x:v>
      </x:c>
      <x:c r="L67" s="34" t="str">
        <x:f>'Evaluation Plan'!L67</x:f>
        <x:v>RU</x:v>
      </x:c>
      <x:c r="M67" s="34" t="str">
        <x:f>'Evaluation Plan'!M67</x:f>
        <x:v>white cup</x:v>
      </x:c>
      <x:c r="N67" s="34" t="n">
        <x:f>'Evaluation Plan'!N67</x:f>
        <x:v>2</x:v>
      </x:c>
      <x:c r="O67" s="34" t="n">
        <x:f>'Evaluation Plan'!O67</x:f>
        <x:v>1</x:v>
      </x:c>
      <x:c r="P67" s="34" t="str">
        <x:f>'Evaluation Plan'!P67</x:f>
        <x:v>Empty</x:v>
      </x:c>
      <x:c r="Q67" s="32" t="str">
        <x:f>'Evaluation Plan'!Q67</x:f>
        <x:v>Exact-scene trained state-object counterfactual</x:v>
      </x:c>
      <x:c r="R67" s="34" t="n">
        <x:f>'Evaluation Plan'!R67</x:f>
        <x:v>3</x:v>
      </x:c>
      <x:c r="S67" s="32" t="str">
        <x:f>'Evaluation Plan'!S67</x:f>
        <x:v>Reset the moved object exactly; preserve every object and state; change only the prompt and expected target.</x:v>
      </x:c>
      <x:c r="T67" s="32" t="str">
        <x:f>'Evaluation Plan'!T67</x:f>
        <x:v>The correct target switches to the other same-category instance. This cell is explicit in training and controls recognition/manipulation in the transfer scene.</x:v>
      </x:c>
      <x:c r="U67" s="32" t="n">
        <x:f>'Evaluation Plan'!U67</x:f>
        <x:v>0</x:v>
      </x:c>
    </x:row>
    <x:row r="68" ht="51" customHeight="1">
      <x:c r="A68" s="40" t="str">
        <x:v>Not collected</x:v>
      </x:c>
      <x:c r="B68" s="41" t="n">
        <x:f>'Evaluation Plan'!B68</x:f>
        <x:v>66</x:v>
      </x:c>
      <x:c r="C68" s="40" t="str">
        <x:f>'Evaluation Plan'!C68</x:f>
        <x:v>Place the open yellow-white striped cup in the bowl.</x:v>
      </x:c>
      <x:c r="D68" s="40" t="str">
        <x:f>'Evaluation Plan'!D68</x:f>
        <x:v>yellow-white striped cup B (O, UD); yellow-white striped cup A (C, UD); brown cup B (O, RU)</x:v>
      </x:c>
      <x:c r="E68" s="41" t="str">
        <x:f>'Evaluation Plan'!E68</x:f>
      </x:c>
      <x:c r="F68" s="41" t="str">
        <x:f>'Evaluation Plan'!F68</x:f>
        <x:v>53</x:v>
      </x:c>
      <x:c r="G68" s="40" t="str">
        <x:f>'Evaluation Plan'!G68</x:f>
        <x:v>Physical-state and manipulation-trajectory reference under a direct category prompt; the evaluated state word × object-category cell is intentionally absent from training.</x:v>
      </x:c>
      <x:c r="H68" s="40" t="str">
        <x:f>'Evaluation Plan'!H68</x:f>
        <x:v>yellow-white striped cup B</x:v>
      </x:c>
      <x:c r="I68" s="40" t="str"/>
      <x:c r="J68" s="45" t="str">
        <x:f>'Evaluation Plan'!J68</x:f>
        <x:v>Concept/compositional transfer</x:v>
      </x:c>
      <x:c r="K68" s="41" t="str">
        <x:f>'Evaluation Plan'!K68</x:f>
        <x:v>SR-CT14</x:v>
      </x:c>
      <x:c r="L68" s="41" t="str">
        <x:f>'Evaluation Plan'!L68</x:f>
        <x:v>O</x:v>
      </x:c>
      <x:c r="M68" s="41" t="str">
        <x:f>'Evaluation Plan'!M68</x:f>
        <x:v>yellow-white striped cup</x:v>
      </x:c>
      <x:c r="N68" s="41" t="n">
        <x:f>'Evaluation Plan'!N68</x:f>
        <x:v>3</x:v>
      </x:c>
      <x:c r="O68" s="41" t="n">
        <x:f>'Evaluation Plan'!O68</x:f>
        <x:v>1</x:v>
      </x:c>
      <x:c r="P68" s="41" t="str">
        <x:f>'Evaluation Plan'!P68</x:f>
        <x:v>Empty</x:v>
      </x:c>
      <x:c r="Q68" s="40" t="str">
        <x:f>'Evaluation Plan'!Q68</x:f>
        <x:v>Primary held-out state-object composition</x:v>
      </x:c>
      <x:c r="R68" s="41" t="n">
        <x:f>'Evaluation Plan'!R68</x:f>
        <x:v>3</x:v>
      </x:c>
      <x:c r="S68" s="40" t="str">
        <x:f>'Evaluation Plan'!S68</x:f>
        <x:v>Build the listed same-category discrimination scene with the bowl empty.</x:v>
      </x:c>
      <x:c r="T68" s="40" t="str">
        <x:f>'Evaluation Plan'!T68</x:f>
        <x:v>Two same-category candidates share the non-queried state axis; only the held-out state word identifies the target.</x:v>
      </x:c>
      <x:c r="U68" s="40" t="n">
        <x:f>'Evaluation Plan'!U68</x:f>
        <x:v>0</x:v>
      </x:c>
    </x:row>
    <x:row r="69" ht="51" customHeight="1">
      <x:c r="A69" s="32" t="str">
        <x:v>Not collected</x:v>
      </x:c>
      <x:c r="B69" s="34" t="n">
        <x:f>'Evaluation Plan'!B69</x:f>
        <x:v>67</x:v>
      </x:c>
      <x:c r="C69" s="32" t="str">
        <x:f>'Evaluation Plan'!C69</x:f>
        <x:v>Place the closed yellow-white striped cup in the bowl.</x:v>
      </x:c>
      <x:c r="D69" s="32" t="str">
        <x:f>'Evaluation Plan'!D69</x:f>
        <x:v>yellow-white striped cup B (O, UD); yellow-white striped cup A (C, UD); brown cup B (O, RU)</x:v>
      </x:c>
      <x:c r="E69" s="34" t="n">
        <x:f>'Evaluation Plan'!E69</x:f>
        <x:v>66</x:v>
      </x:c>
      <x:c r="F69" s="34" t="str">
        <x:f>'Evaluation Plan'!F69</x:f>
        <x:v>73</x:v>
      </x:c>
      <x:c r="G69" s="32" t="str">
        <x:f>'Evaluation Plan'!G69</x:f>
        <x:v>Training-supported state-object cell for the control. The evaluation scene is shared exactly with the paired transfer row, while the physical layout is manually recreated.</x:v>
      </x:c>
      <x:c r="H69" s="32" t="str">
        <x:f>'Evaluation Plan'!H69</x:f>
        <x:v>yellow-white striped cup A</x:v>
      </x:c>
      <x:c r="I69" s="32" t="str"/>
      <x:c r="J69" s="37" t="str">
        <x:f>'Evaluation Plan'!J69</x:f>
        <x:v>Matched manipulation control</x:v>
      </x:c>
      <x:c r="K69" s="34" t="str">
        <x:f>'Evaluation Plan'!K69</x:f>
        <x:v>SR-CT14</x:v>
      </x:c>
      <x:c r="L69" s="34" t="str">
        <x:f>'Evaluation Plan'!L69</x:f>
        <x:v>C</x:v>
      </x:c>
      <x:c r="M69" s="34" t="str">
        <x:f>'Evaluation Plan'!M69</x:f>
        <x:v>yellow-white striped cup</x:v>
      </x:c>
      <x:c r="N69" s="34" t="n">
        <x:f>'Evaluation Plan'!N69</x:f>
        <x:v>3</x:v>
      </x:c>
      <x:c r="O69" s="34" t="n">
        <x:f>'Evaluation Plan'!O69</x:f>
        <x:v>1</x:v>
      </x:c>
      <x:c r="P69" s="34" t="str">
        <x:f>'Evaluation Plan'!P69</x:f>
        <x:v>Empty</x:v>
      </x:c>
      <x:c r="Q69" s="32" t="str">
        <x:f>'Evaluation Plan'!Q69</x:f>
        <x:v>Exact-scene trained state-object counterfactual</x:v>
      </x:c>
      <x:c r="R69" s="34" t="n">
        <x:f>'Evaluation Plan'!R69</x:f>
        <x:v>3</x:v>
      </x:c>
      <x:c r="S69" s="32" t="str">
        <x:f>'Evaluation Plan'!S69</x:f>
        <x:v>Reset the moved object exactly; preserve every object and state; change only the prompt and expected target.</x:v>
      </x:c>
      <x:c r="T69" s="32" t="str">
        <x:f>'Evaluation Plan'!T69</x:f>
        <x:v>The correct target switches to the other same-category instance. This cell is explicit in training and controls recognition/manipulation in the transfer scene.</x:v>
      </x:c>
      <x:c r="U69" s="32" t="n">
        <x:f>'Evaluation Plan'!U69</x:f>
        <x:v>0</x:v>
      </x:c>
    </x:row>
    <x:row r="70" ht="51" customHeight="1">
      <x:c r="A70" s="40" t="str">
        <x:v>Not collected</x:v>
      </x:c>
      <x:c r="B70" s="41" t="n">
        <x:f>'Evaluation Plan'!B70</x:f>
        <x:v>68</x:v>
      </x:c>
      <x:c r="C70" s="40" t="str">
        <x:f>'Evaluation Plan'!C70</x:f>
        <x:v>Place the closed brown cup in the bowl.</x:v>
      </x:c>
      <x:c r="D70" s="40" t="str">
        <x:f>'Evaluation Plan'!D70</x:f>
        <x:v>brown cup A (C, UD); brown cup B (O, UD); glass spice container A (C, UD); white cup B (O, UD)</x:v>
      </x:c>
      <x:c r="E70" s="41" t="str">
        <x:f>'Evaluation Plan'!E70</x:f>
      </x:c>
      <x:c r="F70" s="41" t="str">
        <x:f>'Evaluation Plan'!F70</x:f>
        <x:v>129</x:v>
      </x:c>
      <x:c r="G70" s="40" t="str">
        <x:f>'Evaluation Plan'!G70</x:f>
        <x:v>Physical-state and manipulation-trajectory reference under a direct category prompt; the evaluated state word × object-category cell is intentionally absent from training.</x:v>
      </x:c>
      <x:c r="H70" s="40" t="str">
        <x:f>'Evaluation Plan'!H70</x:f>
        <x:v>brown cup A</x:v>
      </x:c>
      <x:c r="I70" s="40" t="str"/>
      <x:c r="J70" s="45" t="str">
        <x:f>'Evaluation Plan'!J70</x:f>
        <x:v>Concept/compositional transfer</x:v>
      </x:c>
      <x:c r="K70" s="41" t="str">
        <x:f>'Evaluation Plan'!K70</x:f>
        <x:v>SR-CT15</x:v>
      </x:c>
      <x:c r="L70" s="41" t="str">
        <x:f>'Evaluation Plan'!L70</x:f>
        <x:v>C</x:v>
      </x:c>
      <x:c r="M70" s="41" t="str">
        <x:f>'Evaluation Plan'!M70</x:f>
        <x:v>brown cup</x:v>
      </x:c>
      <x:c r="N70" s="41" t="n">
        <x:f>'Evaluation Plan'!N70</x:f>
        <x:v>4</x:v>
      </x:c>
      <x:c r="O70" s="41" t="n">
        <x:f>'Evaluation Plan'!O70</x:f>
        <x:v>1</x:v>
      </x:c>
      <x:c r="P70" s="41" t="str">
        <x:f>'Evaluation Plan'!P70</x:f>
        <x:v>Empty</x:v>
      </x:c>
      <x:c r="Q70" s="40" t="str">
        <x:f>'Evaluation Plan'!Q70</x:f>
        <x:v>Primary held-out state-object composition</x:v>
      </x:c>
      <x:c r="R70" s="41" t="n">
        <x:f>'Evaluation Plan'!R70</x:f>
        <x:v>3</x:v>
      </x:c>
      <x:c r="S70" s="40" t="str">
        <x:f>'Evaluation Plan'!S70</x:f>
        <x:v>Build the listed same-category discrimination scene with the bowl empty.</x:v>
      </x:c>
      <x:c r="T70" s="40" t="str">
        <x:f>'Evaluation Plan'!T70</x:f>
        <x:v>Two same-category candidates share the non-queried state axis; only the held-out state word identifies the target.</x:v>
      </x:c>
      <x:c r="U70" s="40" t="n">
        <x:f>'Evaluation Plan'!U70</x:f>
        <x:v>0</x:v>
      </x:c>
    </x:row>
    <x:row r="71" ht="51" customHeight="1">
      <x:c r="A71" s="32" t="str">
        <x:v>Not collected</x:v>
      </x:c>
      <x:c r="B71" s="34" t="n">
        <x:f>'Evaluation Plan'!B71</x:f>
        <x:v>69</x:v>
      </x:c>
      <x:c r="C71" s="32" t="str">
        <x:f>'Evaluation Plan'!C71</x:f>
        <x:v>Place the open brown cup in the bowl.</x:v>
      </x:c>
      <x:c r="D71" s="32" t="str">
        <x:f>'Evaluation Plan'!D71</x:f>
        <x:v>brown cup A (C, UD); brown cup B (O, UD); glass spice container A (C, UD); white cup B (O, UD)</x:v>
      </x:c>
      <x:c r="E71" s="34" t="n">
        <x:f>'Evaluation Plan'!E71</x:f>
        <x:v>68</x:v>
      </x:c>
      <x:c r="F71" s="34" t="str">
        <x:f>'Evaluation Plan'!F71</x:f>
        <x:v>112</x:v>
      </x:c>
      <x:c r="G71" s="32" t="str">
        <x:f>'Evaluation Plan'!G71</x:f>
        <x:v>Training-supported state-object cell for the control. The evaluation scene is shared exactly with the paired transfer row, while the physical layout is manually recreated.</x:v>
      </x:c>
      <x:c r="H71" s="32" t="str">
        <x:f>'Evaluation Plan'!H71</x:f>
        <x:v>brown cup B</x:v>
      </x:c>
      <x:c r="I71" s="32" t="str"/>
      <x:c r="J71" s="37" t="str">
        <x:f>'Evaluation Plan'!J71</x:f>
        <x:v>Matched manipulation control</x:v>
      </x:c>
      <x:c r="K71" s="34" t="str">
        <x:f>'Evaluation Plan'!K71</x:f>
        <x:v>SR-CT15</x:v>
      </x:c>
      <x:c r="L71" s="34" t="str">
        <x:f>'Evaluation Plan'!L71</x:f>
        <x:v>O</x:v>
      </x:c>
      <x:c r="M71" s="34" t="str">
        <x:f>'Evaluation Plan'!M71</x:f>
        <x:v>brown cup</x:v>
      </x:c>
      <x:c r="N71" s="34" t="n">
        <x:f>'Evaluation Plan'!N71</x:f>
        <x:v>4</x:v>
      </x:c>
      <x:c r="O71" s="34" t="n">
        <x:f>'Evaluation Plan'!O71</x:f>
        <x:v>1</x:v>
      </x:c>
      <x:c r="P71" s="34" t="str">
        <x:f>'Evaluation Plan'!P71</x:f>
        <x:v>Empty</x:v>
      </x:c>
      <x:c r="Q71" s="32" t="str">
        <x:f>'Evaluation Plan'!Q71</x:f>
        <x:v>Exact-scene trained state-object counterfactual</x:v>
      </x:c>
      <x:c r="R71" s="34" t="n">
        <x:f>'Evaluation Plan'!R71</x:f>
        <x:v>3</x:v>
      </x:c>
      <x:c r="S71" s="32" t="str">
        <x:f>'Evaluation Plan'!S71</x:f>
        <x:v>Reset the moved object exactly; preserve every object and state; change only the prompt and expected target.</x:v>
      </x:c>
      <x:c r="T71" s="32" t="str">
        <x:f>'Evaluation Plan'!T71</x:f>
        <x:v>The correct target switches to the other same-category instance. This cell is explicit in training and controls recognition/manipulation in the transfer scene.</x:v>
      </x:c>
      <x:c r="U71" s="32" t="n">
        <x:f>'Evaluation Plan'!U71</x:f>
        <x:v>0</x:v>
      </x:c>
    </x:row>
    <x:row r="72" ht="51" customHeight="1">
      <x:c r="A72" s="40" t="str">
        <x:v>Not collected</x:v>
      </x:c>
      <x:c r="B72" s="41" t="n">
        <x:f>'Evaluation Plan'!B72</x:f>
        <x:v>70</x:v>
      </x:c>
      <x:c r="C72" s="40" t="str">
        <x:f>'Evaluation Plan'!C72</x:f>
        <x:v>Place the upright glass spice container in the bowl.</x:v>
      </x:c>
      <x:c r="D72" s="40" t="str">
        <x:f>'Evaluation Plan'!D72</x:f>
        <x:v>glass spice container B (O, RU); glass spice container A (O, UD)</x:v>
      </x:c>
      <x:c r="E72" s="41" t="str">
        <x:f>'Evaluation Plan'!E72</x:f>
      </x:c>
      <x:c r="F72" s="41" t="str">
        <x:f>'Evaluation Plan'!F72</x:f>
        <x:v>157</x:v>
      </x:c>
      <x:c r="G72" s="40" t="str">
        <x:f>'Evaluation Plan'!G72</x:f>
        <x:v>Physical-state and manipulation-trajectory reference under a direct category prompt; the evaluated state word × object-category cell is intentionally absent from training.</x:v>
      </x:c>
      <x:c r="H72" s="40" t="str">
        <x:f>'Evaluation Plan'!H72</x:f>
        <x:v>glass spice container B</x:v>
      </x:c>
      <x:c r="I72" s="40" t="str"/>
      <x:c r="J72" s="45" t="str">
        <x:f>'Evaluation Plan'!J72</x:f>
        <x:v>Concept/compositional transfer</x:v>
      </x:c>
      <x:c r="K72" s="41" t="str">
        <x:f>'Evaluation Plan'!K72</x:f>
        <x:v>SR-CT16</x:v>
      </x:c>
      <x:c r="L72" s="41" t="str">
        <x:f>'Evaluation Plan'!L72</x:f>
        <x:v>RU</x:v>
      </x:c>
      <x:c r="M72" s="41" t="str">
        <x:f>'Evaluation Plan'!M72</x:f>
        <x:v>glass spice container</x:v>
      </x:c>
      <x:c r="N72" s="41" t="n">
        <x:f>'Evaluation Plan'!N72</x:f>
        <x:v>2</x:v>
      </x:c>
      <x:c r="O72" s="41" t="n">
        <x:f>'Evaluation Plan'!O72</x:f>
        <x:v>1</x:v>
      </x:c>
      <x:c r="P72" s="41" t="str">
        <x:f>'Evaluation Plan'!P72</x:f>
        <x:v>Empty</x:v>
      </x:c>
      <x:c r="Q72" s="40" t="str">
        <x:f>'Evaluation Plan'!Q72</x:f>
        <x:v>Primary held-out state-object composition</x:v>
      </x:c>
      <x:c r="R72" s="41" t="n">
        <x:f>'Evaluation Plan'!R72</x:f>
        <x:v>3</x:v>
      </x:c>
      <x:c r="S72" s="40" t="str">
        <x:f>'Evaluation Plan'!S72</x:f>
        <x:v>Build the listed same-category discrimination scene with the bowl empty.</x:v>
      </x:c>
      <x:c r="T72" s="40" t="str">
        <x:f>'Evaluation Plan'!T72</x:f>
        <x:v>Two same-category candidates share the non-queried state axis; only the held-out state word identifies the target.</x:v>
      </x:c>
      <x:c r="U72" s="40" t="n">
        <x:f>'Evaluation Plan'!U72</x:f>
        <x:v>0</x:v>
      </x:c>
    </x:row>
    <x:row r="73" ht="51" customHeight="1">
      <x:c r="A73" s="32" t="str">
        <x:v>Not collected</x:v>
      </x:c>
      <x:c r="B73" s="34" t="n">
        <x:f>'Evaluation Plan'!B73</x:f>
        <x:v>71</x:v>
      </x:c>
      <x:c r="C73" s="32" t="str">
        <x:f>'Evaluation Plan'!C73</x:f>
        <x:v>Place the upside-down glass spice container in the bowl.</x:v>
      </x:c>
      <x:c r="D73" s="32" t="str">
        <x:f>'Evaluation Plan'!D73</x:f>
        <x:v>glass spice container B (O, RU); glass spice container A (O, UD)</x:v>
      </x:c>
      <x:c r="E73" s="34" t="n">
        <x:f>'Evaluation Plan'!E73</x:f>
        <x:v>70</x:v>
      </x:c>
      <x:c r="F73" s="34" t="str">
        <x:f>'Evaluation Plan'!F73</x:f>
        <x:v>189</x:v>
      </x:c>
      <x:c r="G73" s="32" t="str">
        <x:f>'Evaluation Plan'!G73</x:f>
        <x:v>Training-supported state-object cell for the control. The evaluation scene is shared exactly with the paired transfer row, while the physical layout is manually recreated.</x:v>
      </x:c>
      <x:c r="H73" s="32" t="str">
        <x:f>'Evaluation Plan'!H73</x:f>
        <x:v>glass spice container A</x:v>
      </x:c>
      <x:c r="I73" s="32" t="str"/>
      <x:c r="J73" s="37" t="str">
        <x:f>'Evaluation Plan'!J73</x:f>
        <x:v>Matched manipulation control</x:v>
      </x:c>
      <x:c r="K73" s="34" t="str">
        <x:f>'Evaluation Plan'!K73</x:f>
        <x:v>SR-CT16</x:v>
      </x:c>
      <x:c r="L73" s="34" t="str">
        <x:f>'Evaluation Plan'!L73</x:f>
        <x:v>UD</x:v>
      </x:c>
      <x:c r="M73" s="34" t="str">
        <x:f>'Evaluation Plan'!M73</x:f>
        <x:v>glass spice container</x:v>
      </x:c>
      <x:c r="N73" s="34" t="n">
        <x:f>'Evaluation Plan'!N73</x:f>
        <x:v>2</x:v>
      </x:c>
      <x:c r="O73" s="34" t="n">
        <x:f>'Evaluation Plan'!O73</x:f>
        <x:v>1</x:v>
      </x:c>
      <x:c r="P73" s="34" t="str">
        <x:f>'Evaluation Plan'!P73</x:f>
        <x:v>Empty</x:v>
      </x:c>
      <x:c r="Q73" s="32" t="str">
        <x:f>'Evaluation Plan'!Q73</x:f>
        <x:v>Exact-scene trained state-object counterfactual</x:v>
      </x:c>
      <x:c r="R73" s="34" t="n">
        <x:f>'Evaluation Plan'!R73</x:f>
        <x:v>3</x:v>
      </x:c>
      <x:c r="S73" s="32" t="str">
        <x:f>'Evaluation Plan'!S73</x:f>
        <x:v>Reset the moved object exactly; preserve every object and state; change only the prompt and expected target.</x:v>
      </x:c>
      <x:c r="T73" s="32" t="str">
        <x:f>'Evaluation Plan'!T73</x:f>
        <x:v>The correct target switches to the other same-category instance. This cell is explicit in training and controls recognition/manipulation in the transfer scene.</x:v>
      </x:c>
      <x:c r="U73" s="32" t="n">
        <x:f>'Evaluation Plan'!U73</x:f>
        <x:v>0</x:v>
      </x:c>
    </x:row>
    <x:row r="74" ht="51" customHeight="1">
      <x:c r="A74" s="40" t="str">
        <x:v>Not collected</x:v>
      </x:c>
      <x:c r="B74" s="41" t="n">
        <x:f>'Evaluation Plan'!B74</x:f>
        <x:v>72</x:v>
      </x:c>
      <x:c r="C74" s="40" t="str">
        <x:f>'Evaluation Plan'!C74</x:f>
        <x:v>Place the upside-down white cup in the bowl.</x:v>
      </x:c>
      <x:c r="D74" s="40" t="str">
        <x:f>'Evaluation Plan'!D74</x:f>
        <x:v>white cup A (C, UD); white cup B (C, RU); brown cup A (C, RU)</x:v>
      </x:c>
      <x:c r="E74" s="41" t="str">
        <x:f>'Evaluation Plan'!E74</x:f>
      </x:c>
      <x:c r="F74" s="41" t="str">
        <x:f>'Evaluation Plan'!F74</x:f>
        <x:v>35</x:v>
      </x:c>
      <x:c r="G74" s="40" t="str">
        <x:f>'Evaluation Plan'!G74</x:f>
        <x:v>Physical-state and manipulation-trajectory reference under a direct category prompt; the evaluated state word × object-category cell is intentionally absent from training.</x:v>
      </x:c>
      <x:c r="H74" s="40" t="str">
        <x:f>'Evaluation Plan'!H74</x:f>
        <x:v>white cup A</x:v>
      </x:c>
      <x:c r="I74" s="40" t="str"/>
      <x:c r="J74" s="45" t="str">
        <x:f>'Evaluation Plan'!J74</x:f>
        <x:v>Concept/compositional transfer</x:v>
      </x:c>
      <x:c r="K74" s="41" t="str">
        <x:f>'Evaluation Plan'!K74</x:f>
        <x:v>SR-CT17</x:v>
      </x:c>
      <x:c r="L74" s="41" t="str">
        <x:f>'Evaluation Plan'!L74</x:f>
        <x:v>UD</x:v>
      </x:c>
      <x:c r="M74" s="41" t="str">
        <x:f>'Evaluation Plan'!M74</x:f>
        <x:v>white cup</x:v>
      </x:c>
      <x:c r="N74" s="41" t="n">
        <x:f>'Evaluation Plan'!N74</x:f>
        <x:v>3</x:v>
      </x:c>
      <x:c r="O74" s="41" t="n">
        <x:f>'Evaluation Plan'!O74</x:f>
        <x:v>1</x:v>
      </x:c>
      <x:c r="P74" s="41" t="str">
        <x:f>'Evaluation Plan'!P74</x:f>
        <x:v>Empty</x:v>
      </x:c>
      <x:c r="Q74" s="40" t="str">
        <x:f>'Evaluation Plan'!Q74</x:f>
        <x:v>Primary held-out state-object composition</x:v>
      </x:c>
      <x:c r="R74" s="41" t="n">
        <x:f>'Evaluation Plan'!R74</x:f>
        <x:v>3</x:v>
      </x:c>
      <x:c r="S74" s="40" t="str">
        <x:f>'Evaluation Plan'!S74</x:f>
        <x:v>Build the listed same-category discrimination scene with the bowl empty.</x:v>
      </x:c>
      <x:c r="T74" s="40" t="str">
        <x:f>'Evaluation Plan'!T74</x:f>
        <x:v>Two same-category candidates share the non-queried state axis; only the held-out state word identifies the target.</x:v>
      </x:c>
      <x:c r="U74" s="40" t="n">
        <x:f>'Evaluation Plan'!U74</x:f>
        <x:v>0</x:v>
      </x:c>
    </x:row>
    <x:row r="75" ht="51" customHeight="1">
      <x:c r="A75" s="32" t="str">
        <x:v>Not collected</x:v>
      </x:c>
      <x:c r="B75" s="34" t="n">
        <x:f>'Evaluation Plan'!B75</x:f>
        <x:v>73</x:v>
      </x:c>
      <x:c r="C75" s="32" t="str">
        <x:f>'Evaluation Plan'!C75</x:f>
        <x:v>Place the upright white cup in the bowl.</x:v>
      </x:c>
      <x:c r="D75" s="32" t="str">
        <x:f>'Evaluation Plan'!D75</x:f>
        <x:v>white cup A (C, UD); white cup B (C, RU); brown cup A (C, RU)</x:v>
      </x:c>
      <x:c r="E75" s="34" t="n">
        <x:f>'Evaluation Plan'!E75</x:f>
        <x:v>72</x:v>
      </x:c>
      <x:c r="F75" s="34" t="str">
        <x:f>'Evaluation Plan'!F75</x:f>
        <x:v>48</x:v>
      </x:c>
      <x:c r="G75" s="32" t="str">
        <x:f>'Evaluation Plan'!G75</x:f>
        <x:v>Training-supported state-object cell for the control. The evaluation scene is shared exactly with the paired transfer row, while the physical layout is manually recreated.</x:v>
      </x:c>
      <x:c r="H75" s="32" t="str">
        <x:f>'Evaluation Plan'!H75</x:f>
        <x:v>white cup B</x:v>
      </x:c>
      <x:c r="I75" s="32" t="str"/>
      <x:c r="J75" s="37" t="str">
        <x:f>'Evaluation Plan'!J75</x:f>
        <x:v>Matched manipulation control</x:v>
      </x:c>
      <x:c r="K75" s="34" t="str">
        <x:f>'Evaluation Plan'!K75</x:f>
        <x:v>SR-CT17</x:v>
      </x:c>
      <x:c r="L75" s="34" t="str">
        <x:f>'Evaluation Plan'!L75</x:f>
        <x:v>RU</x:v>
      </x:c>
      <x:c r="M75" s="34" t="str">
        <x:f>'Evaluation Plan'!M75</x:f>
        <x:v>white cup</x:v>
      </x:c>
      <x:c r="N75" s="34" t="n">
        <x:f>'Evaluation Plan'!N75</x:f>
        <x:v>3</x:v>
      </x:c>
      <x:c r="O75" s="34" t="n">
        <x:f>'Evaluation Plan'!O75</x:f>
        <x:v>1</x:v>
      </x:c>
      <x:c r="P75" s="34" t="str">
        <x:f>'Evaluation Plan'!P75</x:f>
        <x:v>Empty</x:v>
      </x:c>
      <x:c r="Q75" s="32" t="str">
        <x:f>'Evaluation Plan'!Q75</x:f>
        <x:v>Exact-scene trained state-object counterfactual</x:v>
      </x:c>
      <x:c r="R75" s="34" t="n">
        <x:f>'Evaluation Plan'!R75</x:f>
        <x:v>3</x:v>
      </x:c>
      <x:c r="S75" s="32" t="str">
        <x:f>'Evaluation Plan'!S75</x:f>
        <x:v>Reset the moved object exactly; preserve every object and state; change only the prompt and expected target.</x:v>
      </x:c>
      <x:c r="T75" s="32" t="str">
        <x:f>'Evaluation Plan'!T75</x:f>
        <x:v>The correct target switches to the other same-category instance. This cell is explicit in training and controls recognition/manipulation in the transfer scene.</x:v>
      </x:c>
      <x:c r="U75" s="32" t="n">
        <x:f>'Evaluation Plan'!U75</x:f>
        <x:v>0</x:v>
      </x:c>
    </x:row>
    <x:row r="76" ht="51" customHeight="1">
      <x:c r="A76" s="40" t="str">
        <x:v>Not collected</x:v>
      </x:c>
      <x:c r="B76" s="41" t="n">
        <x:f>'Evaluation Plan'!B76</x:f>
        <x:v>74</x:v>
      </x:c>
      <x:c r="C76" s="40" t="str">
        <x:f>'Evaluation Plan'!C76</x:f>
        <x:v>Place the open yellow-white striped cup in the bowl.</x:v>
      </x:c>
      <x:c r="D76" s="40" t="str">
        <x:f>'Evaluation Plan'!D76</x:f>
        <x:v>yellow-white striped cup B (O, RU); yellow-white striped cup A (C, RU); glass spice container B (O, RU); white cup A (C, UD)</x:v>
      </x:c>
      <x:c r="E76" s="41" t="str">
        <x:f>'Evaluation Plan'!E76</x:f>
      </x:c>
      <x:c r="F76" s="41" t="str">
        <x:f>'Evaluation Plan'!F76</x:f>
        <x:v>72</x:v>
      </x:c>
      <x:c r="G76" s="40" t="str">
        <x:f>'Evaluation Plan'!G76</x:f>
        <x:v>Physical-state and manipulation-trajectory reference under a direct category prompt; the evaluated state word × object-category cell is intentionally absent from training.</x:v>
      </x:c>
      <x:c r="H76" s="40" t="str">
        <x:f>'Evaluation Plan'!H76</x:f>
        <x:v>yellow-white striped cup B</x:v>
      </x:c>
      <x:c r="I76" s="40" t="str"/>
      <x:c r="J76" s="45" t="str">
        <x:f>'Evaluation Plan'!J76</x:f>
        <x:v>Concept/compositional transfer</x:v>
      </x:c>
      <x:c r="K76" s="41" t="str">
        <x:f>'Evaluation Plan'!K76</x:f>
        <x:v>SR-CT18</x:v>
      </x:c>
      <x:c r="L76" s="41" t="str">
        <x:f>'Evaluation Plan'!L76</x:f>
        <x:v>O</x:v>
      </x:c>
      <x:c r="M76" s="41" t="str">
        <x:f>'Evaluation Plan'!M76</x:f>
        <x:v>yellow-white striped cup</x:v>
      </x:c>
      <x:c r="N76" s="41" t="n">
        <x:f>'Evaluation Plan'!N76</x:f>
        <x:v>4</x:v>
      </x:c>
      <x:c r="O76" s="41" t="n">
        <x:f>'Evaluation Plan'!O76</x:f>
        <x:v>1</x:v>
      </x:c>
      <x:c r="P76" s="41" t="str">
        <x:f>'Evaluation Plan'!P76</x:f>
        <x:v>Empty</x:v>
      </x:c>
      <x:c r="Q76" s="40" t="str">
        <x:f>'Evaluation Plan'!Q76</x:f>
        <x:v>Primary held-out state-object composition</x:v>
      </x:c>
      <x:c r="R76" s="41" t="n">
        <x:f>'Evaluation Plan'!R76</x:f>
        <x:v>3</x:v>
      </x:c>
      <x:c r="S76" s="40" t="str">
        <x:f>'Evaluation Plan'!S76</x:f>
        <x:v>Build the listed same-category discrimination scene with the bowl empty.</x:v>
      </x:c>
      <x:c r="T76" s="40" t="str">
        <x:f>'Evaluation Plan'!T76</x:f>
        <x:v>Two same-category candidates share the non-queried state axis; only the held-out state word identifies the target.</x:v>
      </x:c>
      <x:c r="U76" s="40" t="n">
        <x:f>'Evaluation Plan'!U76</x:f>
        <x:v>0</x:v>
      </x:c>
    </x:row>
    <x:row r="77" ht="51" customHeight="1">
      <x:c r="A77" s="32" t="str">
        <x:v>Not collected</x:v>
      </x:c>
      <x:c r="B77" s="34" t="n">
        <x:f>'Evaluation Plan'!B77</x:f>
        <x:v>75</x:v>
      </x:c>
      <x:c r="C77" s="32" t="str">
        <x:f>'Evaluation Plan'!C77</x:f>
        <x:v>Place the closed yellow-white striped cup in the bowl.</x:v>
      </x:c>
      <x:c r="D77" s="32" t="str">
        <x:f>'Evaluation Plan'!D77</x:f>
        <x:v>yellow-white striped cup B (O, RU); yellow-white striped cup A (C, RU); glass spice container B (O, RU); white cup A (C, UD)</x:v>
      </x:c>
      <x:c r="E77" s="34" t="n">
        <x:f>'Evaluation Plan'!E77</x:f>
        <x:v>74</x:v>
      </x:c>
      <x:c r="F77" s="34" t="str">
        <x:f>'Evaluation Plan'!F77</x:f>
        <x:v>74</x:v>
      </x:c>
      <x:c r="G77" s="32" t="str">
        <x:f>'Evaluation Plan'!G77</x:f>
        <x:v>Training-supported state-object cell for the control. The evaluation scene is shared exactly with the paired transfer row, while the physical layout is manually recreated.</x:v>
      </x:c>
      <x:c r="H77" s="32" t="str">
        <x:f>'Evaluation Plan'!H77</x:f>
        <x:v>yellow-white striped cup A</x:v>
      </x:c>
      <x:c r="I77" s="32" t="str"/>
      <x:c r="J77" s="37" t="str">
        <x:f>'Evaluation Plan'!J77</x:f>
        <x:v>Matched manipulation control</x:v>
      </x:c>
      <x:c r="K77" s="34" t="str">
        <x:f>'Evaluation Plan'!K77</x:f>
        <x:v>SR-CT18</x:v>
      </x:c>
      <x:c r="L77" s="34" t="str">
        <x:f>'Evaluation Plan'!L77</x:f>
        <x:v>C</x:v>
      </x:c>
      <x:c r="M77" s="34" t="str">
        <x:f>'Evaluation Plan'!M77</x:f>
        <x:v>yellow-white striped cup</x:v>
      </x:c>
      <x:c r="N77" s="34" t="n">
        <x:f>'Evaluation Plan'!N77</x:f>
        <x:v>4</x:v>
      </x:c>
      <x:c r="O77" s="34" t="n">
        <x:f>'Evaluation Plan'!O77</x:f>
        <x:v>1</x:v>
      </x:c>
      <x:c r="P77" s="34" t="str">
        <x:f>'Evaluation Plan'!P77</x:f>
        <x:v>Empty</x:v>
      </x:c>
      <x:c r="Q77" s="32" t="str">
        <x:f>'Evaluation Plan'!Q77</x:f>
        <x:v>Exact-scene trained state-object counterfactual</x:v>
      </x:c>
      <x:c r="R77" s="34" t="n">
        <x:f>'Evaluation Plan'!R77</x:f>
        <x:v>3</x:v>
      </x:c>
      <x:c r="S77" s="32" t="str">
        <x:f>'Evaluation Plan'!S77</x:f>
        <x:v>Reset the moved object exactly; preserve every object and state; change only the prompt and expected target.</x:v>
      </x:c>
      <x:c r="T77" s="32" t="str">
        <x:f>'Evaluation Plan'!T77</x:f>
        <x:v>The correct target switches to the other same-category instance. This cell is explicit in training and controls recognition/manipulation in the transfer scene.</x:v>
      </x:c>
      <x:c r="U77" s="32" t="n">
        <x:f>'Evaluation Plan'!U77</x:f>
        <x:v>0</x:v>
      </x:c>
    </x:row>
    <x:row r="78" ht="51" customHeight="1">
      <x:c r="A78" s="40" t="str">
        <x:v>Not collected</x:v>
      </x:c>
      <x:c r="B78" s="41" t="n">
        <x:f>'Evaluation Plan'!B78</x:f>
        <x:v>76</x:v>
      </x:c>
      <x:c r="C78" s="40" t="str">
        <x:f>'Evaluation Plan'!C78</x:f>
        <x:v>Place the closed brown cup in the bowl.</x:v>
      </x:c>
      <x:c r="D78" s="40" t="str">
        <x:f>'Evaluation Plan'!D78</x:f>
        <x:v>brown cup A (C, RU); brown cup B (O, RU)</x:v>
      </x:c>
      <x:c r="E78" s="41" t="str">
        <x:f>'Evaluation Plan'!E78</x:f>
      </x:c>
      <x:c r="F78" s="41" t="str">
        <x:f>'Evaluation Plan'!F78</x:f>
        <x:v>105</x:v>
      </x:c>
      <x:c r="G78" s="40" t="str">
        <x:f>'Evaluation Plan'!G78</x:f>
        <x:v>Physical-state and manipulation-trajectory reference under a direct category prompt; the evaluated state word × object-category cell is intentionally absent from training.</x:v>
      </x:c>
      <x:c r="H78" s="40" t="str">
        <x:f>'Evaluation Plan'!H78</x:f>
        <x:v>brown cup A</x:v>
      </x:c>
      <x:c r="I78" s="40" t="str"/>
      <x:c r="J78" s="45" t="str">
        <x:f>'Evaluation Plan'!J78</x:f>
        <x:v>Concept/compositional transfer</x:v>
      </x:c>
      <x:c r="K78" s="41" t="str">
        <x:f>'Evaluation Plan'!K78</x:f>
        <x:v>SR-CT19</x:v>
      </x:c>
      <x:c r="L78" s="41" t="str">
        <x:f>'Evaluation Plan'!L78</x:f>
        <x:v>C</x:v>
      </x:c>
      <x:c r="M78" s="41" t="str">
        <x:f>'Evaluation Plan'!M78</x:f>
        <x:v>brown cup</x:v>
      </x:c>
      <x:c r="N78" s="41" t="n">
        <x:f>'Evaluation Plan'!N78</x:f>
        <x:v>2</x:v>
      </x:c>
      <x:c r="O78" s="41" t="n">
        <x:f>'Evaluation Plan'!O78</x:f>
        <x:v>1</x:v>
      </x:c>
      <x:c r="P78" s="41" t="str">
        <x:f>'Evaluation Plan'!P78</x:f>
        <x:v>Empty</x:v>
      </x:c>
      <x:c r="Q78" s="40" t="str">
        <x:f>'Evaluation Plan'!Q78</x:f>
        <x:v>Primary held-out state-object composition</x:v>
      </x:c>
      <x:c r="R78" s="41" t="n">
        <x:f>'Evaluation Plan'!R78</x:f>
        <x:v>3</x:v>
      </x:c>
      <x:c r="S78" s="40" t="str">
        <x:f>'Evaluation Plan'!S78</x:f>
        <x:v>Build the listed same-category discrimination scene with the bowl empty.</x:v>
      </x:c>
      <x:c r="T78" s="40" t="str">
        <x:f>'Evaluation Plan'!T78</x:f>
        <x:v>Two same-category candidates share the non-queried state axis; only the held-out state word identifies the target.</x:v>
      </x:c>
      <x:c r="U78" s="40" t="n">
        <x:f>'Evaluation Plan'!U78</x:f>
        <x:v>0</x:v>
      </x:c>
    </x:row>
    <x:row r="79" ht="51" customHeight="1">
      <x:c r="A79" s="32" t="str">
        <x:v>Not collected</x:v>
      </x:c>
      <x:c r="B79" s="34" t="n">
        <x:f>'Evaluation Plan'!B79</x:f>
        <x:v>77</x:v>
      </x:c>
      <x:c r="C79" s="32" t="str">
        <x:f>'Evaluation Plan'!C79</x:f>
        <x:v>Place the open brown cup in the bowl.</x:v>
      </x:c>
      <x:c r="D79" s="32" t="str">
        <x:f>'Evaluation Plan'!D79</x:f>
        <x:v>brown cup A (C, RU); brown cup B (O, RU)</x:v>
      </x:c>
      <x:c r="E79" s="34" t="n">
        <x:f>'Evaluation Plan'!E79</x:f>
        <x:v>76</x:v>
      </x:c>
      <x:c r="F79" s="34" t="str">
        <x:f>'Evaluation Plan'!F79</x:f>
        <x:v>121</x:v>
      </x:c>
      <x:c r="G79" s="32" t="str">
        <x:f>'Evaluation Plan'!G79</x:f>
        <x:v>Training-supported state-object cell for the control. The evaluation scene is shared exactly with the paired transfer row, while the physical layout is manually recreated.</x:v>
      </x:c>
      <x:c r="H79" s="32" t="str">
        <x:f>'Evaluation Plan'!H79</x:f>
        <x:v>brown cup B</x:v>
      </x:c>
      <x:c r="I79" s="32" t="str"/>
      <x:c r="J79" s="37" t="str">
        <x:f>'Evaluation Plan'!J79</x:f>
        <x:v>Matched manipulation control</x:v>
      </x:c>
      <x:c r="K79" s="34" t="str">
        <x:f>'Evaluation Plan'!K79</x:f>
        <x:v>SR-CT19</x:v>
      </x:c>
      <x:c r="L79" s="34" t="str">
        <x:f>'Evaluation Plan'!L79</x:f>
        <x:v>O</x:v>
      </x:c>
      <x:c r="M79" s="34" t="str">
        <x:f>'Evaluation Plan'!M79</x:f>
        <x:v>brown cup</x:v>
      </x:c>
      <x:c r="N79" s="34" t="n">
        <x:f>'Evaluation Plan'!N79</x:f>
        <x:v>2</x:v>
      </x:c>
      <x:c r="O79" s="34" t="n">
        <x:f>'Evaluation Plan'!O79</x:f>
        <x:v>1</x:v>
      </x:c>
      <x:c r="P79" s="34" t="str">
        <x:f>'Evaluation Plan'!P79</x:f>
        <x:v>Empty</x:v>
      </x:c>
      <x:c r="Q79" s="32" t="str">
        <x:f>'Evaluation Plan'!Q79</x:f>
        <x:v>Exact-scene trained state-object counterfactual</x:v>
      </x:c>
      <x:c r="R79" s="34" t="n">
        <x:f>'Evaluation Plan'!R79</x:f>
        <x:v>3</x:v>
      </x:c>
      <x:c r="S79" s="32" t="str">
        <x:f>'Evaluation Plan'!S79</x:f>
        <x:v>Reset the moved object exactly; preserve every object and state; change only the prompt and expected target.</x:v>
      </x:c>
      <x:c r="T79" s="32" t="str">
        <x:f>'Evaluation Plan'!T79</x:f>
        <x:v>The correct target switches to the other same-category instance. This cell is explicit in training and controls recognition/manipulation in the transfer scene.</x:v>
      </x:c>
      <x:c r="U79" s="32" t="n">
        <x:f>'Evaluation Plan'!U79</x:f>
        <x:v>0</x:v>
      </x:c>
    </x:row>
    <x:row r="80" ht="51" customHeight="1">
      <x:c r="A80" s="40" t="str">
        <x:v>Not collected</x:v>
      </x:c>
      <x:c r="B80" s="41" t="n">
        <x:f>'Evaluation Plan'!B80</x:f>
        <x:v>78</x:v>
      </x:c>
      <x:c r="C80" s="40" t="str">
        <x:f>'Evaluation Plan'!C80</x:f>
        <x:v>Place the upright glass spice container in the bowl.</x:v>
      </x:c>
      <x:c r="D80" s="40" t="str">
        <x:f>'Evaluation Plan'!D80</x:f>
        <x:v>glass spice container B (C, RU); glass spice container A (C, UD); yellow-white striped cup B (O, UD)</x:v>
      </x:c>
      <x:c r="E80" s="41" t="str">
        <x:f>'Evaluation Plan'!E80</x:f>
      </x:c>
      <x:c r="F80" s="41" t="str">
        <x:f>'Evaluation Plan'!F80</x:f>
        <x:v>179</x:v>
      </x:c>
      <x:c r="G80" s="40" t="str">
        <x:f>'Evaluation Plan'!G80</x:f>
        <x:v>Physical-state and manipulation-trajectory reference under a direct category prompt; the evaluated state word × object-category cell is intentionally absent from training.</x:v>
      </x:c>
      <x:c r="H80" s="40" t="str">
        <x:f>'Evaluation Plan'!H80</x:f>
        <x:v>glass spice container B</x:v>
      </x:c>
      <x:c r="I80" s="40" t="str"/>
      <x:c r="J80" s="45" t="str">
        <x:f>'Evaluation Plan'!J80</x:f>
        <x:v>Concept/compositional transfer</x:v>
      </x:c>
      <x:c r="K80" s="41" t="str">
        <x:f>'Evaluation Plan'!K80</x:f>
        <x:v>SR-CT20</x:v>
      </x:c>
      <x:c r="L80" s="41" t="str">
        <x:f>'Evaluation Plan'!L80</x:f>
        <x:v>RU</x:v>
      </x:c>
      <x:c r="M80" s="41" t="str">
        <x:f>'Evaluation Plan'!M80</x:f>
        <x:v>glass spice container</x:v>
      </x:c>
      <x:c r="N80" s="41" t="n">
        <x:f>'Evaluation Plan'!N80</x:f>
        <x:v>3</x:v>
      </x:c>
      <x:c r="O80" s="41" t="n">
        <x:f>'Evaluation Plan'!O80</x:f>
        <x:v>1</x:v>
      </x:c>
      <x:c r="P80" s="41" t="str">
        <x:f>'Evaluation Plan'!P80</x:f>
        <x:v>Empty</x:v>
      </x:c>
      <x:c r="Q80" s="40" t="str">
        <x:f>'Evaluation Plan'!Q80</x:f>
        <x:v>Primary held-out state-object composition</x:v>
      </x:c>
      <x:c r="R80" s="41" t="n">
        <x:f>'Evaluation Plan'!R80</x:f>
        <x:v>3</x:v>
      </x:c>
      <x:c r="S80" s="40" t="str">
        <x:f>'Evaluation Plan'!S80</x:f>
        <x:v>Build the listed same-category discrimination scene with the bowl empty.</x:v>
      </x:c>
      <x:c r="T80" s="40" t="str">
        <x:f>'Evaluation Plan'!T80</x:f>
        <x:v>Two same-category candidates share the non-queried state axis; only the held-out state word identifies the target.</x:v>
      </x:c>
      <x:c r="U80" s="40" t="n">
        <x:f>'Evaluation Plan'!U80</x:f>
        <x:v>0</x:v>
      </x:c>
    </x:row>
    <x:row r="81" ht="51" customHeight="1">
      <x:c r="A81" s="32" t="str">
        <x:v>Not collected</x:v>
      </x:c>
      <x:c r="B81" s="34" t="n">
        <x:f>'Evaluation Plan'!B81</x:f>
        <x:v>79</x:v>
      </x:c>
      <x:c r="C81" s="32" t="str">
        <x:f>'Evaluation Plan'!C81</x:f>
        <x:v>Place the upside-down glass spice container in the bowl.</x:v>
      </x:c>
      <x:c r="D81" s="32" t="str">
        <x:f>'Evaluation Plan'!D81</x:f>
        <x:v>glass spice container B (C, RU); glass spice container A (C, UD); yellow-white striped cup B (O, UD)</x:v>
      </x:c>
      <x:c r="E81" s="34" t="n">
        <x:f>'Evaluation Plan'!E81</x:f>
        <x:v>78</x:v>
      </x:c>
      <x:c r="F81" s="34" t="str">
        <x:f>'Evaluation Plan'!F81</x:f>
        <x:v>177</x:v>
      </x:c>
      <x:c r="G81" s="32" t="str">
        <x:f>'Evaluation Plan'!G81</x:f>
        <x:v>Training-supported state-object cell for the control. The evaluation scene is shared exactly with the paired transfer row, while the physical layout is manually recreated.</x:v>
      </x:c>
      <x:c r="H81" s="32" t="str">
        <x:f>'Evaluation Plan'!H81</x:f>
        <x:v>glass spice container A</x:v>
      </x:c>
      <x:c r="I81" s="32" t="str"/>
      <x:c r="J81" s="37" t="str">
        <x:f>'Evaluation Plan'!J81</x:f>
        <x:v>Matched manipulation control</x:v>
      </x:c>
      <x:c r="K81" s="34" t="str">
        <x:f>'Evaluation Plan'!K81</x:f>
        <x:v>SR-CT20</x:v>
      </x:c>
      <x:c r="L81" s="34" t="str">
        <x:f>'Evaluation Plan'!L81</x:f>
        <x:v>UD</x:v>
      </x:c>
      <x:c r="M81" s="34" t="str">
        <x:f>'Evaluation Plan'!M81</x:f>
        <x:v>glass spice container</x:v>
      </x:c>
      <x:c r="N81" s="34" t="n">
        <x:f>'Evaluation Plan'!N81</x:f>
        <x:v>3</x:v>
      </x:c>
      <x:c r="O81" s="34" t="n">
        <x:f>'Evaluation Plan'!O81</x:f>
        <x:v>1</x:v>
      </x:c>
      <x:c r="P81" s="34" t="str">
        <x:f>'Evaluation Plan'!P81</x:f>
        <x:v>Empty</x:v>
      </x:c>
      <x:c r="Q81" s="32" t="str">
        <x:f>'Evaluation Plan'!Q81</x:f>
        <x:v>Exact-scene trained state-object counterfactual</x:v>
      </x:c>
      <x:c r="R81" s="34" t="n">
        <x:f>'Evaluation Plan'!R81</x:f>
        <x:v>3</x:v>
      </x:c>
      <x:c r="S81" s="32" t="str">
        <x:f>'Evaluation Plan'!S81</x:f>
        <x:v>Reset the moved object exactly; preserve every object and state; change only the prompt and expected target.</x:v>
      </x:c>
      <x:c r="T81" s="32" t="str">
        <x:f>'Evaluation Plan'!T81</x:f>
        <x:v>The correct target switches to the other same-category instance. This cell is explicit in training and controls recognition/manipulation in the transfer scene.</x:v>
      </x:c>
      <x:c r="U81" s="32" t="n">
        <x:f>'Evaluation Plan'!U81</x:f>
        <x:v>0</x:v>
      </x:c>
    </x:row>
    <x:row r="82" ht="51" customHeight="1">
      <x:c r="A82" s="40" t="str">
        <x:v>Not collected</x:v>
      </x:c>
      <x:c r="B82" s="41" t="n">
        <x:f>'Evaluation Plan'!B82</x:f>
        <x:v>80</x:v>
      </x:c>
      <x:c r="C82" s="40" t="str">
        <x:f>'Evaluation Plan'!C82</x:f>
        <x:v>Place the upside-down white cup in the bowl.</x:v>
      </x:c>
      <x:c r="D82" s="40" t="str">
        <x:f>'Evaluation Plan'!D82</x:f>
        <x:v>white cup A (O, UD); white cup B (O, RU); glass spice container A (C, RU); yellow-white striped cup B (O, RU)</x:v>
      </x:c>
      <x:c r="E82" s="41" t="str">
        <x:f>'Evaluation Plan'!E82</x:f>
      </x:c>
      <x:c r="F82" s="41" t="str">
        <x:f>'Evaluation Plan'!F82</x:f>
        <x:v>34</x:v>
      </x:c>
      <x:c r="G82" s="40" t="str">
        <x:f>'Evaluation Plan'!G82</x:f>
        <x:v>Physical-state and manipulation-trajectory reference under a direct category prompt; the evaluated state word × object-category cell is intentionally absent from training.</x:v>
      </x:c>
      <x:c r="H82" s="40" t="str">
        <x:f>'Evaluation Plan'!H82</x:f>
        <x:v>white cup A</x:v>
      </x:c>
      <x:c r="I82" s="40" t="str"/>
      <x:c r="J82" s="45" t="str">
        <x:f>'Evaluation Plan'!J82</x:f>
        <x:v>Concept/compositional transfer</x:v>
      </x:c>
      <x:c r="K82" s="41" t="str">
        <x:f>'Evaluation Plan'!K82</x:f>
        <x:v>SR-CT21</x:v>
      </x:c>
      <x:c r="L82" s="41" t="str">
        <x:f>'Evaluation Plan'!L82</x:f>
        <x:v>UD</x:v>
      </x:c>
      <x:c r="M82" s="41" t="str">
        <x:f>'Evaluation Plan'!M82</x:f>
        <x:v>white cup</x:v>
      </x:c>
      <x:c r="N82" s="41" t="n">
        <x:f>'Evaluation Plan'!N82</x:f>
        <x:v>4</x:v>
      </x:c>
      <x:c r="O82" s="41" t="n">
        <x:f>'Evaluation Plan'!O82</x:f>
        <x:v>1</x:v>
      </x:c>
      <x:c r="P82" s="41" t="str">
        <x:f>'Evaluation Plan'!P82</x:f>
        <x:v>Empty</x:v>
      </x:c>
      <x:c r="Q82" s="40" t="str">
        <x:f>'Evaluation Plan'!Q82</x:f>
        <x:v>Primary held-out state-object composition</x:v>
      </x:c>
      <x:c r="R82" s="41" t="n">
        <x:f>'Evaluation Plan'!R82</x:f>
        <x:v>4</x:v>
      </x:c>
      <x:c r="S82" s="40" t="str">
        <x:f>'Evaluation Plan'!S82</x:f>
        <x:v>Build the listed same-category discrimination scene with the bowl empty.</x:v>
      </x:c>
      <x:c r="T82" s="40" t="str">
        <x:f>'Evaluation Plan'!T82</x:f>
        <x:v>Two same-category candidates share the non-queried state axis; only the held-out state word identifies the target.</x:v>
      </x:c>
      <x:c r="U82" s="40" t="n">
        <x:f>'Evaluation Plan'!U82</x:f>
        <x:v>0</x:v>
      </x:c>
    </x:row>
    <x:row r="83" ht="51" customHeight="1">
      <x:c r="A83" s="43" t="str">
        <x:v>Not collected</x:v>
      </x:c>
      <x:c r="B83" s="44" t="n">
        <x:f>'Evaluation Plan'!B83</x:f>
        <x:v>81</x:v>
      </x:c>
      <x:c r="C83" s="43" t="str">
        <x:f>'Evaluation Plan'!C83</x:f>
        <x:v>Place the open yellow-white striped cup in the bowl.</x:v>
      </x:c>
      <x:c r="D83" s="43" t="str">
        <x:f>'Evaluation Plan'!D83</x:f>
        <x:v>yellow-white striped cup B (O, UD); yellow-white striped cup A (C, UD)</x:v>
      </x:c>
      <x:c r="E83" s="44" t="str">
        <x:f>'Evaluation Plan'!E83</x:f>
      </x:c>
      <x:c r="F83" s="44" t="str">
        <x:f>'Evaluation Plan'!F83</x:f>
        <x:v>53</x:v>
      </x:c>
      <x:c r="G83" s="43" t="str">
        <x:f>'Evaluation Plan'!G83</x:f>
        <x:v>Physical-state and manipulation-trajectory reference under a direct category prompt; the evaluated state word × object-category cell is intentionally absent from training.</x:v>
      </x:c>
      <x:c r="H83" s="43" t="str">
        <x:f>'Evaluation Plan'!H83</x:f>
        <x:v>yellow-white striped cup B</x:v>
      </x:c>
      <x:c r="I83" s="43" t="str"/>
      <x:c r="J83" s="45" t="str">
        <x:f>'Evaluation Plan'!J83</x:f>
        <x:v>Concept/compositional transfer</x:v>
      </x:c>
      <x:c r="K83" s="44" t="str">
        <x:f>'Evaluation Plan'!K83</x:f>
        <x:v>SR-CT22</x:v>
      </x:c>
      <x:c r="L83" s="44" t="str">
        <x:f>'Evaluation Plan'!L83</x:f>
        <x:v>O</x:v>
      </x:c>
      <x:c r="M83" s="44" t="str">
        <x:f>'Evaluation Plan'!M83</x:f>
        <x:v>yellow-white striped cup</x:v>
      </x:c>
      <x:c r="N83" s="44" t="n">
        <x:f>'Evaluation Plan'!N83</x:f>
        <x:v>2</x:v>
      </x:c>
      <x:c r="O83" s="44" t="n">
        <x:f>'Evaluation Plan'!O83</x:f>
        <x:v>1</x:v>
      </x:c>
      <x:c r="P83" s="44" t="str">
        <x:f>'Evaluation Plan'!P83</x:f>
        <x:v>Empty</x:v>
      </x:c>
      <x:c r="Q83" s="43" t="str">
        <x:f>'Evaluation Plan'!Q83</x:f>
        <x:v>Primary held-out state-object composition</x:v>
      </x:c>
      <x:c r="R83" s="44" t="n">
        <x:f>'Evaluation Plan'!R83</x:f>
        <x:v>4</x:v>
      </x:c>
      <x:c r="S83" s="43" t="str">
        <x:f>'Evaluation Plan'!S83</x:f>
        <x:v>Build the listed same-category discrimination scene with the bowl empty.</x:v>
      </x:c>
      <x:c r="T83" s="43" t="str">
        <x:f>'Evaluation Plan'!T83</x:f>
        <x:v>Two same-category candidates share the non-queried state axis; only the held-out state word identifies the target.</x:v>
      </x:c>
      <x:c r="U83" s="43" t="n">
        <x:f>'Evaluation Plan'!U83</x:f>
        <x:v>0</x:v>
      </x:c>
    </x:row>
    <x:row r="84" ht="51" customHeight="1">
      <x:c r="A84" s="40" t="str">
        <x:v>Not collected</x:v>
      </x:c>
      <x:c r="B84" s="41" t="n">
        <x:f>'Evaluation Plan'!B84</x:f>
        <x:v>82</x:v>
      </x:c>
      <x:c r="C84" s="40" t="str">
        <x:f>'Evaluation Plan'!C84</x:f>
        <x:v>Place the closed brown cup in the bowl.</x:v>
      </x:c>
      <x:c r="D84" s="40" t="str">
        <x:f>'Evaluation Plan'!D84</x:f>
        <x:v>brown cup A (C, UD); brown cup B (O, UD); yellow-white striped cup A (C, UD)</x:v>
      </x:c>
      <x:c r="E84" s="41" t="str">
        <x:f>'Evaluation Plan'!E84</x:f>
      </x:c>
      <x:c r="F84" s="41" t="str">
        <x:f>'Evaluation Plan'!F84</x:f>
        <x:v>107</x:v>
      </x:c>
      <x:c r="G84" s="40" t="str">
        <x:f>'Evaluation Plan'!G84</x:f>
        <x:v>Physical-state and manipulation-trajectory reference under a direct category prompt; the evaluated state word × object-category cell is intentionally absent from training.</x:v>
      </x:c>
      <x:c r="H84" s="40" t="str">
        <x:f>'Evaluation Plan'!H84</x:f>
        <x:v>brown cup A</x:v>
      </x:c>
      <x:c r="I84" s="40" t="str"/>
      <x:c r="J84" s="45" t="str">
        <x:f>'Evaluation Plan'!J84</x:f>
        <x:v>Concept/compositional transfer</x:v>
      </x:c>
      <x:c r="K84" s="41" t="str">
        <x:f>'Evaluation Plan'!K84</x:f>
        <x:v>SR-CT23</x:v>
      </x:c>
      <x:c r="L84" s="41" t="str">
        <x:f>'Evaluation Plan'!L84</x:f>
        <x:v>C</x:v>
      </x:c>
      <x:c r="M84" s="41" t="str">
        <x:f>'Evaluation Plan'!M84</x:f>
        <x:v>brown cup</x:v>
      </x:c>
      <x:c r="N84" s="41" t="n">
        <x:f>'Evaluation Plan'!N84</x:f>
        <x:v>3</x:v>
      </x:c>
      <x:c r="O84" s="41" t="n">
        <x:f>'Evaluation Plan'!O84</x:f>
        <x:v>1</x:v>
      </x:c>
      <x:c r="P84" s="41" t="str">
        <x:f>'Evaluation Plan'!P84</x:f>
        <x:v>Empty</x:v>
      </x:c>
      <x:c r="Q84" s="40" t="str">
        <x:f>'Evaluation Plan'!Q84</x:f>
        <x:v>Primary held-out state-object composition</x:v>
      </x:c>
      <x:c r="R84" s="41" t="n">
        <x:f>'Evaluation Plan'!R84</x:f>
        <x:v>4</x:v>
      </x:c>
      <x:c r="S84" s="40" t="str">
        <x:f>'Evaluation Plan'!S84</x:f>
        <x:v>Build the listed same-category discrimination scene with the bowl empty.</x:v>
      </x:c>
      <x:c r="T84" s="40" t="str">
        <x:f>'Evaluation Plan'!T84</x:f>
        <x:v>Two same-category candidates share the non-queried state axis; only the held-out state word identifies the target.</x:v>
      </x:c>
      <x:c r="U84" s="40" t="n">
        <x:f>'Evaluation Plan'!U84</x:f>
        <x:v>0</x:v>
      </x:c>
    </x:row>
    <x:row r="85" ht="51" customHeight="1">
      <x:c r="A85" s="43" t="str">
        <x:v>Not collected</x:v>
      </x:c>
      <x:c r="B85" s="44" t="n">
        <x:f>'Evaluation Plan'!B85</x:f>
        <x:v>83</x:v>
      </x:c>
      <x:c r="C85" s="43" t="str">
        <x:f>'Evaluation Plan'!C85</x:f>
        <x:v>Place the upright glass spice container in the bowl.</x:v>
      </x:c>
      <x:c r="D85" s="43" t="str">
        <x:f>'Evaluation Plan'!D85</x:f>
        <x:v>glass spice container B (O, RU); glass spice container A (O, UD); brown cup B (O, UD); white cup A (C, RU)</x:v>
      </x:c>
      <x:c r="E85" s="44" t="str">
        <x:f>'Evaluation Plan'!E85</x:f>
      </x:c>
      <x:c r="F85" s="44" t="str">
        <x:f>'Evaluation Plan'!F85</x:f>
        <x:v>183</x:v>
      </x:c>
      <x:c r="G85" s="43" t="str">
        <x:f>'Evaluation Plan'!G85</x:f>
        <x:v>Physical-state and manipulation-trajectory reference under a direct category prompt; the evaluated state word × object-category cell is intentionally absent from training.</x:v>
      </x:c>
      <x:c r="H85" s="43" t="str">
        <x:f>'Evaluation Plan'!H85</x:f>
        <x:v>glass spice container B</x:v>
      </x:c>
      <x:c r="I85" s="43" t="str"/>
      <x:c r="J85" s="45" t="str">
        <x:f>'Evaluation Plan'!J85</x:f>
        <x:v>Concept/compositional transfer</x:v>
      </x:c>
      <x:c r="K85" s="44" t="str">
        <x:f>'Evaluation Plan'!K85</x:f>
        <x:v>SR-CT24</x:v>
      </x:c>
      <x:c r="L85" s="44" t="str">
        <x:f>'Evaluation Plan'!L85</x:f>
        <x:v>RU</x:v>
      </x:c>
      <x:c r="M85" s="44" t="str">
        <x:f>'Evaluation Plan'!M85</x:f>
        <x:v>glass spice container</x:v>
      </x:c>
      <x:c r="N85" s="44" t="n">
        <x:f>'Evaluation Plan'!N85</x:f>
        <x:v>4</x:v>
      </x:c>
      <x:c r="O85" s="44" t="n">
        <x:f>'Evaluation Plan'!O85</x:f>
        <x:v>1</x:v>
      </x:c>
      <x:c r="P85" s="44" t="str">
        <x:f>'Evaluation Plan'!P85</x:f>
        <x:v>Empty</x:v>
      </x:c>
      <x:c r="Q85" s="43" t="str">
        <x:f>'Evaluation Plan'!Q85</x:f>
        <x:v>Primary held-out state-object composition</x:v>
      </x:c>
      <x:c r="R85" s="44" t="n">
        <x:f>'Evaluation Plan'!R85</x:f>
        <x:v>4</x:v>
      </x:c>
      <x:c r="S85" s="43" t="str">
        <x:f>'Evaluation Plan'!S85</x:f>
        <x:v>Build the listed same-category discrimination scene with the bowl empty.</x:v>
      </x:c>
      <x:c r="T85" s="43" t="str">
        <x:f>'Evaluation Plan'!T85</x:f>
        <x:v>Two same-category candidates share the non-queried state axis; only the held-out state word identifies the target.</x:v>
      </x:c>
      <x:c r="U85" s="43" t="n">
        <x:f>'Evaluation Plan'!U85</x:f>
        <x:v>0</x:v>
      </x:c>
    </x:row>
    <x:row r="86" ht="51" customHeight="1">
      <x:c r="A86" s="40" t="str">
        <x:v>Not collected</x:v>
      </x:c>
      <x:c r="B86" s="41" t="n">
        <x:f>'Evaluation Plan'!B86</x:f>
        <x:v>84</x:v>
      </x:c>
      <x:c r="C86" s="40" t="str">
        <x:f>'Evaluation Plan'!C86</x:f>
        <x:v>Place the upside-down white cup in the bowl.</x:v>
      </x:c>
      <x:c r="D86" s="40" t="str">
        <x:f>'Evaluation Plan'!D86</x:f>
        <x:v>white cup A (C, UD); white cup B (C, RU)</x:v>
      </x:c>
      <x:c r="E86" s="41" t="str">
        <x:f>'Evaluation Plan'!E86</x:f>
      </x:c>
      <x:c r="F86" s="41" t="str">
        <x:f>'Evaluation Plan'!F86</x:f>
        <x:v>39</x:v>
      </x:c>
      <x:c r="G86" s="40" t="str">
        <x:f>'Evaluation Plan'!G86</x:f>
        <x:v>Physical-state and manipulation-trajectory reference under a direct category prompt; the evaluated state word × object-category cell is intentionally absent from training.</x:v>
      </x:c>
      <x:c r="H86" s="40" t="str">
        <x:f>'Evaluation Plan'!H86</x:f>
        <x:v>white cup A</x:v>
      </x:c>
      <x:c r="I86" s="40" t="str"/>
      <x:c r="J86" s="45" t="str">
        <x:f>'Evaluation Plan'!J86</x:f>
        <x:v>Concept/compositional transfer</x:v>
      </x:c>
      <x:c r="K86" s="41" t="str">
        <x:f>'Evaluation Plan'!K86</x:f>
        <x:v>SR-CT25</x:v>
      </x:c>
      <x:c r="L86" s="41" t="str">
        <x:f>'Evaluation Plan'!L86</x:f>
        <x:v>UD</x:v>
      </x:c>
      <x:c r="M86" s="41" t="str">
        <x:f>'Evaluation Plan'!M86</x:f>
        <x:v>white cup</x:v>
      </x:c>
      <x:c r="N86" s="41" t="n">
        <x:f>'Evaluation Plan'!N86</x:f>
        <x:v>2</x:v>
      </x:c>
      <x:c r="O86" s="41" t="n">
        <x:f>'Evaluation Plan'!O86</x:f>
        <x:v>1</x:v>
      </x:c>
      <x:c r="P86" s="41" t="str">
        <x:f>'Evaluation Plan'!P86</x:f>
        <x:v>Empty</x:v>
      </x:c>
      <x:c r="Q86" s="40" t="str">
        <x:f>'Evaluation Plan'!Q86</x:f>
        <x:v>Primary held-out state-object composition</x:v>
      </x:c>
      <x:c r="R86" s="41" t="n">
        <x:f>'Evaluation Plan'!R86</x:f>
        <x:v>4</x:v>
      </x:c>
      <x:c r="S86" s="40" t="str">
        <x:f>'Evaluation Plan'!S86</x:f>
        <x:v>Build the listed same-category discrimination scene with the bowl empty.</x:v>
      </x:c>
      <x:c r="T86" s="40" t="str">
        <x:f>'Evaluation Plan'!T86</x:f>
        <x:v>Two same-category candidates share the non-queried state axis; only the held-out state word identifies the target.</x:v>
      </x:c>
      <x:c r="U86" s="40" t="n">
        <x:f>'Evaluation Plan'!U86</x:f>
        <x:v>0</x:v>
      </x:c>
    </x:row>
    <x:row r="87" ht="51" customHeight="1">
      <x:c r="A87" s="43" t="str">
        <x:v>Not collected</x:v>
      </x:c>
      <x:c r="B87" s="44" t="n">
        <x:f>'Evaluation Plan'!B87</x:f>
        <x:v>85</x:v>
      </x:c>
      <x:c r="C87" s="43" t="str">
        <x:f>'Evaluation Plan'!C87</x:f>
        <x:v>Place the open yellow-white striped cup in the bowl.</x:v>
      </x:c>
      <x:c r="D87" s="43" t="str">
        <x:f>'Evaluation Plan'!D87</x:f>
        <x:v>yellow-white striped cup B (O, RU); yellow-white striped cup A (C, RU); brown cup B (O, RU)</x:v>
      </x:c>
      <x:c r="E87" s="44" t="str">
        <x:f>'Evaluation Plan'!E87</x:f>
      </x:c>
      <x:c r="F87" s="44" t="str">
        <x:f>'Evaluation Plan'!F87</x:f>
        <x:v>64</x:v>
      </x:c>
      <x:c r="G87" s="43" t="str">
        <x:f>'Evaluation Plan'!G87</x:f>
        <x:v>Physical-state and manipulation-trajectory reference under a direct category prompt; the evaluated state word × object-category cell is intentionally absent from training.</x:v>
      </x:c>
      <x:c r="H87" s="43" t="str">
        <x:f>'Evaluation Plan'!H87</x:f>
        <x:v>yellow-white striped cup B</x:v>
      </x:c>
      <x:c r="I87" s="43" t="str"/>
      <x:c r="J87" s="45" t="str">
        <x:f>'Evaluation Plan'!J87</x:f>
        <x:v>Concept/compositional transfer</x:v>
      </x:c>
      <x:c r="K87" s="44" t="str">
        <x:f>'Evaluation Plan'!K87</x:f>
        <x:v>SR-CT26</x:v>
      </x:c>
      <x:c r="L87" s="44" t="str">
        <x:f>'Evaluation Plan'!L87</x:f>
        <x:v>O</x:v>
      </x:c>
      <x:c r="M87" s="44" t="str">
        <x:f>'Evaluation Plan'!M87</x:f>
        <x:v>yellow-white striped cup</x:v>
      </x:c>
      <x:c r="N87" s="44" t="n">
        <x:f>'Evaluation Plan'!N87</x:f>
        <x:v>3</x:v>
      </x:c>
      <x:c r="O87" s="44" t="n">
        <x:f>'Evaluation Plan'!O87</x:f>
        <x:v>1</x:v>
      </x:c>
      <x:c r="P87" s="44" t="str">
        <x:f>'Evaluation Plan'!P87</x:f>
        <x:v>Empty</x:v>
      </x:c>
      <x:c r="Q87" s="43" t="str">
        <x:f>'Evaluation Plan'!Q87</x:f>
        <x:v>Primary held-out state-object composition</x:v>
      </x:c>
      <x:c r="R87" s="44" t="n">
        <x:f>'Evaluation Plan'!R87</x:f>
        <x:v>4</x:v>
      </x:c>
      <x:c r="S87" s="43" t="str">
        <x:f>'Evaluation Plan'!S87</x:f>
        <x:v>Build the listed same-category discrimination scene with the bowl empty.</x:v>
      </x:c>
      <x:c r="T87" s="43" t="str">
        <x:f>'Evaluation Plan'!T87</x:f>
        <x:v>Two same-category candidates share the non-queried state axis; only the held-out state word identifies the target.</x:v>
      </x:c>
      <x:c r="U87" s="43" t="n">
        <x:f>'Evaluation Plan'!U87</x:f>
        <x:v>0</x:v>
      </x:c>
    </x:row>
    <x:row r="88" ht="51" customHeight="1">
      <x:c r="A88" s="40" t="str">
        <x:v>Not collected</x:v>
      </x:c>
      <x:c r="B88" s="41" t="n">
        <x:f>'Evaluation Plan'!B88</x:f>
        <x:v>86</x:v>
      </x:c>
      <x:c r="C88" s="40" t="str">
        <x:f>'Evaluation Plan'!C88</x:f>
        <x:v>Place the closed brown cup in the bowl.</x:v>
      </x:c>
      <x:c r="D88" s="40" t="str">
        <x:f>'Evaluation Plan'!D88</x:f>
        <x:v>brown cup A (C, RU); brown cup B (O, RU); glass spice container A (C, UD); white cup B (O, UD)</x:v>
      </x:c>
      <x:c r="E88" s="41" t="str">
        <x:f>'Evaluation Plan'!E88</x:f>
      </x:c>
      <x:c r="F88" s="41" t="str">
        <x:f>'Evaluation Plan'!F88</x:f>
        <x:v>143</x:v>
      </x:c>
      <x:c r="G88" s="40" t="str">
        <x:f>'Evaluation Plan'!G88</x:f>
        <x:v>Physical-state and manipulation-trajectory reference under a direct category prompt; the evaluated state word × object-category cell is intentionally absent from training.</x:v>
      </x:c>
      <x:c r="H88" s="40" t="str">
        <x:f>'Evaluation Plan'!H88</x:f>
        <x:v>brown cup A</x:v>
      </x:c>
      <x:c r="I88" s="40" t="str"/>
      <x:c r="J88" s="45" t="str">
        <x:f>'Evaluation Plan'!J88</x:f>
        <x:v>Concept/compositional transfer</x:v>
      </x:c>
      <x:c r="K88" s="41" t="str">
        <x:f>'Evaluation Plan'!K88</x:f>
        <x:v>SR-CT27</x:v>
      </x:c>
      <x:c r="L88" s="41" t="str">
        <x:f>'Evaluation Plan'!L88</x:f>
        <x:v>C</x:v>
      </x:c>
      <x:c r="M88" s="41" t="str">
        <x:f>'Evaluation Plan'!M88</x:f>
        <x:v>brown cup</x:v>
      </x:c>
      <x:c r="N88" s="41" t="n">
        <x:f>'Evaluation Plan'!N88</x:f>
        <x:v>4</x:v>
      </x:c>
      <x:c r="O88" s="41" t="n">
        <x:f>'Evaluation Plan'!O88</x:f>
        <x:v>1</x:v>
      </x:c>
      <x:c r="P88" s="41" t="str">
        <x:f>'Evaluation Plan'!P88</x:f>
        <x:v>Empty</x:v>
      </x:c>
      <x:c r="Q88" s="40" t="str">
        <x:f>'Evaluation Plan'!Q88</x:f>
        <x:v>Primary held-out state-object composition</x:v>
      </x:c>
      <x:c r="R88" s="41" t="n">
        <x:f>'Evaluation Plan'!R88</x:f>
        <x:v>4</x:v>
      </x:c>
      <x:c r="S88" s="40" t="str">
        <x:f>'Evaluation Plan'!S88</x:f>
        <x:v>Build the listed same-category discrimination scene with the bowl empty.</x:v>
      </x:c>
      <x:c r="T88" s="40" t="str">
        <x:f>'Evaluation Plan'!T88</x:f>
        <x:v>Two same-category candidates share the non-queried state axis; only the held-out state word identifies the target.</x:v>
      </x:c>
      <x:c r="U88" s="40" t="n">
        <x:f>'Evaluation Plan'!U88</x:f>
        <x:v>0</x:v>
      </x:c>
    </x:row>
    <x:row r="89" ht="51" customHeight="1">
      <x:c r="A89" s="43" t="str">
        <x:v>Not collected</x:v>
      </x:c>
      <x:c r="B89" s="44" t="n">
        <x:f>'Evaluation Plan'!B89</x:f>
        <x:v>87</x:v>
      </x:c>
      <x:c r="C89" s="43" t="str">
        <x:f>'Evaluation Plan'!C89</x:f>
        <x:v>Place the upright glass spice container in the bowl.</x:v>
      </x:c>
      <x:c r="D89" s="43" t="str">
        <x:f>'Evaluation Plan'!D89</x:f>
        <x:v>glass spice container B (C, RU); glass spice container A (C, UD)</x:v>
      </x:c>
      <x:c r="E89" s="44" t="str">
        <x:f>'Evaluation Plan'!E89</x:f>
      </x:c>
      <x:c r="F89" s="44" t="str">
        <x:f>'Evaluation Plan'!F89</x:f>
        <x:v>182</x:v>
      </x:c>
      <x:c r="G89" s="43" t="str">
        <x:f>'Evaluation Plan'!G89</x:f>
        <x:v>Physical-state and manipulation-trajectory reference under a direct category prompt; the evaluated state word × object-category cell is intentionally absent from training.</x:v>
      </x:c>
      <x:c r="H89" s="43" t="str">
        <x:f>'Evaluation Plan'!H89</x:f>
        <x:v>glass spice container B</x:v>
      </x:c>
      <x:c r="I89" s="43" t="str"/>
      <x:c r="J89" s="45" t="str">
        <x:f>'Evaluation Plan'!J89</x:f>
        <x:v>Concept/compositional transfer</x:v>
      </x:c>
      <x:c r="K89" s="44" t="str">
        <x:f>'Evaluation Plan'!K89</x:f>
        <x:v>SR-CT28</x:v>
      </x:c>
      <x:c r="L89" s="44" t="str">
        <x:f>'Evaluation Plan'!L89</x:f>
        <x:v>RU</x:v>
      </x:c>
      <x:c r="M89" s="44" t="str">
        <x:f>'Evaluation Plan'!M89</x:f>
        <x:v>glass spice container</x:v>
      </x:c>
      <x:c r="N89" s="44" t="n">
        <x:f>'Evaluation Plan'!N89</x:f>
        <x:v>2</x:v>
      </x:c>
      <x:c r="O89" s="44" t="n">
        <x:f>'Evaluation Plan'!O89</x:f>
        <x:v>1</x:v>
      </x:c>
      <x:c r="P89" s="44" t="str">
        <x:f>'Evaluation Plan'!P89</x:f>
        <x:v>Empty</x:v>
      </x:c>
      <x:c r="Q89" s="43" t="str">
        <x:f>'Evaluation Plan'!Q89</x:f>
        <x:v>Primary held-out state-object composition</x:v>
      </x:c>
      <x:c r="R89" s="44" t="n">
        <x:f>'Evaluation Plan'!R89</x:f>
        <x:v>4</x:v>
      </x:c>
      <x:c r="S89" s="43" t="str">
        <x:f>'Evaluation Plan'!S89</x:f>
        <x:v>Build the listed same-category discrimination scene with the bowl empty.</x:v>
      </x:c>
      <x:c r="T89" s="43" t="str">
        <x:f>'Evaluation Plan'!T89</x:f>
        <x:v>Two same-category candidates share the non-queried state axis; only the held-out state word identifies the target.</x:v>
      </x:c>
      <x:c r="U89" s="43" t="n">
        <x:f>'Evaluation Plan'!U89</x:f>
        <x:v>0</x:v>
      </x:c>
    </x:row>
    <x:row r="90" ht="51" customHeight="1">
      <x:c r="A90" s="40" t="str">
        <x:v>Not collected</x:v>
      </x:c>
      <x:c r="B90" s="41" t="n">
        <x:f>'Evaluation Plan'!B90</x:f>
        <x:v>88</x:v>
      </x:c>
      <x:c r="C90" s="40" t="str">
        <x:f>'Evaluation Plan'!C90</x:f>
        <x:v>Place the upside-down white cup in the bowl.</x:v>
      </x:c>
      <x:c r="D90" s="40" t="str">
        <x:f>'Evaluation Plan'!D90</x:f>
        <x:v>white cup A (O, UD); white cup B (O, RU); brown cup A (C, RU)</x:v>
      </x:c>
      <x:c r="E90" s="41" t="str">
        <x:f>'Evaluation Plan'!E90</x:f>
      </x:c>
      <x:c r="F90" s="41" t="str">
        <x:f>'Evaluation Plan'!F90</x:f>
        <x:v>49</x:v>
      </x:c>
      <x:c r="G90" s="40" t="str">
        <x:f>'Evaluation Plan'!G90</x:f>
        <x:v>Physical-state and manipulation-trajectory reference under a direct category prompt; the evaluated state word × object-category cell is intentionally absent from training.</x:v>
      </x:c>
      <x:c r="H90" s="40" t="str">
        <x:f>'Evaluation Plan'!H90</x:f>
        <x:v>white cup A</x:v>
      </x:c>
      <x:c r="I90" s="40" t="str"/>
      <x:c r="J90" s="45" t="str">
        <x:f>'Evaluation Plan'!J90</x:f>
        <x:v>Concept/compositional transfer</x:v>
      </x:c>
      <x:c r="K90" s="41" t="str">
        <x:f>'Evaluation Plan'!K90</x:f>
        <x:v>SR-CT29</x:v>
      </x:c>
      <x:c r="L90" s="41" t="str">
        <x:f>'Evaluation Plan'!L90</x:f>
        <x:v>UD</x:v>
      </x:c>
      <x:c r="M90" s="41" t="str">
        <x:f>'Evaluation Plan'!M90</x:f>
        <x:v>white cup</x:v>
      </x:c>
      <x:c r="N90" s="41" t="n">
        <x:f>'Evaluation Plan'!N90</x:f>
        <x:v>3</x:v>
      </x:c>
      <x:c r="O90" s="41" t="n">
        <x:f>'Evaluation Plan'!O90</x:f>
        <x:v>1</x:v>
      </x:c>
      <x:c r="P90" s="41" t="str">
        <x:f>'Evaluation Plan'!P90</x:f>
        <x:v>Empty</x:v>
      </x:c>
      <x:c r="Q90" s="40" t="str">
        <x:f>'Evaluation Plan'!Q90</x:f>
        <x:v>Primary held-out state-object composition</x:v>
      </x:c>
      <x:c r="R90" s="41" t="n">
        <x:f>'Evaluation Plan'!R90</x:f>
        <x:v>4</x:v>
      </x:c>
      <x:c r="S90" s="40" t="str">
        <x:f>'Evaluation Plan'!S90</x:f>
        <x:v>Build the listed same-category discrimination scene with the bowl empty.</x:v>
      </x:c>
      <x:c r="T90" s="40" t="str">
        <x:f>'Evaluation Plan'!T90</x:f>
        <x:v>Two same-category candidates share the non-queried state axis; only the held-out state word identifies the target.</x:v>
      </x:c>
      <x:c r="U90" s="40" t="n">
        <x:f>'Evaluation Plan'!U90</x:f>
        <x:v>0</x:v>
      </x:c>
    </x:row>
    <x:row r="91" ht="51" customHeight="1">
      <x:c r="A91" s="43" t="str">
        <x:v>Not collected</x:v>
      </x:c>
      <x:c r="B91" s="44" t="n">
        <x:f>'Evaluation Plan'!B91</x:f>
        <x:v>89</x:v>
      </x:c>
      <x:c r="C91" s="43" t="str">
        <x:f>'Evaluation Plan'!C91</x:f>
        <x:v>Place the open yellow-white striped cup in the bowl.</x:v>
      </x:c>
      <x:c r="D91" s="43" t="str">
        <x:f>'Evaluation Plan'!D91</x:f>
        <x:v>yellow-white striped cup B (O, UD); yellow-white striped cup A (C, UD); glass spice container B (O, RU); white cup A (C, UD)</x:v>
      </x:c>
      <x:c r="E91" s="44" t="str">
        <x:f>'Evaluation Plan'!E91</x:f>
      </x:c>
      <x:c r="F91" s="44" t="str">
        <x:f>'Evaluation Plan'!F91</x:f>
        <x:v>53</x:v>
      </x:c>
      <x:c r="G91" s="43" t="str">
        <x:f>'Evaluation Plan'!G91</x:f>
        <x:v>Physical-state and manipulation-trajectory reference under a direct category prompt; the evaluated state word × object-category cell is intentionally absent from training.</x:v>
      </x:c>
      <x:c r="H91" s="43" t="str">
        <x:f>'Evaluation Plan'!H91</x:f>
        <x:v>yellow-white striped cup B</x:v>
      </x:c>
      <x:c r="I91" s="43" t="str"/>
      <x:c r="J91" s="45" t="str">
        <x:f>'Evaluation Plan'!J91</x:f>
        <x:v>Concept/compositional transfer</x:v>
      </x:c>
      <x:c r="K91" s="44" t="str">
        <x:f>'Evaluation Plan'!K91</x:f>
        <x:v>SR-CT30</x:v>
      </x:c>
      <x:c r="L91" s="44" t="str">
        <x:f>'Evaluation Plan'!L91</x:f>
        <x:v>O</x:v>
      </x:c>
      <x:c r="M91" s="44" t="str">
        <x:f>'Evaluation Plan'!M91</x:f>
        <x:v>yellow-white striped cup</x:v>
      </x:c>
      <x:c r="N91" s="44" t="n">
        <x:f>'Evaluation Plan'!N91</x:f>
        <x:v>4</x:v>
      </x:c>
      <x:c r="O91" s="44" t="n">
        <x:f>'Evaluation Plan'!O91</x:f>
        <x:v>1</x:v>
      </x:c>
      <x:c r="P91" s="44" t="str">
        <x:f>'Evaluation Plan'!P91</x:f>
        <x:v>Empty</x:v>
      </x:c>
      <x:c r="Q91" s="43" t="str">
        <x:f>'Evaluation Plan'!Q91</x:f>
        <x:v>Primary held-out state-object composition</x:v>
      </x:c>
      <x:c r="R91" s="44" t="n">
        <x:f>'Evaluation Plan'!R91</x:f>
        <x:v>4</x:v>
      </x:c>
      <x:c r="S91" s="43" t="str">
        <x:f>'Evaluation Plan'!S91</x:f>
        <x:v>Build the listed same-category discrimination scene with the bowl empty.</x:v>
      </x:c>
      <x:c r="T91" s="43" t="str">
        <x:f>'Evaluation Plan'!T91</x:f>
        <x:v>Two same-category candidates share the non-queried state axis; only the held-out state word identifies the target.</x:v>
      </x:c>
      <x:c r="U91" s="43" t="n">
        <x:f>'Evaluation Plan'!U91</x:f>
        <x:v>0</x:v>
      </x:c>
    </x:row>
    <x:row r="92" ht="51" customHeight="1">
      <x:c r="A92" s="40" t="str">
        <x:v>Not collected</x:v>
      </x:c>
      <x:c r="B92" s="41" t="n">
        <x:f>'Evaluation Plan'!B92</x:f>
        <x:v>90</x:v>
      </x:c>
      <x:c r="C92" s="40" t="str">
        <x:f>'Evaluation Plan'!C92</x:f>
        <x:v>Place the closed brown cup in the bowl.</x:v>
      </x:c>
      <x:c r="D92" s="40" t="str">
        <x:f>'Evaluation Plan'!D92</x:f>
        <x:v>brown cup A (C, UD); brown cup B (O, UD)</x:v>
      </x:c>
      <x:c r="E92" s="41" t="str">
        <x:f>'Evaluation Plan'!E92</x:f>
      </x:c>
      <x:c r="F92" s="41" t="str">
        <x:f>'Evaluation Plan'!F92</x:f>
        <x:v>129</x:v>
      </x:c>
      <x:c r="G92" s="40" t="str">
        <x:f>'Evaluation Plan'!G92</x:f>
        <x:v>Physical-state and manipulation-trajectory reference under a direct category prompt; the evaluated state word × object-category cell is intentionally absent from training.</x:v>
      </x:c>
      <x:c r="H92" s="40" t="str">
        <x:f>'Evaluation Plan'!H92</x:f>
        <x:v>brown cup A</x:v>
      </x:c>
      <x:c r="I92" s="40" t="str"/>
      <x:c r="J92" s="45" t="str">
        <x:f>'Evaluation Plan'!J92</x:f>
        <x:v>Concept/compositional transfer</x:v>
      </x:c>
      <x:c r="K92" s="41" t="str">
        <x:f>'Evaluation Plan'!K92</x:f>
        <x:v>SR-CT31</x:v>
      </x:c>
      <x:c r="L92" s="41" t="str">
        <x:f>'Evaluation Plan'!L92</x:f>
        <x:v>C</x:v>
      </x:c>
      <x:c r="M92" s="41" t="str">
        <x:f>'Evaluation Plan'!M92</x:f>
        <x:v>brown cup</x:v>
      </x:c>
      <x:c r="N92" s="41" t="n">
        <x:f>'Evaluation Plan'!N92</x:f>
        <x:v>2</x:v>
      </x:c>
      <x:c r="O92" s="41" t="n">
        <x:f>'Evaluation Plan'!O92</x:f>
        <x:v>1</x:v>
      </x:c>
      <x:c r="P92" s="41" t="str">
        <x:f>'Evaluation Plan'!P92</x:f>
        <x:v>Empty</x:v>
      </x:c>
      <x:c r="Q92" s="40" t="str">
        <x:f>'Evaluation Plan'!Q92</x:f>
        <x:v>Primary held-out state-object composition</x:v>
      </x:c>
      <x:c r="R92" s="41" t="n">
        <x:f>'Evaluation Plan'!R92</x:f>
        <x:v>4</x:v>
      </x:c>
      <x:c r="S92" s="40" t="str">
        <x:f>'Evaluation Plan'!S92</x:f>
        <x:v>Build the listed same-category discrimination scene with the bowl empty.</x:v>
      </x:c>
      <x:c r="T92" s="40" t="str">
        <x:f>'Evaluation Plan'!T92</x:f>
        <x:v>Two same-category candidates share the non-queried state axis; only the held-out state word identifies the target.</x:v>
      </x:c>
      <x:c r="U92" s="40" t="n">
        <x:f>'Evaluation Plan'!U92</x:f>
        <x:v>0</x:v>
      </x:c>
    </x:row>
    <x:row r="93" ht="51" customHeight="1">
      <x:c r="A93" s="43" t="str">
        <x:v>Not collected</x:v>
      </x:c>
      <x:c r="B93" s="44" t="n">
        <x:f>'Evaluation Plan'!B93</x:f>
        <x:v>91</x:v>
      </x:c>
      <x:c r="C93" s="43" t="str">
        <x:f>'Evaluation Plan'!C93</x:f>
        <x:v>Place the upright glass spice container in the bowl.</x:v>
      </x:c>
      <x:c r="D93" s="43" t="str">
        <x:f>'Evaluation Plan'!D93</x:f>
        <x:v>glass spice container B (O, RU); glass spice container A (O, UD); yellow-white striped cup B (O, UD)</x:v>
      </x:c>
      <x:c r="E93" s="44" t="str">
        <x:f>'Evaluation Plan'!E93</x:f>
      </x:c>
      <x:c r="F93" s="44" t="str">
        <x:f>'Evaluation Plan'!F93</x:f>
        <x:v>197</x:v>
      </x:c>
      <x:c r="G93" s="43" t="str">
        <x:f>'Evaluation Plan'!G93</x:f>
        <x:v>Physical-state and manipulation-trajectory reference under a direct category prompt; the evaluated state word × object-category cell is intentionally absent from training.</x:v>
      </x:c>
      <x:c r="H93" s="43" t="str">
        <x:f>'Evaluation Plan'!H93</x:f>
        <x:v>glass spice container B</x:v>
      </x:c>
      <x:c r="I93" s="43" t="str"/>
      <x:c r="J93" s="45" t="str">
        <x:f>'Evaluation Plan'!J93</x:f>
        <x:v>Concept/compositional transfer</x:v>
      </x:c>
      <x:c r="K93" s="44" t="str">
        <x:f>'Evaluation Plan'!K93</x:f>
        <x:v>SR-CT32</x:v>
      </x:c>
      <x:c r="L93" s="44" t="str">
        <x:f>'Evaluation Plan'!L93</x:f>
        <x:v>RU</x:v>
      </x:c>
      <x:c r="M93" s="44" t="str">
        <x:f>'Evaluation Plan'!M93</x:f>
        <x:v>glass spice container</x:v>
      </x:c>
      <x:c r="N93" s="44" t="n">
        <x:f>'Evaluation Plan'!N93</x:f>
        <x:v>3</x:v>
      </x:c>
      <x:c r="O93" s="44" t="n">
        <x:f>'Evaluation Plan'!O93</x:f>
        <x:v>1</x:v>
      </x:c>
      <x:c r="P93" s="44" t="str">
        <x:f>'Evaluation Plan'!P93</x:f>
        <x:v>Empty</x:v>
      </x:c>
      <x:c r="Q93" s="43" t="str">
        <x:f>'Evaluation Plan'!Q93</x:f>
        <x:v>Primary held-out state-object composition</x:v>
      </x:c>
      <x:c r="R93" s="44" t="n">
        <x:f>'Evaluation Plan'!R93</x:f>
        <x:v>4</x:v>
      </x:c>
      <x:c r="S93" s="43" t="str">
        <x:f>'Evaluation Plan'!S93</x:f>
        <x:v>Build the listed same-category discrimination scene with the bowl empty.</x:v>
      </x:c>
      <x:c r="T93" s="43" t="str">
        <x:f>'Evaluation Plan'!T93</x:f>
        <x:v>Two same-category candidates share the non-queried state axis; only the held-out state word identifies the target.</x:v>
      </x:c>
      <x:c r="U93" s="43" t="n">
        <x:f>'Evaluation Plan'!U93</x:f>
        <x:v>0</x:v>
      </x:c>
    </x:row>
    <x:row r="94" ht="51" customHeight="1">
      <x:c r="A94" s="40" t="str">
        <x:v>Not collected</x:v>
      </x:c>
      <x:c r="B94" s="41" t="n">
        <x:f>'Evaluation Plan'!B94</x:f>
        <x:v>92</x:v>
      </x:c>
      <x:c r="C94" s="40" t="str">
        <x:f>'Evaluation Plan'!C94</x:f>
        <x:v>Place the upside-down white cup in the bowl.</x:v>
      </x:c>
      <x:c r="D94" s="40" t="str">
        <x:f>'Evaluation Plan'!D94</x:f>
        <x:v>white cup A (C, UD); white cup B (C, RU); glass spice container A (C, RU); yellow-white striped cup B (O, RU)</x:v>
      </x:c>
      <x:c r="E94" s="41" t="str">
        <x:f>'Evaluation Plan'!E94</x:f>
      </x:c>
      <x:c r="F94" s="41" t="str">
        <x:f>'Evaluation Plan'!F94</x:f>
        <x:v>35</x:v>
      </x:c>
      <x:c r="G94" s="40" t="str">
        <x:f>'Evaluation Plan'!G94</x:f>
        <x:v>Physical-state and manipulation-trajectory reference under a direct category prompt; the evaluated state word × object-category cell is intentionally absent from training.</x:v>
      </x:c>
      <x:c r="H94" s="40" t="str">
        <x:f>'Evaluation Plan'!H94</x:f>
        <x:v>white cup A</x:v>
      </x:c>
      <x:c r="I94" s="40" t="str"/>
      <x:c r="J94" s="45" t="str">
        <x:f>'Evaluation Plan'!J94</x:f>
        <x:v>Concept/compositional transfer</x:v>
      </x:c>
      <x:c r="K94" s="41" t="str">
        <x:f>'Evaluation Plan'!K94</x:f>
        <x:v>SR-CT33</x:v>
      </x:c>
      <x:c r="L94" s="41" t="str">
        <x:f>'Evaluation Plan'!L94</x:f>
        <x:v>UD</x:v>
      </x:c>
      <x:c r="M94" s="41" t="str">
        <x:f>'Evaluation Plan'!M94</x:f>
        <x:v>white cup</x:v>
      </x:c>
      <x:c r="N94" s="41" t="n">
        <x:f>'Evaluation Plan'!N94</x:f>
        <x:v>4</x:v>
      </x:c>
      <x:c r="O94" s="41" t="n">
        <x:f>'Evaluation Plan'!O94</x:f>
        <x:v>1</x:v>
      </x:c>
      <x:c r="P94" s="41" t="str">
        <x:f>'Evaluation Plan'!P94</x:f>
        <x:v>Empty</x:v>
      </x:c>
      <x:c r="Q94" s="40" t="str">
        <x:f>'Evaluation Plan'!Q94</x:f>
        <x:v>Primary held-out state-object composition</x:v>
      </x:c>
      <x:c r="R94" s="41" t="n">
        <x:f>'Evaluation Plan'!R94</x:f>
        <x:v>4</x:v>
      </x:c>
      <x:c r="S94" s="40" t="str">
        <x:f>'Evaluation Plan'!S94</x:f>
        <x:v>Build the listed same-category discrimination scene with the bowl empty.</x:v>
      </x:c>
      <x:c r="T94" s="40" t="str">
        <x:f>'Evaluation Plan'!T94</x:f>
        <x:v>Two same-category candidates share the non-queried state axis; only the held-out state word identifies the target.</x:v>
      </x:c>
      <x:c r="U94" s="40" t="n">
        <x:f>'Evaluation Plan'!U94</x:f>
        <x:v>0</x:v>
      </x:c>
    </x:row>
    <x:row r="95" ht="51" customHeight="1">
      <x:c r="A95" s="43" t="str">
        <x:v>Not collected</x:v>
      </x:c>
      <x:c r="B95" s="44" t="n">
        <x:f>'Evaluation Plan'!B95</x:f>
        <x:v>93</x:v>
      </x:c>
      <x:c r="C95" s="43" t="str">
        <x:f>'Evaluation Plan'!C95</x:f>
        <x:v>Place the open yellow-white striped cup in the bowl.</x:v>
      </x:c>
      <x:c r="D95" s="43" t="str">
        <x:f>'Evaluation Plan'!D95</x:f>
        <x:v>yellow-white striped cup B (O, RU); yellow-white striped cup A (C, RU)</x:v>
      </x:c>
      <x:c r="E95" s="44" t="str">
        <x:f>'Evaluation Plan'!E95</x:f>
      </x:c>
      <x:c r="F95" s="44" t="str">
        <x:f>'Evaluation Plan'!F95</x:f>
        <x:v>71</x:v>
      </x:c>
      <x:c r="G95" s="43" t="str">
        <x:f>'Evaluation Plan'!G95</x:f>
        <x:v>Physical-state and manipulation-trajectory reference under a direct category prompt; the evaluated state word × object-category cell is intentionally absent from training.</x:v>
      </x:c>
      <x:c r="H95" s="43" t="str">
        <x:f>'Evaluation Plan'!H95</x:f>
        <x:v>yellow-white striped cup B</x:v>
      </x:c>
      <x:c r="I95" s="43" t="str"/>
      <x:c r="J95" s="45" t="str">
        <x:f>'Evaluation Plan'!J95</x:f>
        <x:v>Concept/compositional transfer</x:v>
      </x:c>
      <x:c r="K95" s="44" t="str">
        <x:f>'Evaluation Plan'!K95</x:f>
        <x:v>SR-CT34</x:v>
      </x:c>
      <x:c r="L95" s="44" t="str">
        <x:f>'Evaluation Plan'!L95</x:f>
        <x:v>O</x:v>
      </x:c>
      <x:c r="M95" s="44" t="str">
        <x:f>'Evaluation Plan'!M95</x:f>
        <x:v>yellow-white striped cup</x:v>
      </x:c>
      <x:c r="N95" s="44" t="n">
        <x:f>'Evaluation Plan'!N95</x:f>
        <x:v>2</x:v>
      </x:c>
      <x:c r="O95" s="44" t="n">
        <x:f>'Evaluation Plan'!O95</x:f>
        <x:v>1</x:v>
      </x:c>
      <x:c r="P95" s="44" t="str">
        <x:f>'Evaluation Plan'!P95</x:f>
        <x:v>Empty</x:v>
      </x:c>
      <x:c r="Q95" s="43" t="str">
        <x:f>'Evaluation Plan'!Q95</x:f>
        <x:v>Primary held-out state-object composition</x:v>
      </x:c>
      <x:c r="R95" s="44" t="n">
        <x:f>'Evaluation Plan'!R95</x:f>
        <x:v>4</x:v>
      </x:c>
      <x:c r="S95" s="43" t="str">
        <x:f>'Evaluation Plan'!S95</x:f>
        <x:v>Build the listed same-category discrimination scene with the bowl empty.</x:v>
      </x:c>
      <x:c r="T95" s="43" t="str">
        <x:f>'Evaluation Plan'!T95</x:f>
        <x:v>Two same-category candidates share the non-queried state axis; only the held-out state word identifies the target.</x:v>
      </x:c>
      <x:c r="U95" s="43" t="n">
        <x:f>'Evaluation Plan'!U95</x:f>
        <x:v>0</x:v>
      </x:c>
    </x:row>
    <x:row r="96" ht="51" customHeight="1">
      <x:c r="A96" s="40" t="str">
        <x:v>Not collected</x:v>
      </x:c>
      <x:c r="B96" s="41" t="n">
        <x:f>'Evaluation Plan'!B96</x:f>
        <x:v>94</x:v>
      </x:c>
      <x:c r="C96" s="40" t="str">
        <x:f>'Evaluation Plan'!C96</x:f>
        <x:v>Place the closed brown cup in the bowl.</x:v>
      </x:c>
      <x:c r="D96" s="40" t="str">
        <x:f>'Evaluation Plan'!D96</x:f>
        <x:v>brown cup A (C, RU); brown cup B (O, RU); yellow-white striped cup A (C, UD)</x:v>
      </x:c>
      <x:c r="E96" s="41" t="str">
        <x:f>'Evaluation Plan'!E96</x:f>
      </x:c>
      <x:c r="F96" s="41" t="str">
        <x:f>'Evaluation Plan'!F96</x:f>
        <x:v>100</x:v>
      </x:c>
      <x:c r="G96" s="40" t="str">
        <x:f>'Evaluation Plan'!G96</x:f>
        <x:v>Physical-state and manipulation-trajectory reference under a direct category prompt; the evaluated state word × object-category cell is intentionally absent from training.</x:v>
      </x:c>
      <x:c r="H96" s="40" t="str">
        <x:f>'Evaluation Plan'!H96</x:f>
        <x:v>brown cup A</x:v>
      </x:c>
      <x:c r="I96" s="40" t="str"/>
      <x:c r="J96" s="45" t="str">
        <x:f>'Evaluation Plan'!J96</x:f>
        <x:v>Concept/compositional transfer</x:v>
      </x:c>
      <x:c r="K96" s="41" t="str">
        <x:f>'Evaluation Plan'!K96</x:f>
        <x:v>SR-CT35</x:v>
      </x:c>
      <x:c r="L96" s="41" t="str">
        <x:f>'Evaluation Plan'!L96</x:f>
        <x:v>C</x:v>
      </x:c>
      <x:c r="M96" s="41" t="str">
        <x:f>'Evaluation Plan'!M96</x:f>
        <x:v>brown cup</x:v>
      </x:c>
      <x:c r="N96" s="41" t="n">
        <x:f>'Evaluation Plan'!N96</x:f>
        <x:v>3</x:v>
      </x:c>
      <x:c r="O96" s="41" t="n">
        <x:f>'Evaluation Plan'!O96</x:f>
        <x:v>1</x:v>
      </x:c>
      <x:c r="P96" s="41" t="str">
        <x:f>'Evaluation Plan'!P96</x:f>
        <x:v>Empty</x:v>
      </x:c>
      <x:c r="Q96" s="40" t="str">
        <x:f>'Evaluation Plan'!Q96</x:f>
        <x:v>Primary held-out state-object composition</x:v>
      </x:c>
      <x:c r="R96" s="41" t="n">
        <x:f>'Evaluation Plan'!R96</x:f>
        <x:v>4</x:v>
      </x:c>
      <x:c r="S96" s="40" t="str">
        <x:f>'Evaluation Plan'!S96</x:f>
        <x:v>Build the listed same-category discrimination scene with the bowl empty.</x:v>
      </x:c>
      <x:c r="T96" s="40" t="str">
        <x:f>'Evaluation Plan'!T96</x:f>
        <x:v>Two same-category candidates share the non-queried state axis; only the held-out state word identifies the target.</x:v>
      </x:c>
      <x:c r="U96" s="40" t="n">
        <x:f>'Evaluation Plan'!U96</x:f>
        <x:v>0</x:v>
      </x:c>
    </x:row>
    <x:row r="97" ht="51" customHeight="1">
      <x:c r="A97" s="43" t="str">
        <x:v>Not collected</x:v>
      </x:c>
      <x:c r="B97" s="44" t="n">
        <x:f>'Evaluation Plan'!B97</x:f>
        <x:v>95</x:v>
      </x:c>
      <x:c r="C97" s="43" t="str">
        <x:f>'Evaluation Plan'!C97</x:f>
        <x:v>Place the upright glass spice container in the bowl.</x:v>
      </x:c>
      <x:c r="D97" s="43" t="str">
        <x:f>'Evaluation Plan'!D97</x:f>
        <x:v>glass spice container B (C, RU); glass spice container A (C, UD); brown cup B (O, UD); white cup A (C, RU)</x:v>
      </x:c>
      <x:c r="E97" s="44" t="str">
        <x:f>'Evaluation Plan'!E97</x:f>
      </x:c>
      <x:c r="F97" s="44" t="str">
        <x:f>'Evaluation Plan'!F97</x:f>
        <x:v>169</x:v>
      </x:c>
      <x:c r="G97" s="43" t="str">
        <x:f>'Evaluation Plan'!G97</x:f>
        <x:v>Physical-state and manipulation-trajectory reference under a direct category prompt; the evaluated state word × object-category cell is intentionally absent from training.</x:v>
      </x:c>
      <x:c r="H97" s="43" t="str">
        <x:f>'Evaluation Plan'!H97</x:f>
        <x:v>glass spice container B</x:v>
      </x:c>
      <x:c r="I97" s="43" t="str"/>
      <x:c r="J97" s="45" t="str">
        <x:f>'Evaluation Plan'!J97</x:f>
        <x:v>Concept/compositional transfer</x:v>
      </x:c>
      <x:c r="K97" s="44" t="str">
        <x:f>'Evaluation Plan'!K97</x:f>
        <x:v>SR-CT36</x:v>
      </x:c>
      <x:c r="L97" s="44" t="str">
        <x:f>'Evaluation Plan'!L97</x:f>
        <x:v>RU</x:v>
      </x:c>
      <x:c r="M97" s="44" t="str">
        <x:f>'Evaluation Plan'!M97</x:f>
        <x:v>glass spice container</x:v>
      </x:c>
      <x:c r="N97" s="44" t="n">
        <x:f>'Evaluation Plan'!N97</x:f>
        <x:v>4</x:v>
      </x:c>
      <x:c r="O97" s="44" t="n">
        <x:f>'Evaluation Plan'!O97</x:f>
        <x:v>1</x:v>
      </x:c>
      <x:c r="P97" s="44" t="str">
        <x:f>'Evaluation Plan'!P97</x:f>
        <x:v>Empty</x:v>
      </x:c>
      <x:c r="Q97" s="43" t="str">
        <x:f>'Evaluation Plan'!Q97</x:f>
        <x:v>Primary held-out state-object composition</x:v>
      </x:c>
      <x:c r="R97" s="44" t="n">
        <x:f>'Evaluation Plan'!R97</x:f>
        <x:v>4</x:v>
      </x:c>
      <x:c r="S97" s="43" t="str">
        <x:f>'Evaluation Plan'!S97</x:f>
        <x:v>Build the listed same-category discrimination scene with the bowl empty.</x:v>
      </x:c>
      <x:c r="T97" s="43" t="str">
        <x:f>'Evaluation Plan'!T97</x:f>
        <x:v>Two same-category candidates share the non-queried state axis; only the held-out state word identifies the target.</x:v>
      </x:c>
      <x:c r="U97" s="43" t="n">
        <x:f>'Evaluation Plan'!U97</x:f>
        <x:v>0</x:v>
      </x:c>
    </x:row>
    <x:row r="98" ht="51" customHeight="1">
      <x:c r="A98" s="40" t="str">
        <x:v>Not collected</x:v>
      </x:c>
      <x:c r="B98" s="41" t="n">
        <x:f>'Evaluation Plan'!B98</x:f>
        <x:v>96</x:v>
      </x:c>
      <x:c r="C98" s="40" t="str">
        <x:f>'Evaluation Plan'!C98</x:f>
        <x:v>Place the upside-down white cup in the bowl.</x:v>
      </x:c>
      <x:c r="D98" s="40" t="str">
        <x:f>'Evaluation Plan'!D98</x:f>
        <x:v>white cup A (O, UD); white cup B (O, RU)</x:v>
      </x:c>
      <x:c r="E98" s="41" t="str">
        <x:f>'Evaluation Plan'!E98</x:f>
      </x:c>
      <x:c r="F98" s="41" t="str">
        <x:f>'Evaluation Plan'!F98</x:f>
        <x:v>30</x:v>
      </x:c>
      <x:c r="G98" s="40" t="str">
        <x:f>'Evaluation Plan'!G98</x:f>
        <x:v>Physical-state and manipulation-trajectory reference under a direct category prompt; the evaluated state word × object-category cell is intentionally absent from training.</x:v>
      </x:c>
      <x:c r="H98" s="40" t="str">
        <x:f>'Evaluation Plan'!H98</x:f>
        <x:v>white cup A</x:v>
      </x:c>
      <x:c r="I98" s="40" t="str"/>
      <x:c r="J98" s="45" t="str">
        <x:f>'Evaluation Plan'!J98</x:f>
        <x:v>Concept/compositional transfer</x:v>
      </x:c>
      <x:c r="K98" s="41" t="str">
        <x:f>'Evaluation Plan'!K98</x:f>
        <x:v>SR-CT37</x:v>
      </x:c>
      <x:c r="L98" s="41" t="str">
        <x:f>'Evaluation Plan'!L98</x:f>
        <x:v>UD</x:v>
      </x:c>
      <x:c r="M98" s="41" t="str">
        <x:f>'Evaluation Plan'!M98</x:f>
        <x:v>white cup</x:v>
      </x:c>
      <x:c r="N98" s="41" t="n">
        <x:f>'Evaluation Plan'!N98</x:f>
        <x:v>2</x:v>
      </x:c>
      <x:c r="O98" s="41" t="n">
        <x:f>'Evaluation Plan'!O98</x:f>
        <x:v>1</x:v>
      </x:c>
      <x:c r="P98" s="41" t="str">
        <x:f>'Evaluation Plan'!P98</x:f>
        <x:v>Empty</x:v>
      </x:c>
      <x:c r="Q98" s="40" t="str">
        <x:f>'Evaluation Plan'!Q98</x:f>
        <x:v>Primary held-out state-object composition</x:v>
      </x:c>
      <x:c r="R98" s="41" t="n">
        <x:f>'Evaluation Plan'!R98</x:f>
        <x:v>4</x:v>
      </x:c>
      <x:c r="S98" s="40" t="str">
        <x:f>'Evaluation Plan'!S98</x:f>
        <x:v>Build the listed same-category discrimination scene with the bowl empty.</x:v>
      </x:c>
      <x:c r="T98" s="40" t="str">
        <x:f>'Evaluation Plan'!T98</x:f>
        <x:v>Two same-category candidates share the non-queried state axis; only the held-out state word identifies the target.</x:v>
      </x:c>
      <x:c r="U98" s="40" t="n">
        <x:f>'Evaluation Plan'!U98</x:f>
        <x:v>0</x:v>
      </x:c>
    </x:row>
    <x:row r="99" ht="51" customHeight="1">
      <x:c r="A99" s="43" t="str">
        <x:v>Not collected</x:v>
      </x:c>
      <x:c r="B99" s="44" t="n">
        <x:f>'Evaluation Plan'!B99</x:f>
        <x:v>97</x:v>
      </x:c>
      <x:c r="C99" s="43" t="str">
        <x:f>'Evaluation Plan'!C99</x:f>
        <x:v>Place the open yellow-white striped cup in the bowl.</x:v>
      </x:c>
      <x:c r="D99" s="43" t="str">
        <x:f>'Evaluation Plan'!D99</x:f>
        <x:v>yellow-white striped cup B (O, UD); yellow-white striped cup A (C, UD); brown cup B (O, RU)</x:v>
      </x:c>
      <x:c r="E99" s="44" t="str">
        <x:f>'Evaluation Plan'!E99</x:f>
      </x:c>
      <x:c r="F99" s="44" t="str">
        <x:f>'Evaluation Plan'!F99</x:f>
        <x:v>53</x:v>
      </x:c>
      <x:c r="G99" s="43" t="str">
        <x:f>'Evaluation Plan'!G99</x:f>
        <x:v>Physical-state and manipulation-trajectory reference under a direct category prompt; the evaluated state word × object-category cell is intentionally absent from training.</x:v>
      </x:c>
      <x:c r="H99" s="43" t="str">
        <x:f>'Evaluation Plan'!H99</x:f>
        <x:v>yellow-white striped cup B</x:v>
      </x:c>
      <x:c r="I99" s="43" t="str"/>
      <x:c r="J99" s="45" t="str">
        <x:f>'Evaluation Plan'!J99</x:f>
        <x:v>Concept/compositional transfer</x:v>
      </x:c>
      <x:c r="K99" s="44" t="str">
        <x:f>'Evaluation Plan'!K99</x:f>
        <x:v>SR-CT38</x:v>
      </x:c>
      <x:c r="L99" s="44" t="str">
        <x:f>'Evaluation Plan'!L99</x:f>
        <x:v>O</x:v>
      </x:c>
      <x:c r="M99" s="44" t="str">
        <x:f>'Evaluation Plan'!M99</x:f>
        <x:v>yellow-white striped cup</x:v>
      </x:c>
      <x:c r="N99" s="44" t="n">
        <x:f>'Evaluation Plan'!N99</x:f>
        <x:v>3</x:v>
      </x:c>
      <x:c r="O99" s="44" t="n">
        <x:f>'Evaluation Plan'!O99</x:f>
        <x:v>1</x:v>
      </x:c>
      <x:c r="P99" s="44" t="str">
        <x:f>'Evaluation Plan'!P99</x:f>
        <x:v>Empty</x:v>
      </x:c>
      <x:c r="Q99" s="43" t="str">
        <x:f>'Evaluation Plan'!Q99</x:f>
        <x:v>Primary held-out state-object composition</x:v>
      </x:c>
      <x:c r="R99" s="44" t="n">
        <x:f>'Evaluation Plan'!R99</x:f>
        <x:v>4</x:v>
      </x:c>
      <x:c r="S99" s="43" t="str">
        <x:f>'Evaluation Plan'!S99</x:f>
        <x:v>Build the listed same-category discrimination scene with the bowl empty.</x:v>
      </x:c>
      <x:c r="T99" s="43" t="str">
        <x:f>'Evaluation Plan'!T99</x:f>
        <x:v>Two same-category candidates share the non-queried state axis; only the held-out state word identifies the target.</x:v>
      </x:c>
      <x:c r="U99" s="43" t="n">
        <x:f>'Evaluation Plan'!U99</x:f>
        <x:v>0</x:v>
      </x:c>
    </x:row>
    <x:row r="100" ht="51" customHeight="1">
      <x:c r="A100" s="40" t="str">
        <x:v>Not collected</x:v>
      </x:c>
      <x:c r="B100" s="41" t="n">
        <x:f>'Evaluation Plan'!B100</x:f>
        <x:v>98</x:v>
      </x:c>
      <x:c r="C100" s="40" t="str">
        <x:f>'Evaluation Plan'!C100</x:f>
        <x:v>Place the closed brown cup in the bowl.</x:v>
      </x:c>
      <x:c r="D100" s="40" t="str">
        <x:f>'Evaluation Plan'!D100</x:f>
        <x:v>brown cup A (C, UD); brown cup B (O, UD); glass spice container A (C, UD); white cup B (O, UD)</x:v>
      </x:c>
      <x:c r="E100" s="41" t="str">
        <x:f>'Evaluation Plan'!E100</x:f>
      </x:c>
      <x:c r="F100" s="41" t="str">
        <x:f>'Evaluation Plan'!F100</x:f>
        <x:v>107</x:v>
      </x:c>
      <x:c r="G100" s="40" t="str">
        <x:f>'Evaluation Plan'!G100</x:f>
        <x:v>Physical-state and manipulation-trajectory reference under a direct category prompt; the evaluated state word × object-category cell is intentionally absent from training.</x:v>
      </x:c>
      <x:c r="H100" s="40" t="str">
        <x:f>'Evaluation Plan'!H100</x:f>
        <x:v>brown cup A</x:v>
      </x:c>
      <x:c r="I100" s="40" t="str"/>
      <x:c r="J100" s="45" t="str">
        <x:f>'Evaluation Plan'!J100</x:f>
        <x:v>Concept/compositional transfer</x:v>
      </x:c>
      <x:c r="K100" s="41" t="str">
        <x:f>'Evaluation Plan'!K100</x:f>
        <x:v>SR-CT39</x:v>
      </x:c>
      <x:c r="L100" s="41" t="str">
        <x:f>'Evaluation Plan'!L100</x:f>
        <x:v>C</x:v>
      </x:c>
      <x:c r="M100" s="41" t="str">
        <x:f>'Evaluation Plan'!M100</x:f>
        <x:v>brown cup</x:v>
      </x:c>
      <x:c r="N100" s="41" t="n">
        <x:f>'Evaluation Plan'!N100</x:f>
        <x:v>4</x:v>
      </x:c>
      <x:c r="O100" s="41" t="n">
        <x:f>'Evaluation Plan'!O100</x:f>
        <x:v>1</x:v>
      </x:c>
      <x:c r="P100" s="41" t="str">
        <x:f>'Evaluation Plan'!P100</x:f>
        <x:v>Empty</x:v>
      </x:c>
      <x:c r="Q100" s="40" t="str">
        <x:f>'Evaluation Plan'!Q100</x:f>
        <x:v>Primary held-out state-object composition</x:v>
      </x:c>
      <x:c r="R100" s="41" t="n">
        <x:f>'Evaluation Plan'!R100</x:f>
        <x:v>4</x:v>
      </x:c>
      <x:c r="S100" s="40" t="str">
        <x:f>'Evaluation Plan'!S100</x:f>
        <x:v>Build the listed same-category discrimination scene with the bowl empty.</x:v>
      </x:c>
      <x:c r="T100" s="40" t="str">
        <x:f>'Evaluation Plan'!T100</x:f>
        <x:v>Two same-category candidates share the non-queried state axis; only the held-out state word identifies the target.</x:v>
      </x:c>
      <x:c r="U100" s="40" t="n">
        <x:f>'Evaluation Plan'!U100</x:f>
        <x:v>0</x:v>
      </x:c>
    </x:row>
    <x:row r="101" ht="51" customHeight="1">
      <x:c r="A101" s="43" t="str">
        <x:v>Not collected</x:v>
      </x:c>
      <x:c r="B101" s="44" t="n">
        <x:f>'Evaluation Plan'!B101</x:f>
        <x:v>99</x:v>
      </x:c>
      <x:c r="C101" s="43" t="str">
        <x:f>'Evaluation Plan'!C101</x:f>
        <x:v>Place the upright glass spice container in the bowl.</x:v>
      </x:c>
      <x:c r="D101" s="43" t="str">
        <x:f>'Evaluation Plan'!D101</x:f>
        <x:v>glass spice container B (O, RU); glass spice container A (O, UD)</x:v>
      </x:c>
      <x:c r="E101" s="44" t="str">
        <x:f>'Evaluation Plan'!E101</x:f>
      </x:c>
      <x:c r="F101" s="44" t="str">
        <x:f>'Evaluation Plan'!F101</x:f>
        <x:v>153</x:v>
      </x:c>
      <x:c r="G101" s="43" t="str">
        <x:f>'Evaluation Plan'!G101</x:f>
        <x:v>Physical-state and manipulation-trajectory reference under a direct category prompt; the evaluated state word × object-category cell is intentionally absent from training.</x:v>
      </x:c>
      <x:c r="H101" s="43" t="str">
        <x:f>'Evaluation Plan'!H101</x:f>
        <x:v>glass spice container B</x:v>
      </x:c>
      <x:c r="I101" s="43" t="str"/>
      <x:c r="J101" s="45" t="str">
        <x:f>'Evaluation Plan'!J101</x:f>
        <x:v>Concept/compositional transfer</x:v>
      </x:c>
      <x:c r="K101" s="44" t="str">
        <x:f>'Evaluation Plan'!K101</x:f>
        <x:v>SR-CT40</x:v>
      </x:c>
      <x:c r="L101" s="44" t="str">
        <x:f>'Evaluation Plan'!L101</x:f>
        <x:v>RU</x:v>
      </x:c>
      <x:c r="M101" s="44" t="str">
        <x:f>'Evaluation Plan'!M101</x:f>
        <x:v>glass spice container</x:v>
      </x:c>
      <x:c r="N101" s="44" t="n">
        <x:f>'Evaluation Plan'!N101</x:f>
        <x:v>2</x:v>
      </x:c>
      <x:c r="O101" s="44" t="n">
        <x:f>'Evaluation Plan'!O101</x:f>
        <x:v>1</x:v>
      </x:c>
      <x:c r="P101" s="44" t="str">
        <x:f>'Evaluation Plan'!P101</x:f>
        <x:v>Empty</x:v>
      </x:c>
      <x:c r="Q101" s="43" t="str">
        <x:f>'Evaluation Plan'!Q101</x:f>
        <x:v>Primary held-out state-object composition</x:v>
      </x:c>
      <x:c r="R101" s="44" t="n">
        <x:f>'Evaluation Plan'!R101</x:f>
        <x:v>4</x:v>
      </x:c>
      <x:c r="S101" s="43" t="str">
        <x:f>'Evaluation Plan'!S101</x:f>
        <x:v>Build the listed same-category discrimination scene with the bowl empty.</x:v>
      </x:c>
      <x:c r="T101" s="43" t="str">
        <x:f>'Evaluation Plan'!T101</x:f>
        <x:v>Two same-category candidates share the non-queried state axis; only the held-out state word identifies the target.</x:v>
      </x:c>
      <x:c r="U101" s="43" t="n">
        <x:f>'Evaluation Plan'!U101</x:f>
        <x:v>0</x:v>
      </x:c>
    </x:row>
    <x:row r="102" ht="51" customHeight="1">
      <x:c r="A102" s="40" t="str">
        <x:v>Not collected</x:v>
      </x:c>
      <x:c r="B102" s="41" t="n">
        <x:f>'Evaluation Plan'!B102</x:f>
        <x:v>100</x:v>
      </x:c>
      <x:c r="C102" s="40" t="str">
        <x:f>'Evaluation Plan'!C102</x:f>
        <x:v>Place the upside-down white cup in the bowl.</x:v>
      </x:c>
      <x:c r="D102" s="40" t="str">
        <x:f>'Evaluation Plan'!D102</x:f>
        <x:v>white cup A (C, UD); white cup B (C, RU); brown cup A (C, RU)</x:v>
      </x:c>
      <x:c r="E102" s="41" t="str">
        <x:f>'Evaluation Plan'!E102</x:f>
      </x:c>
      <x:c r="F102" s="41" t="str">
        <x:f>'Evaluation Plan'!F102</x:f>
        <x:v>39</x:v>
      </x:c>
      <x:c r="G102" s="40" t="str">
        <x:f>'Evaluation Plan'!G102</x:f>
        <x:v>Physical-state and manipulation-trajectory reference under a direct category prompt; the evaluated state word × object-category cell is intentionally absent from training.</x:v>
      </x:c>
      <x:c r="H102" s="40" t="str">
        <x:f>'Evaluation Plan'!H102</x:f>
        <x:v>white cup A</x:v>
      </x:c>
      <x:c r="I102" s="40" t="str"/>
      <x:c r="J102" s="45" t="str">
        <x:f>'Evaluation Plan'!J102</x:f>
        <x:v>Concept/compositional transfer</x:v>
      </x:c>
      <x:c r="K102" s="41" t="str">
        <x:f>'Evaluation Plan'!K102</x:f>
        <x:v>SR-CT41</x:v>
      </x:c>
      <x:c r="L102" s="41" t="str">
        <x:f>'Evaluation Plan'!L102</x:f>
        <x:v>UD</x:v>
      </x:c>
      <x:c r="M102" s="41" t="str">
        <x:f>'Evaluation Plan'!M102</x:f>
        <x:v>white cup</x:v>
      </x:c>
      <x:c r="N102" s="41" t="n">
        <x:f>'Evaluation Plan'!N102</x:f>
        <x:v>3</x:v>
      </x:c>
      <x:c r="O102" s="41" t="n">
        <x:f>'Evaluation Plan'!O102</x:f>
        <x:v>1</x:v>
      </x:c>
      <x:c r="P102" s="41" t="str">
        <x:f>'Evaluation Plan'!P102</x:f>
        <x:v>Empty</x:v>
      </x:c>
      <x:c r="Q102" s="40" t="str">
        <x:f>'Evaluation Plan'!Q102</x:f>
        <x:v>Primary held-out state-object composition</x:v>
      </x:c>
      <x:c r="R102" s="41" t="n">
        <x:f>'Evaluation Plan'!R102</x:f>
        <x:v>4</x:v>
      </x:c>
      <x:c r="S102" s="40" t="str">
        <x:f>'Evaluation Plan'!S102</x:f>
        <x:v>Build the listed same-category discrimination scene with the bowl empty.</x:v>
      </x:c>
      <x:c r="T102" s="40" t="str">
        <x:f>'Evaluation Plan'!T102</x:f>
        <x:v>Two same-category candidates share the non-queried state axis; only the held-out state word identifies the target.</x:v>
      </x:c>
      <x:c r="U102" s="40" t="n">
        <x:f>'Evaluation Plan'!U102</x:f>
        <x:v>0</x:v>
      </x:c>
    </x:row>
    <x:row r="103" ht="51" customHeight="1">
      <x:c r="A103" s="43" t="str">
        <x:v>Not collected</x:v>
      </x:c>
      <x:c r="B103" s="44" t="n">
        <x:f>'Evaluation Plan'!B103</x:f>
        <x:v>101</x:v>
      </x:c>
      <x:c r="C103" s="43" t="str">
        <x:f>'Evaluation Plan'!C103</x:f>
        <x:v>Place the open yellow-white striped cup in the bowl.</x:v>
      </x:c>
      <x:c r="D103" s="43" t="str">
        <x:f>'Evaluation Plan'!D103</x:f>
        <x:v>yellow-white striped cup B (O, RU); yellow-white striped cup A (C, RU); glass spice container B (O, RU); white cup A (C, UD)</x:v>
      </x:c>
      <x:c r="E103" s="44" t="str">
        <x:f>'Evaluation Plan'!E103</x:f>
      </x:c>
      <x:c r="F103" s="44" t="str">
        <x:f>'Evaluation Plan'!F103</x:f>
        <x:v>72</x:v>
      </x:c>
      <x:c r="G103" s="43" t="str">
        <x:f>'Evaluation Plan'!G103</x:f>
        <x:v>Physical-state and manipulation-trajectory reference under a direct category prompt; the evaluated state word × object-category cell is intentionally absent from training.</x:v>
      </x:c>
      <x:c r="H103" s="43" t="str">
        <x:f>'Evaluation Plan'!H103</x:f>
        <x:v>yellow-white striped cup B</x:v>
      </x:c>
      <x:c r="I103" s="43" t="str"/>
      <x:c r="J103" s="45" t="str">
        <x:f>'Evaluation Plan'!J103</x:f>
        <x:v>Concept/compositional transfer</x:v>
      </x:c>
      <x:c r="K103" s="44" t="str">
        <x:f>'Evaluation Plan'!K103</x:f>
        <x:v>SR-CT42</x:v>
      </x:c>
      <x:c r="L103" s="44" t="str">
        <x:f>'Evaluation Plan'!L103</x:f>
        <x:v>O</x:v>
      </x:c>
      <x:c r="M103" s="44" t="str">
        <x:f>'Evaluation Plan'!M103</x:f>
        <x:v>yellow-white striped cup</x:v>
      </x:c>
      <x:c r="N103" s="44" t="n">
        <x:f>'Evaluation Plan'!N103</x:f>
        <x:v>4</x:v>
      </x:c>
      <x:c r="O103" s="44" t="n">
        <x:f>'Evaluation Plan'!O103</x:f>
        <x:v>1</x:v>
      </x:c>
      <x:c r="P103" s="44" t="str">
        <x:f>'Evaluation Plan'!P103</x:f>
        <x:v>Empty</x:v>
      </x:c>
      <x:c r="Q103" s="43" t="str">
        <x:f>'Evaluation Plan'!Q103</x:f>
        <x:v>Primary held-out state-object composition</x:v>
      </x:c>
      <x:c r="R103" s="44" t="n">
        <x:f>'Evaluation Plan'!R103</x:f>
        <x:v>4</x:v>
      </x:c>
      <x:c r="S103" s="43" t="str">
        <x:f>'Evaluation Plan'!S103</x:f>
        <x:v>Build the listed same-category discrimination scene with the bowl empty.</x:v>
      </x:c>
      <x:c r="T103" s="43" t="str">
        <x:f>'Evaluation Plan'!T103</x:f>
        <x:v>Two same-category candidates share the non-queried state axis; only the held-out state word identifies the target.</x:v>
      </x:c>
      <x:c r="U103" s="43" t="n">
        <x:f>'Evaluation Plan'!U103</x:f>
        <x:v>0</x:v>
      </x:c>
    </x:row>
    <x:row r="104" ht="51" customHeight="1">
      <x:c r="A104" s="40" t="str">
        <x:v>Not collected</x:v>
      </x:c>
      <x:c r="B104" s="41" t="n">
        <x:f>'Evaluation Plan'!B104</x:f>
        <x:v>102</x:v>
      </x:c>
      <x:c r="C104" s="40" t="str">
        <x:f>'Evaluation Plan'!C104</x:f>
        <x:v>Place the closed brown cup in the bowl.</x:v>
      </x:c>
      <x:c r="D104" s="40" t="str">
        <x:f>'Evaluation Plan'!D104</x:f>
        <x:v>brown cup A (C, RU); brown cup B (O, RU)</x:v>
      </x:c>
      <x:c r="E104" s="41" t="str">
        <x:f>'Evaluation Plan'!E104</x:f>
      </x:c>
      <x:c r="F104" s="41" t="str">
        <x:f>'Evaluation Plan'!F104</x:f>
        <x:v>102</x:v>
      </x:c>
      <x:c r="G104" s="40" t="str">
        <x:f>'Evaluation Plan'!G104</x:f>
        <x:v>Physical-state and manipulation-trajectory reference under a direct category prompt; the evaluated state word × object-category cell is intentionally absent from training.</x:v>
      </x:c>
      <x:c r="H104" s="40" t="str">
        <x:f>'Evaluation Plan'!H104</x:f>
        <x:v>brown cup A</x:v>
      </x:c>
      <x:c r="I104" s="40" t="str"/>
      <x:c r="J104" s="45" t="str">
        <x:f>'Evaluation Plan'!J104</x:f>
        <x:v>Concept/compositional transfer</x:v>
      </x:c>
      <x:c r="K104" s="41" t="str">
        <x:f>'Evaluation Plan'!K104</x:f>
        <x:v>SR-CT43</x:v>
      </x:c>
      <x:c r="L104" s="41" t="str">
        <x:f>'Evaluation Plan'!L104</x:f>
        <x:v>C</x:v>
      </x:c>
      <x:c r="M104" s="41" t="str">
        <x:f>'Evaluation Plan'!M104</x:f>
        <x:v>brown cup</x:v>
      </x:c>
      <x:c r="N104" s="41" t="n">
        <x:f>'Evaluation Plan'!N104</x:f>
        <x:v>2</x:v>
      </x:c>
      <x:c r="O104" s="41" t="n">
        <x:f>'Evaluation Plan'!O104</x:f>
        <x:v>1</x:v>
      </x:c>
      <x:c r="P104" s="41" t="str">
        <x:f>'Evaluation Plan'!P104</x:f>
        <x:v>Empty</x:v>
      </x:c>
      <x:c r="Q104" s="40" t="str">
        <x:f>'Evaluation Plan'!Q104</x:f>
        <x:v>Primary held-out state-object composition</x:v>
      </x:c>
      <x:c r="R104" s="41" t="n">
        <x:f>'Evaluation Plan'!R104</x:f>
        <x:v>4</x:v>
      </x:c>
      <x:c r="S104" s="40" t="str">
        <x:f>'Evaluation Plan'!S104</x:f>
        <x:v>Build the listed same-category discrimination scene with the bowl empty.</x:v>
      </x:c>
      <x:c r="T104" s="40" t="str">
        <x:f>'Evaluation Plan'!T104</x:f>
        <x:v>Two same-category candidates share the non-queried state axis; only the held-out state word identifies the target.</x:v>
      </x:c>
      <x:c r="U104" s="40" t="n">
        <x:f>'Evaluation Plan'!U104</x:f>
        <x:v>0</x:v>
      </x:c>
    </x:row>
    <x:row r="105" ht="51" customHeight="1">
      <x:c r="A105" s="43" t="str">
        <x:v>Not collected</x:v>
      </x:c>
      <x:c r="B105" s="44" t="n">
        <x:f>'Evaluation Plan'!B105</x:f>
        <x:v>103</x:v>
      </x:c>
      <x:c r="C105" s="43" t="str">
        <x:f>'Evaluation Plan'!C105</x:f>
        <x:v>Place the upright glass spice container in the bowl.</x:v>
      </x:c>
      <x:c r="D105" s="43" t="str">
        <x:f>'Evaluation Plan'!D105</x:f>
        <x:v>glass spice container B (C, RU); glass spice container A (C, UD); yellow-white striped cup B (O, UD)</x:v>
      </x:c>
      <x:c r="E105" s="44" t="str">
        <x:f>'Evaluation Plan'!E105</x:f>
      </x:c>
      <x:c r="F105" s="44" t="str">
        <x:f>'Evaluation Plan'!F105</x:f>
        <x:v>172</x:v>
      </x:c>
      <x:c r="G105" s="43" t="str">
        <x:f>'Evaluation Plan'!G105</x:f>
        <x:v>Physical-state and manipulation-trajectory reference under a direct category prompt; the evaluated state word × object-category cell is intentionally absent from training.</x:v>
      </x:c>
      <x:c r="H105" s="43" t="str">
        <x:f>'Evaluation Plan'!H105</x:f>
        <x:v>glass spice container B</x:v>
      </x:c>
      <x:c r="I105" s="43" t="str"/>
      <x:c r="J105" s="45" t="str">
        <x:f>'Evaluation Plan'!J105</x:f>
        <x:v>Concept/compositional transfer</x:v>
      </x:c>
      <x:c r="K105" s="44" t="str">
        <x:f>'Evaluation Plan'!K105</x:f>
        <x:v>SR-CT44</x:v>
      </x:c>
      <x:c r="L105" s="44" t="str">
        <x:f>'Evaluation Plan'!L105</x:f>
        <x:v>RU</x:v>
      </x:c>
      <x:c r="M105" s="44" t="str">
        <x:f>'Evaluation Plan'!M105</x:f>
        <x:v>glass spice container</x:v>
      </x:c>
      <x:c r="N105" s="44" t="n">
        <x:f>'Evaluation Plan'!N105</x:f>
        <x:v>3</x:v>
      </x:c>
      <x:c r="O105" s="44" t="n">
        <x:f>'Evaluation Plan'!O105</x:f>
        <x:v>1</x:v>
      </x:c>
      <x:c r="P105" s="44" t="str">
        <x:f>'Evaluation Plan'!P105</x:f>
        <x:v>Empty</x:v>
      </x:c>
      <x:c r="Q105" s="43" t="str">
        <x:f>'Evaluation Plan'!Q105</x:f>
        <x:v>Primary held-out state-object composition</x:v>
      </x:c>
      <x:c r="R105" s="44" t="n">
        <x:f>'Evaluation Plan'!R105</x:f>
        <x:v>4</x:v>
      </x:c>
      <x:c r="S105" s="43" t="str">
        <x:f>'Evaluation Plan'!S105</x:f>
        <x:v>Build the listed same-category discrimination scene with the bowl empty.</x:v>
      </x:c>
      <x:c r="T105" s="43" t="str">
        <x:f>'Evaluation Plan'!T105</x:f>
        <x:v>Two same-category candidates share the non-queried state axis; only the held-out state word identifies the target.</x:v>
      </x:c>
      <x:c r="U105" s="43" t="n">
        <x:f>'Evaluation Plan'!U105</x:f>
        <x:v>0</x:v>
      </x:c>
    </x:row>
    <x:row r="106" ht="51" customHeight="1">
      <x:c r="A106" s="40" t="str">
        <x:v>Not collected</x:v>
      </x:c>
      <x:c r="B106" s="41" t="n">
        <x:f>'Evaluation Plan'!B106</x:f>
        <x:v>104</x:v>
      </x:c>
      <x:c r="C106" s="40" t="str">
        <x:f>'Evaluation Plan'!C106</x:f>
        <x:v>Place the upside-down white cup in the bowl.</x:v>
      </x:c>
      <x:c r="D106" s="40" t="str">
        <x:f>'Evaluation Plan'!D106</x:f>
        <x:v>white cup A (O, UD); white cup B (O, RU); glass spice container A (C, RU); yellow-white striped cup B (O, RU)</x:v>
      </x:c>
      <x:c r="E106" s="41" t="str">
        <x:f>'Evaluation Plan'!E106</x:f>
      </x:c>
      <x:c r="F106" s="41" t="str">
        <x:f>'Evaluation Plan'!F106</x:f>
        <x:v>32</x:v>
      </x:c>
      <x:c r="G106" s="40" t="str">
        <x:f>'Evaluation Plan'!G106</x:f>
        <x:v>Physical-state and manipulation-trajectory reference under a direct category prompt; the evaluated state word × object-category cell is intentionally absent from training.</x:v>
      </x:c>
      <x:c r="H106" s="40" t="str">
        <x:f>'Evaluation Plan'!H106</x:f>
        <x:v>white cup A</x:v>
      </x:c>
      <x:c r="I106" s="40" t="str"/>
      <x:c r="J106" s="45" t="str">
        <x:f>'Evaluation Plan'!J106</x:f>
        <x:v>Concept/compositional transfer</x:v>
      </x:c>
      <x:c r="K106" s="41" t="str">
        <x:f>'Evaluation Plan'!K106</x:f>
        <x:v>SR-CT45</x:v>
      </x:c>
      <x:c r="L106" s="41" t="str">
        <x:f>'Evaluation Plan'!L106</x:f>
        <x:v>UD</x:v>
      </x:c>
      <x:c r="M106" s="41" t="str">
        <x:f>'Evaluation Plan'!M106</x:f>
        <x:v>white cup</x:v>
      </x:c>
      <x:c r="N106" s="41" t="n">
        <x:f>'Evaluation Plan'!N106</x:f>
        <x:v>4</x:v>
      </x:c>
      <x:c r="O106" s="41" t="n">
        <x:f>'Evaluation Plan'!O106</x:f>
        <x:v>1</x:v>
      </x:c>
      <x:c r="P106" s="41" t="str">
        <x:f>'Evaluation Plan'!P106</x:f>
        <x:v>Empty</x:v>
      </x:c>
      <x:c r="Q106" s="40" t="str">
        <x:f>'Evaluation Plan'!Q106</x:f>
        <x:v>Primary held-out state-object composition</x:v>
      </x:c>
      <x:c r="R106" s="41" t="n">
        <x:f>'Evaluation Plan'!R106</x:f>
        <x:v>4</x:v>
      </x:c>
      <x:c r="S106" s="40" t="str">
        <x:f>'Evaluation Plan'!S106</x:f>
        <x:v>Build the listed same-category discrimination scene with the bowl empty.</x:v>
      </x:c>
      <x:c r="T106" s="40" t="str">
        <x:f>'Evaluation Plan'!T106</x:f>
        <x:v>Two same-category candidates share the non-queried state axis; only the held-out state word identifies the target.</x:v>
      </x:c>
      <x:c r="U106" s="40" t="n">
        <x:f>'Evaluation Plan'!U106</x:f>
        <x:v>0</x:v>
      </x:c>
    </x:row>
    <x:row r="107" ht="51" customHeight="1">
      <x:c r="A107" s="43" t="str">
        <x:v>Not collected</x:v>
      </x:c>
      <x:c r="B107" s="44" t="n">
        <x:f>'Evaluation Plan'!B107</x:f>
        <x:v>105</x:v>
      </x:c>
      <x:c r="C107" s="43" t="str">
        <x:f>'Evaluation Plan'!C107</x:f>
        <x:v>Place the open yellow-white striped cup in the bowl.</x:v>
      </x:c>
      <x:c r="D107" s="43" t="str">
        <x:f>'Evaluation Plan'!D107</x:f>
        <x:v>yellow-white striped cup B (O, UD); yellow-white striped cup A (C, UD)</x:v>
      </x:c>
      <x:c r="E107" s="44" t="str">
        <x:f>'Evaluation Plan'!E107</x:f>
      </x:c>
      <x:c r="F107" s="44" t="str">
        <x:f>'Evaluation Plan'!F107</x:f>
        <x:v>53</x:v>
      </x:c>
      <x:c r="G107" s="43" t="str">
        <x:f>'Evaluation Plan'!G107</x:f>
        <x:v>Physical-state and manipulation-trajectory reference under a direct category prompt; the evaluated state word × object-category cell is intentionally absent from training.</x:v>
      </x:c>
      <x:c r="H107" s="43" t="str">
        <x:f>'Evaluation Plan'!H107</x:f>
        <x:v>yellow-white striped cup B</x:v>
      </x:c>
      <x:c r="I107" s="43" t="str"/>
      <x:c r="J107" s="45" t="str">
        <x:f>'Evaluation Plan'!J107</x:f>
        <x:v>Concept/compositional transfer</x:v>
      </x:c>
      <x:c r="K107" s="44" t="str">
        <x:f>'Evaluation Plan'!K107</x:f>
        <x:v>SR-CT46</x:v>
      </x:c>
      <x:c r="L107" s="44" t="str">
        <x:f>'Evaluation Plan'!L107</x:f>
        <x:v>O</x:v>
      </x:c>
      <x:c r="M107" s="44" t="str">
        <x:f>'Evaluation Plan'!M107</x:f>
        <x:v>yellow-white striped cup</x:v>
      </x:c>
      <x:c r="N107" s="44" t="n">
        <x:f>'Evaluation Plan'!N107</x:f>
        <x:v>2</x:v>
      </x:c>
      <x:c r="O107" s="44" t="n">
        <x:f>'Evaluation Plan'!O107</x:f>
        <x:v>1</x:v>
      </x:c>
      <x:c r="P107" s="44" t="str">
        <x:f>'Evaluation Plan'!P107</x:f>
        <x:v>Empty</x:v>
      </x:c>
      <x:c r="Q107" s="43" t="str">
        <x:f>'Evaluation Plan'!Q107</x:f>
        <x:v>Primary held-out state-object composition</x:v>
      </x:c>
      <x:c r="R107" s="44" t="n">
        <x:f>'Evaluation Plan'!R107</x:f>
        <x:v>4</x:v>
      </x:c>
      <x:c r="S107" s="43" t="str">
        <x:f>'Evaluation Plan'!S107</x:f>
        <x:v>Build the listed same-category discrimination scene with the bowl empty.</x:v>
      </x:c>
      <x:c r="T107" s="43" t="str">
        <x:f>'Evaluation Plan'!T107</x:f>
        <x:v>Two same-category candidates share the non-queried state axis; only the held-out state word identifies the target.</x:v>
      </x:c>
      <x:c r="U107" s="43" t="n">
        <x:f>'Evaluation Plan'!U107</x:f>
        <x:v>0</x:v>
      </x:c>
    </x:row>
    <x:row r="108" ht="51" customHeight="1">
      <x:c r="A108" s="40" t="str">
        <x:v>Not collected</x:v>
      </x:c>
      <x:c r="B108" s="41" t="n">
        <x:f>'Evaluation Plan'!B108</x:f>
        <x:v>106</x:v>
      </x:c>
      <x:c r="C108" s="40" t="str">
        <x:f>'Evaluation Plan'!C108</x:f>
        <x:v>Place the closed brown cup in the bowl.</x:v>
      </x:c>
      <x:c r="D108" s="40" t="str">
        <x:f>'Evaluation Plan'!D108</x:f>
        <x:v>brown cup A (C, UD); brown cup B (O, UD); yellow-white striped cup A (C, UD)</x:v>
      </x:c>
      <x:c r="E108" s="41" t="str">
        <x:f>'Evaluation Plan'!E108</x:f>
      </x:c>
      <x:c r="F108" s="41" t="str">
        <x:f>'Evaluation Plan'!F108</x:f>
        <x:v>129</x:v>
      </x:c>
      <x:c r="G108" s="40" t="str">
        <x:f>'Evaluation Plan'!G108</x:f>
        <x:v>Physical-state and manipulation-trajectory reference under a direct category prompt; the evaluated state word × object-category cell is intentionally absent from training.</x:v>
      </x:c>
      <x:c r="H108" s="40" t="str">
        <x:f>'Evaluation Plan'!H108</x:f>
        <x:v>brown cup A</x:v>
      </x:c>
      <x:c r="I108" s="40" t="str"/>
      <x:c r="J108" s="45" t="str">
        <x:f>'Evaluation Plan'!J108</x:f>
        <x:v>Concept/compositional transfer</x:v>
      </x:c>
      <x:c r="K108" s="41" t="str">
        <x:f>'Evaluation Plan'!K108</x:f>
        <x:v>SR-CT47</x:v>
      </x:c>
      <x:c r="L108" s="41" t="str">
        <x:f>'Evaluation Plan'!L108</x:f>
        <x:v>C</x:v>
      </x:c>
      <x:c r="M108" s="41" t="str">
        <x:f>'Evaluation Plan'!M108</x:f>
        <x:v>brown cup</x:v>
      </x:c>
      <x:c r="N108" s="41" t="n">
        <x:f>'Evaluation Plan'!N108</x:f>
        <x:v>3</x:v>
      </x:c>
      <x:c r="O108" s="41" t="n">
        <x:f>'Evaluation Plan'!O108</x:f>
        <x:v>1</x:v>
      </x:c>
      <x:c r="P108" s="41" t="str">
        <x:f>'Evaluation Plan'!P108</x:f>
        <x:v>Empty</x:v>
      </x:c>
      <x:c r="Q108" s="40" t="str">
        <x:f>'Evaluation Plan'!Q108</x:f>
        <x:v>Primary held-out state-object composition</x:v>
      </x:c>
      <x:c r="R108" s="41" t="n">
        <x:f>'Evaluation Plan'!R108</x:f>
        <x:v>4</x:v>
      </x:c>
      <x:c r="S108" s="40" t="str">
        <x:f>'Evaluation Plan'!S108</x:f>
        <x:v>Build the listed same-category discrimination scene with the bowl empty.</x:v>
      </x:c>
      <x:c r="T108" s="40" t="str">
        <x:f>'Evaluation Plan'!T108</x:f>
        <x:v>Two same-category candidates share the non-queried state axis; only the held-out state word identifies the target.</x:v>
      </x:c>
      <x:c r="U108" s="40" t="n">
        <x:f>'Evaluation Plan'!U108</x:f>
        <x:v>0</x:v>
      </x:c>
    </x:row>
    <x:row r="109" ht="51" customHeight="1">
      <x:c r="A109" s="43" t="str">
        <x:v>Not collected</x:v>
      </x:c>
      <x:c r="B109" s="44" t="n">
        <x:f>'Evaluation Plan'!B109</x:f>
        <x:v>107</x:v>
      </x:c>
      <x:c r="C109" s="43" t="str">
        <x:f>'Evaluation Plan'!C109</x:f>
        <x:v>Place the upright glass spice container in the bowl.</x:v>
      </x:c>
      <x:c r="D109" s="43" t="str">
        <x:f>'Evaluation Plan'!D109</x:f>
        <x:v>glass spice container B (O, RU); glass spice container A (O, UD); brown cup B (O, UD); white cup A (C, RU)</x:v>
      </x:c>
      <x:c r="E109" s="44" t="str">
        <x:f>'Evaluation Plan'!E109</x:f>
      </x:c>
      <x:c r="F109" s="44" t="str">
        <x:f>'Evaluation Plan'!F109</x:f>
        <x:v>157</x:v>
      </x:c>
      <x:c r="G109" s="43" t="str">
        <x:f>'Evaluation Plan'!G109</x:f>
        <x:v>Physical-state and manipulation-trajectory reference under a direct category prompt; the evaluated state word × object-category cell is intentionally absent from training.</x:v>
      </x:c>
      <x:c r="H109" s="43" t="str">
        <x:f>'Evaluation Plan'!H109</x:f>
        <x:v>glass spice container B</x:v>
      </x:c>
      <x:c r="I109" s="43" t="str"/>
      <x:c r="J109" s="45" t="str">
        <x:f>'Evaluation Plan'!J109</x:f>
        <x:v>Concept/compositional transfer</x:v>
      </x:c>
      <x:c r="K109" s="44" t="str">
        <x:f>'Evaluation Plan'!K109</x:f>
        <x:v>SR-CT48</x:v>
      </x:c>
      <x:c r="L109" s="44" t="str">
        <x:f>'Evaluation Plan'!L109</x:f>
        <x:v>RU</x:v>
      </x:c>
      <x:c r="M109" s="44" t="str">
        <x:f>'Evaluation Plan'!M109</x:f>
        <x:v>glass spice container</x:v>
      </x:c>
      <x:c r="N109" s="44" t="n">
        <x:f>'Evaluation Plan'!N109</x:f>
        <x:v>4</x:v>
      </x:c>
      <x:c r="O109" s="44" t="n">
        <x:f>'Evaluation Plan'!O109</x:f>
        <x:v>1</x:v>
      </x:c>
      <x:c r="P109" s="44" t="str">
        <x:f>'Evaluation Plan'!P109</x:f>
        <x:v>Empty</x:v>
      </x:c>
      <x:c r="Q109" s="43" t="str">
        <x:f>'Evaluation Plan'!Q109</x:f>
        <x:v>Primary held-out state-object composition</x:v>
      </x:c>
      <x:c r="R109" s="44" t="n">
        <x:f>'Evaluation Plan'!R109</x:f>
        <x:v>4</x:v>
      </x:c>
      <x:c r="S109" s="43" t="str">
        <x:f>'Evaluation Plan'!S109</x:f>
        <x:v>Build the listed same-category discrimination scene with the bowl empty.</x:v>
      </x:c>
      <x:c r="T109" s="43" t="str">
        <x:f>'Evaluation Plan'!T109</x:f>
        <x:v>Two same-category candidates share the non-queried state axis; only the held-out state word identifies the target.</x:v>
      </x:c>
      <x:c r="U109" s="43" t="n">
        <x:f>'Evaluation Plan'!U109</x:f>
        <x:v>0</x:v>
      </x:c>
    </x:row>
    <x:row r="110" ht="51" customHeight="1">
      <x:c r="A110" s="40" t="str">
        <x:v>Not collected</x:v>
      </x:c>
      <x:c r="B110" s="41" t="n">
        <x:f>'Evaluation Plan'!B110</x:f>
        <x:v>108</x:v>
      </x:c>
      <x:c r="C110" s="40" t="str">
        <x:f>'Evaluation Plan'!C110</x:f>
        <x:v>Place the upside-down white cup in the bowl.</x:v>
      </x:c>
      <x:c r="D110" s="40" t="str">
        <x:f>'Evaluation Plan'!D110</x:f>
        <x:v>white cup A (C, UD); white cup B (C, RU)</x:v>
      </x:c>
      <x:c r="E110" s="41" t="str">
        <x:f>'Evaluation Plan'!E110</x:f>
      </x:c>
      <x:c r="F110" s="41" t="str">
        <x:f>'Evaluation Plan'!F110</x:f>
        <x:v>35</x:v>
      </x:c>
      <x:c r="G110" s="40" t="str">
        <x:f>'Evaluation Plan'!G110</x:f>
        <x:v>Physical-state and manipulation-trajectory reference under a direct category prompt; the evaluated state word × object-category cell is intentionally absent from training.</x:v>
      </x:c>
      <x:c r="H110" s="40" t="str">
        <x:f>'Evaluation Plan'!H110</x:f>
        <x:v>white cup A</x:v>
      </x:c>
      <x:c r="I110" s="40" t="str"/>
      <x:c r="J110" s="45" t="str">
        <x:f>'Evaluation Plan'!J110</x:f>
        <x:v>Concept/compositional transfer</x:v>
      </x:c>
      <x:c r="K110" s="41" t="str">
        <x:f>'Evaluation Plan'!K110</x:f>
        <x:v>SR-CT49</x:v>
      </x:c>
      <x:c r="L110" s="41" t="str">
        <x:f>'Evaluation Plan'!L110</x:f>
        <x:v>UD</x:v>
      </x:c>
      <x:c r="M110" s="41" t="str">
        <x:f>'Evaluation Plan'!M110</x:f>
        <x:v>white cup</x:v>
      </x:c>
      <x:c r="N110" s="41" t="n">
        <x:f>'Evaluation Plan'!N110</x:f>
        <x:v>2</x:v>
      </x:c>
      <x:c r="O110" s="41" t="n">
        <x:f>'Evaluation Plan'!O110</x:f>
        <x:v>1</x:v>
      </x:c>
      <x:c r="P110" s="41" t="str">
        <x:f>'Evaluation Plan'!P110</x:f>
        <x:v>Empty</x:v>
      </x:c>
      <x:c r="Q110" s="40" t="str">
        <x:f>'Evaluation Plan'!Q110</x:f>
        <x:v>Primary held-out state-object composition</x:v>
      </x:c>
      <x:c r="R110" s="41" t="n">
        <x:f>'Evaluation Plan'!R110</x:f>
        <x:v>4</x:v>
      </x:c>
      <x:c r="S110" s="40" t="str">
        <x:f>'Evaluation Plan'!S110</x:f>
        <x:v>Build the listed same-category discrimination scene with the bowl empty.</x:v>
      </x:c>
      <x:c r="T110" s="40" t="str">
        <x:f>'Evaluation Plan'!T110</x:f>
        <x:v>Two same-category candidates share the non-queried state axis; only the held-out state word identifies the target.</x:v>
      </x:c>
      <x:c r="U110" s="40" t="n">
        <x:f>'Evaluation Plan'!U110</x:f>
        <x:v>0</x:v>
      </x:c>
    </x:row>
    <x:row r="111" ht="51" customHeight="1">
      <x:c r="A111" s="43" t="str">
        <x:v>Not collected</x:v>
      </x:c>
      <x:c r="B111" s="44" t="n">
        <x:f>'Evaluation Plan'!B111</x:f>
        <x:v>109</x:v>
      </x:c>
      <x:c r="C111" s="43" t="str">
        <x:f>'Evaluation Plan'!C111</x:f>
        <x:v>Place the open yellow-white striped cup in the bowl.</x:v>
      </x:c>
      <x:c r="D111" s="43" t="str">
        <x:f>'Evaluation Plan'!D111</x:f>
        <x:v>yellow-white striped cup B (O, RU); yellow-white striped cup A (C, RU); brown cup B (O, RU)</x:v>
      </x:c>
      <x:c r="E111" s="44" t="str">
        <x:f>'Evaluation Plan'!E111</x:f>
      </x:c>
      <x:c r="F111" s="44" t="str">
        <x:f>'Evaluation Plan'!F111</x:f>
        <x:v>64</x:v>
      </x:c>
      <x:c r="G111" s="43" t="str">
        <x:f>'Evaluation Plan'!G111</x:f>
        <x:v>Physical-state and manipulation-trajectory reference under a direct category prompt; the evaluated state word × object-category cell is intentionally absent from training.</x:v>
      </x:c>
      <x:c r="H111" s="43" t="str">
        <x:f>'Evaluation Plan'!H111</x:f>
        <x:v>yellow-white striped cup B</x:v>
      </x:c>
      <x:c r="I111" s="43" t="str"/>
      <x:c r="J111" s="45" t="str">
        <x:f>'Evaluation Plan'!J111</x:f>
        <x:v>Concept/compositional transfer</x:v>
      </x:c>
      <x:c r="K111" s="44" t="str">
        <x:f>'Evaluation Plan'!K111</x:f>
        <x:v>SR-CT50</x:v>
      </x:c>
      <x:c r="L111" s="44" t="str">
        <x:f>'Evaluation Plan'!L111</x:f>
        <x:v>O</x:v>
      </x:c>
      <x:c r="M111" s="44" t="str">
        <x:f>'Evaluation Plan'!M111</x:f>
        <x:v>yellow-white striped cup</x:v>
      </x:c>
      <x:c r="N111" s="44" t="n">
        <x:f>'Evaluation Plan'!N111</x:f>
        <x:v>3</x:v>
      </x:c>
      <x:c r="O111" s="44" t="n">
        <x:f>'Evaluation Plan'!O111</x:f>
        <x:v>1</x:v>
      </x:c>
      <x:c r="P111" s="44" t="str">
        <x:f>'Evaluation Plan'!P111</x:f>
        <x:v>Empty</x:v>
      </x:c>
      <x:c r="Q111" s="43" t="str">
        <x:f>'Evaluation Plan'!Q111</x:f>
        <x:v>Primary held-out state-object composition</x:v>
      </x:c>
      <x:c r="R111" s="44" t="n">
        <x:f>'Evaluation Plan'!R111</x:f>
        <x:v>4</x:v>
      </x:c>
      <x:c r="S111" s="43" t="str">
        <x:f>'Evaluation Plan'!S111</x:f>
        <x:v>Build the listed same-category discrimination scene with the bowl empty.</x:v>
      </x:c>
      <x:c r="T111" s="43" t="str">
        <x:f>'Evaluation Plan'!T111</x:f>
        <x:v>Two same-category candidates share the non-queried state axis; only the held-out state word identifies the target.</x:v>
      </x:c>
      <x:c r="U111" s="43" t="n">
        <x:f>'Evaluation Plan'!U111</x:f>
        <x:v>0</x:v>
      </x:c>
    </x:row>
    <x:row r="112" ht="51" customHeight="1">
      <x:c r="A112" s="40" t="str">
        <x:v>Not collected</x:v>
      </x:c>
      <x:c r="B112" s="41" t="n">
        <x:f>'Evaluation Plan'!B112</x:f>
        <x:v>110</x:v>
      </x:c>
      <x:c r="C112" s="40" t="str">
        <x:f>'Evaluation Plan'!C112</x:f>
        <x:v>Place the closed black cup in the bowl.</x:v>
      </x:c>
      <x:c r="D112" s="40" t="str">
        <x:f>'Evaluation Plan'!D112</x:f>
        <x:v>black cup A (C, RU); black cup B (O, RU)</x:v>
      </x:c>
      <x:c r="E112" s="41" t="str">
        <x:f>'Evaluation Plan'!E112</x:f>
      </x:c>
      <x:c r="F112" s="41" t="str">
        <x:f>'Evaluation Plan'!F112</x:f>
        <x:v>0</x:v>
      </x:c>
      <x:c r="G112" s="40" t="str">
        <x:f>'Evaluation Plan'!G112</x:f>
        <x:v>State-word concept reference only. The black cup is absent from fine-tuning, so no exact object-level training episode exists.</x:v>
      </x:c>
      <x:c r="H112" s="40" t="str">
        <x:f>'Evaluation Plan'!H112</x:f>
        <x:v>black cup A</x:v>
      </x:c>
      <x:c r="I112" s="40" t="str"/>
      <x:c r="J112" s="46" t="str">
        <x:f>'Evaluation Plan'!J112</x:f>
        <x:v>Novel-object state reasoning</x:v>
      </x:c>
      <x:c r="K112" s="41" t="str">
        <x:f>'Evaluation Plan'!K112</x:f>
        <x:v>SR-BLACK01</x:v>
      </x:c>
      <x:c r="L112" s="41" t="str">
        <x:f>'Evaluation Plan'!L112</x:f>
        <x:v>C</x:v>
      </x:c>
      <x:c r="M112" s="41" t="str">
        <x:f>'Evaluation Plan'!M112</x:f>
        <x:v>black cup</x:v>
      </x:c>
      <x:c r="N112" s="41" t="n">
        <x:f>'Evaluation Plan'!N112</x:f>
        <x:v>2</x:v>
      </x:c>
      <x:c r="O112" s="41" t="n">
        <x:f>'Evaluation Plan'!O112</x:f>
        <x:v>1</x:v>
      </x:c>
      <x:c r="P112" s="41" t="str">
        <x:f>'Evaluation Plan'!P112</x:f>
        <x:v>Empty</x:v>
      </x:c>
      <x:c r="Q112" s="40" t="str">
        <x:f>'Evaluation Plan'!Q112</x:f>
        <x:v>Reasoning-only globally unseen black-cup diagnostic</x:v>
      </x:c>
      <x:c r="R112" s="41" t="n">
        <x:f>'Evaluation Plan'!R112</x:f>
        <x:v>5</x:v>
      </x:c>
      <x:c r="S112" s="40" t="str">
        <x:f>'Evaluation Plan'!S112</x:f>
        <x:v>Build the listed two-black-cup discrimination scene with the bowl empty.</x:v>
      </x:c>
      <x:c r="T112" s="40" t="str">
        <x:f>'Evaluation Plan'!T112</x:f>
        <x:v>Every prompt contains a state term; no direct-name-only black-cup trial is used. Report separately from the 50 primary transfer trials.</x:v>
      </x:c>
      <x:c r="U112" s="40" t="n">
        <x:f>'Evaluation Plan'!U112</x:f>
        <x:v>0</x:v>
      </x:c>
    </x:row>
    <x:row r="113" ht="51" customHeight="1">
      <x:c r="A113" s="43" t="str">
        <x:v>Not collected</x:v>
      </x:c>
      <x:c r="B113" s="44" t="n">
        <x:f>'Evaluation Plan'!B113</x:f>
        <x:v>111</x:v>
      </x:c>
      <x:c r="C113" s="43" t="str">
        <x:f>'Evaluation Plan'!C113</x:f>
        <x:v>Place the open black cup in the bowl.</x:v>
      </x:c>
      <x:c r="D113" s="43" t="str">
        <x:f>'Evaluation Plan'!D113</x:f>
        <x:v>black cup B (O, UD); black cup A (C, UD); yellow-white striped cup B (O, RU)</x:v>
      </x:c>
      <x:c r="E113" s="44" t="str">
        <x:f>'Evaluation Plan'!E113</x:f>
      </x:c>
      <x:c r="F113" s="44" t="str">
        <x:f>'Evaluation Plan'!F113</x:f>
        <x:v>101</x:v>
      </x:c>
      <x:c r="G113" s="43" t="str">
        <x:f>'Evaluation Plan'!G113</x:f>
        <x:v>State-word concept reference only. The black cup is absent from fine-tuning, so no exact object-level training episode exists.</x:v>
      </x:c>
      <x:c r="H113" s="43" t="str">
        <x:f>'Evaluation Plan'!H113</x:f>
        <x:v>black cup B</x:v>
      </x:c>
      <x:c r="I113" s="43" t="str"/>
      <x:c r="J113" s="46" t="str">
        <x:f>'Evaluation Plan'!J113</x:f>
        <x:v>Novel-object state reasoning</x:v>
      </x:c>
      <x:c r="K113" s="44" t="str">
        <x:f>'Evaluation Plan'!K113</x:f>
        <x:v>SR-BLACK02</x:v>
      </x:c>
      <x:c r="L113" s="44" t="str">
        <x:f>'Evaluation Plan'!L113</x:f>
        <x:v>O</x:v>
      </x:c>
      <x:c r="M113" s="44" t="str">
        <x:f>'Evaluation Plan'!M113</x:f>
        <x:v>black cup</x:v>
      </x:c>
      <x:c r="N113" s="44" t="n">
        <x:f>'Evaluation Plan'!N113</x:f>
        <x:v>3</x:v>
      </x:c>
      <x:c r="O113" s="44" t="n">
        <x:f>'Evaluation Plan'!O113</x:f>
        <x:v>1</x:v>
      </x:c>
      <x:c r="P113" s="44" t="str">
        <x:f>'Evaluation Plan'!P113</x:f>
        <x:v>Empty</x:v>
      </x:c>
      <x:c r="Q113" s="43" t="str">
        <x:f>'Evaluation Plan'!Q113</x:f>
        <x:v>Reasoning-only globally unseen black-cup diagnostic</x:v>
      </x:c>
      <x:c r="R113" s="44" t="n">
        <x:f>'Evaluation Plan'!R113</x:f>
        <x:v>5</x:v>
      </x:c>
      <x:c r="S113" s="43" t="str">
        <x:f>'Evaluation Plan'!S113</x:f>
        <x:v>Build the listed two-black-cup discrimination scene with the bowl empty.</x:v>
      </x:c>
      <x:c r="T113" s="43" t="str">
        <x:f>'Evaluation Plan'!T113</x:f>
        <x:v>Every prompt contains a state term; no direct-name-only black-cup trial is used. Report separately from the 50 primary transfer trials.</x:v>
      </x:c>
      <x:c r="U113" s="43" t="n">
        <x:f>'Evaluation Plan'!U113</x:f>
        <x:v>0</x:v>
      </x:c>
    </x:row>
    <x:row r="114" ht="51" customHeight="1">
      <x:c r="A114" s="40" t="str">
        <x:v>Not collected</x:v>
      </x:c>
      <x:c r="B114" s="41" t="n">
        <x:f>'Evaluation Plan'!B114</x:f>
        <x:v>112</x:v>
      </x:c>
      <x:c r="C114" s="40" t="str">
        <x:f>'Evaluation Plan'!C114</x:f>
        <x:v>Place the upside-down black cup in the bowl.</x:v>
      </x:c>
      <x:c r="D114" s="40" t="str">
        <x:f>'Evaluation Plan'!D114</x:f>
        <x:v>black cup A (C, UD); black cup B (C, RU); brown cup A (C, UD); glass spice container B (O, UD)</x:v>
      </x:c>
      <x:c r="E114" s="41" t="str">
        <x:f>'Evaluation Plan'!E114</x:f>
      </x:c>
      <x:c r="F114" s="41" t="str">
        <x:f>'Evaluation Plan'!F114</x:f>
        <x:v>78</x:v>
      </x:c>
      <x:c r="G114" s="40" t="str">
        <x:f>'Evaluation Plan'!G114</x:f>
        <x:v>State-word concept reference only. The black cup is absent from fine-tuning, so no exact object-level training episode exists.</x:v>
      </x:c>
      <x:c r="H114" s="40" t="str">
        <x:f>'Evaluation Plan'!H114</x:f>
        <x:v>black cup A</x:v>
      </x:c>
      <x:c r="I114" s="40" t="str"/>
      <x:c r="J114" s="46" t="str">
        <x:f>'Evaluation Plan'!J114</x:f>
        <x:v>Novel-object state reasoning</x:v>
      </x:c>
      <x:c r="K114" s="41" t="str">
        <x:f>'Evaluation Plan'!K114</x:f>
        <x:v>SR-BLACK03</x:v>
      </x:c>
      <x:c r="L114" s="41" t="str">
        <x:f>'Evaluation Plan'!L114</x:f>
        <x:v>UD</x:v>
      </x:c>
      <x:c r="M114" s="41" t="str">
        <x:f>'Evaluation Plan'!M114</x:f>
        <x:v>black cup</x:v>
      </x:c>
      <x:c r="N114" s="41" t="n">
        <x:f>'Evaluation Plan'!N114</x:f>
        <x:v>4</x:v>
      </x:c>
      <x:c r="O114" s="41" t="n">
        <x:f>'Evaluation Plan'!O114</x:f>
        <x:v>1</x:v>
      </x:c>
      <x:c r="P114" s="41" t="str">
        <x:f>'Evaluation Plan'!P114</x:f>
        <x:v>Empty</x:v>
      </x:c>
      <x:c r="Q114" s="40" t="str">
        <x:f>'Evaluation Plan'!Q114</x:f>
        <x:v>Reasoning-only globally unseen black-cup diagnostic</x:v>
      </x:c>
      <x:c r="R114" s="41" t="n">
        <x:f>'Evaluation Plan'!R114</x:f>
        <x:v>5</x:v>
      </x:c>
      <x:c r="S114" s="40" t="str">
        <x:f>'Evaluation Plan'!S114</x:f>
        <x:v>Build the listed two-black-cup discrimination scene with the bowl empty.</x:v>
      </x:c>
      <x:c r="T114" s="40" t="str">
        <x:f>'Evaluation Plan'!T114</x:f>
        <x:v>Every prompt contains a state term; no direct-name-only black-cup trial is used. Report separately from the 50 primary transfer trials.</x:v>
      </x:c>
      <x:c r="U114" s="40" t="n">
        <x:f>'Evaluation Plan'!U114</x:f>
        <x:v>0</x:v>
      </x:c>
    </x:row>
    <x:row r="115" ht="51" customHeight="1">
      <x:c r="A115" s="43" t="str">
        <x:v>Not collected</x:v>
      </x:c>
      <x:c r="B115" s="44" t="n">
        <x:f>'Evaluation Plan'!B115</x:f>
        <x:v>113</x:v>
      </x:c>
      <x:c r="C115" s="43" t="str">
        <x:f>'Evaluation Plan'!C115</x:f>
        <x:v>Place the upright black cup in the bowl.</x:v>
      </x:c>
      <x:c r="D115" s="43" t="str">
        <x:f>'Evaluation Plan'!D115</x:f>
        <x:v>black cup B (O, RU); black cup A (O, UD)</x:v>
      </x:c>
      <x:c r="E115" s="44" t="str">
        <x:f>'Evaluation Plan'!E115</x:f>
      </x:c>
      <x:c r="F115" s="44" t="str">
        <x:f>'Evaluation Plan'!F115</x:f>
        <x:v>26</x:v>
      </x:c>
      <x:c r="G115" s="43" t="str">
        <x:f>'Evaluation Plan'!G115</x:f>
        <x:v>State-word concept reference only. The black cup is absent from fine-tuning, so no exact object-level training episode exists.</x:v>
      </x:c>
      <x:c r="H115" s="43" t="str">
        <x:f>'Evaluation Plan'!H115</x:f>
        <x:v>black cup B</x:v>
      </x:c>
      <x:c r="I115" s="43" t="str"/>
      <x:c r="J115" s="46" t="str">
        <x:f>'Evaluation Plan'!J115</x:f>
        <x:v>Novel-object state reasoning</x:v>
      </x:c>
      <x:c r="K115" s="44" t="str">
        <x:f>'Evaluation Plan'!K115</x:f>
        <x:v>SR-BLACK04</x:v>
      </x:c>
      <x:c r="L115" s="44" t="str">
        <x:f>'Evaluation Plan'!L115</x:f>
        <x:v>RU</x:v>
      </x:c>
      <x:c r="M115" s="44" t="str">
        <x:f>'Evaluation Plan'!M115</x:f>
        <x:v>black cup</x:v>
      </x:c>
      <x:c r="N115" s="44" t="n">
        <x:f>'Evaluation Plan'!N115</x:f>
        <x:v>2</x:v>
      </x:c>
      <x:c r="O115" s="44" t="n">
        <x:f>'Evaluation Plan'!O115</x:f>
        <x:v>1</x:v>
      </x:c>
      <x:c r="P115" s="44" t="str">
        <x:f>'Evaluation Plan'!P115</x:f>
        <x:v>Empty</x:v>
      </x:c>
      <x:c r="Q115" s="43" t="str">
        <x:f>'Evaluation Plan'!Q115</x:f>
        <x:v>Reasoning-only globally unseen black-cup diagnostic</x:v>
      </x:c>
      <x:c r="R115" s="44" t="n">
        <x:f>'Evaluation Plan'!R115</x:f>
        <x:v>5</x:v>
      </x:c>
      <x:c r="S115" s="43" t="str">
        <x:f>'Evaluation Plan'!S115</x:f>
        <x:v>Build the listed two-black-cup discrimination scene with the bowl empty.</x:v>
      </x:c>
      <x:c r="T115" s="43" t="str">
        <x:f>'Evaluation Plan'!T115</x:f>
        <x:v>Every prompt contains a state term; no direct-name-only black-cup trial is used. Report separately from the 50 primary transfer trials.</x:v>
      </x:c>
      <x:c r="U115" s="43" t="n">
        <x:f>'Evaluation Plan'!U115</x:f>
        <x:v>0</x:v>
      </x:c>
    </x:row>
    <x:row r="116" ht="51" customHeight="1">
      <x:c r="A116" s="40" t="str">
        <x:v>Not collected</x:v>
      </x:c>
      <x:c r="B116" s="41" t="n">
        <x:f>'Evaluation Plan'!B116</x:f>
        <x:v>114</x:v>
      </x:c>
      <x:c r="C116" s="40" t="str">
        <x:f>'Evaluation Plan'!C116</x:f>
        <x:v>Place the closed black cup in the bowl.</x:v>
      </x:c>
      <x:c r="D116" s="40" t="str">
        <x:f>'Evaluation Plan'!D116</x:f>
        <x:v>black cup A (C, RU); black cup B (O, RU); white cup A (C, RU)</x:v>
      </x:c>
      <x:c r="E116" s="41" t="str">
        <x:f>'Evaluation Plan'!E116</x:f>
      </x:c>
      <x:c r="F116" s="41" t="str">
        <x:f>'Evaluation Plan'!F116</x:f>
        <x:v>0</x:v>
      </x:c>
      <x:c r="G116" s="40" t="str">
        <x:f>'Evaluation Plan'!G116</x:f>
        <x:v>State-word concept reference only. The black cup is absent from fine-tuning, so no exact object-level training episode exists.</x:v>
      </x:c>
      <x:c r="H116" s="40" t="str">
        <x:f>'Evaluation Plan'!H116</x:f>
        <x:v>black cup A</x:v>
      </x:c>
      <x:c r="I116" s="40" t="str"/>
      <x:c r="J116" s="46" t="str">
        <x:f>'Evaluation Plan'!J116</x:f>
        <x:v>Novel-object state reasoning</x:v>
      </x:c>
      <x:c r="K116" s="41" t="str">
        <x:f>'Evaluation Plan'!K116</x:f>
        <x:v>SR-BLACK05</x:v>
      </x:c>
      <x:c r="L116" s="41" t="str">
        <x:f>'Evaluation Plan'!L116</x:f>
        <x:v>C</x:v>
      </x:c>
      <x:c r="M116" s="41" t="str">
        <x:f>'Evaluation Plan'!M116</x:f>
        <x:v>black cup</x:v>
      </x:c>
      <x:c r="N116" s="41" t="n">
        <x:f>'Evaluation Plan'!N116</x:f>
        <x:v>3</x:v>
      </x:c>
      <x:c r="O116" s="41" t="n">
        <x:f>'Evaluation Plan'!O116</x:f>
        <x:v>1</x:v>
      </x:c>
      <x:c r="P116" s="41" t="str">
        <x:f>'Evaluation Plan'!P116</x:f>
        <x:v>Empty</x:v>
      </x:c>
      <x:c r="Q116" s="40" t="str">
        <x:f>'Evaluation Plan'!Q116</x:f>
        <x:v>Reasoning-only globally unseen black-cup diagnostic</x:v>
      </x:c>
      <x:c r="R116" s="41" t="n">
        <x:f>'Evaluation Plan'!R116</x:f>
        <x:v>5</x:v>
      </x:c>
      <x:c r="S116" s="40" t="str">
        <x:f>'Evaluation Plan'!S116</x:f>
        <x:v>Build the listed two-black-cup discrimination scene with the bowl empty.</x:v>
      </x:c>
      <x:c r="T116" s="40" t="str">
        <x:f>'Evaluation Plan'!T116</x:f>
        <x:v>Every prompt contains a state term; no direct-name-only black-cup trial is used. Report separately from the 50 primary transfer trials.</x:v>
      </x:c>
      <x:c r="U116" s="40" t="n">
        <x:f>'Evaluation Plan'!U116</x:f>
        <x:v>0</x:v>
      </x:c>
    </x:row>
    <x:row r="117" ht="51" customHeight="1">
      <x:c r="A117" s="43" t="str">
        <x:v>Not collected</x:v>
      </x:c>
      <x:c r="B117" s="44" t="n">
        <x:f>'Evaluation Plan'!B117</x:f>
        <x:v>115</x:v>
      </x:c>
      <x:c r="C117" s="43" t="str">
        <x:f>'Evaluation Plan'!C117</x:f>
        <x:v>Place the open black cup in the bowl.</x:v>
      </x:c>
      <x:c r="D117" s="43" t="str">
        <x:f>'Evaluation Plan'!D117</x:f>
        <x:v>black cup B (O, UD); black cup A (C, UD); yellow-white striped cup B (O, RU); brown cup A (C, UD)</x:v>
      </x:c>
      <x:c r="E117" s="44" t="str">
        <x:f>'Evaluation Plan'!E117</x:f>
      </x:c>
      <x:c r="F117" s="44" t="str">
        <x:f>'Evaluation Plan'!F117</x:f>
        <x:v>101</x:v>
      </x:c>
      <x:c r="G117" s="43" t="str">
        <x:f>'Evaluation Plan'!G117</x:f>
        <x:v>State-word concept reference only. The black cup is absent from fine-tuning, so no exact object-level training episode exists.</x:v>
      </x:c>
      <x:c r="H117" s="43" t="str">
        <x:f>'Evaluation Plan'!H117</x:f>
        <x:v>black cup B</x:v>
      </x:c>
      <x:c r="I117" s="43" t="str"/>
      <x:c r="J117" s="46" t="str">
        <x:f>'Evaluation Plan'!J117</x:f>
        <x:v>Novel-object state reasoning</x:v>
      </x:c>
      <x:c r="K117" s="44" t="str">
        <x:f>'Evaluation Plan'!K117</x:f>
        <x:v>SR-BLACK06</x:v>
      </x:c>
      <x:c r="L117" s="44" t="str">
        <x:f>'Evaluation Plan'!L117</x:f>
        <x:v>O</x:v>
      </x:c>
      <x:c r="M117" s="44" t="str">
        <x:f>'Evaluation Plan'!M117</x:f>
        <x:v>black cup</x:v>
      </x:c>
      <x:c r="N117" s="44" t="n">
        <x:f>'Evaluation Plan'!N117</x:f>
        <x:v>4</x:v>
      </x:c>
      <x:c r="O117" s="44" t="n">
        <x:f>'Evaluation Plan'!O117</x:f>
        <x:v>1</x:v>
      </x:c>
      <x:c r="P117" s="44" t="str">
        <x:f>'Evaluation Plan'!P117</x:f>
        <x:v>Empty</x:v>
      </x:c>
      <x:c r="Q117" s="43" t="str">
        <x:f>'Evaluation Plan'!Q117</x:f>
        <x:v>Reasoning-only globally unseen black-cup diagnostic</x:v>
      </x:c>
      <x:c r="R117" s="44" t="n">
        <x:f>'Evaluation Plan'!R117</x:f>
        <x:v>5</x:v>
      </x:c>
      <x:c r="S117" s="43" t="str">
        <x:f>'Evaluation Plan'!S117</x:f>
        <x:v>Build the listed two-black-cup discrimination scene with the bowl empty.</x:v>
      </x:c>
      <x:c r="T117" s="43" t="str">
        <x:f>'Evaluation Plan'!T117</x:f>
        <x:v>Every prompt contains a state term; no direct-name-only black-cup trial is used. Report separately from the 50 primary transfer trials.</x:v>
      </x:c>
      <x:c r="U117" s="43" t="n">
        <x:f>'Evaluation Plan'!U117</x:f>
        <x:v>0</x:v>
      </x:c>
    </x:row>
    <x:row r="118" ht="51" customHeight="1">
      <x:c r="A118" s="40" t="str">
        <x:v>Not collected</x:v>
      </x:c>
      <x:c r="B118" s="41" t="n">
        <x:f>'Evaluation Plan'!B118</x:f>
        <x:v>116</x:v>
      </x:c>
      <x:c r="C118" s="40" t="str">
        <x:f>'Evaluation Plan'!C118</x:f>
        <x:v>Place the upside-down black cup in the bowl.</x:v>
      </x:c>
      <x:c r="D118" s="40" t="str">
        <x:f>'Evaluation Plan'!D118</x:f>
        <x:v>black cup A (C, UD); black cup B (C, RU)</x:v>
      </x:c>
      <x:c r="E118" s="41" t="str">
        <x:f>'Evaluation Plan'!E118</x:f>
      </x:c>
      <x:c r="F118" s="41" t="str">
        <x:f>'Evaluation Plan'!F118</x:f>
        <x:v>78</x:v>
      </x:c>
      <x:c r="G118" s="40" t="str">
        <x:f>'Evaluation Plan'!G118</x:f>
        <x:v>State-word concept reference only. The black cup is absent from fine-tuning, so no exact object-level training episode exists.</x:v>
      </x:c>
      <x:c r="H118" s="40" t="str">
        <x:f>'Evaluation Plan'!H118</x:f>
        <x:v>black cup A</x:v>
      </x:c>
      <x:c r="I118" s="40" t="str"/>
      <x:c r="J118" s="46" t="str">
        <x:f>'Evaluation Plan'!J118</x:f>
        <x:v>Novel-object state reasoning</x:v>
      </x:c>
      <x:c r="K118" s="41" t="str">
        <x:f>'Evaluation Plan'!K118</x:f>
        <x:v>SR-BLACK07</x:v>
      </x:c>
      <x:c r="L118" s="41" t="str">
        <x:f>'Evaluation Plan'!L118</x:f>
        <x:v>UD</x:v>
      </x:c>
      <x:c r="M118" s="41" t="str">
        <x:f>'Evaluation Plan'!M118</x:f>
        <x:v>black cup</x:v>
      </x:c>
      <x:c r="N118" s="41" t="n">
        <x:f>'Evaluation Plan'!N118</x:f>
        <x:v>2</x:v>
      </x:c>
      <x:c r="O118" s="41" t="n">
        <x:f>'Evaluation Plan'!O118</x:f>
        <x:v>1</x:v>
      </x:c>
      <x:c r="P118" s="41" t="str">
        <x:f>'Evaluation Plan'!P118</x:f>
        <x:v>Empty</x:v>
      </x:c>
      <x:c r="Q118" s="40" t="str">
        <x:f>'Evaluation Plan'!Q118</x:f>
        <x:v>Reasoning-only globally unseen black-cup diagnostic</x:v>
      </x:c>
      <x:c r="R118" s="41" t="n">
        <x:f>'Evaluation Plan'!R118</x:f>
        <x:v>5</x:v>
      </x:c>
      <x:c r="S118" s="40" t="str">
        <x:f>'Evaluation Plan'!S118</x:f>
        <x:v>Build the listed two-black-cup discrimination scene with the bowl empty.</x:v>
      </x:c>
      <x:c r="T118" s="40" t="str">
        <x:f>'Evaluation Plan'!T118</x:f>
        <x:v>Every prompt contains a state term; no direct-name-only black-cup trial is used. Report separately from the 50 primary transfer trials.</x:v>
      </x:c>
      <x:c r="U118" s="40" t="n">
        <x:f>'Evaluation Plan'!U118</x:f>
        <x:v>0</x:v>
      </x:c>
    </x:row>
    <x:row r="119" ht="51" customHeight="1">
      <x:c r="A119" s="43" t="str">
        <x:v>Not collected</x:v>
      </x:c>
      <x:c r="B119" s="44" t="n">
        <x:f>'Evaluation Plan'!B119</x:f>
        <x:v>117</x:v>
      </x:c>
      <x:c r="C119" s="43" t="str">
        <x:f>'Evaluation Plan'!C119</x:f>
        <x:v>Place the upright black cup in the bowl.</x:v>
      </x:c>
      <x:c r="D119" s="43" t="str">
        <x:f>'Evaluation Plan'!D119</x:f>
        <x:v>black cup B (O, RU); black cup A (O, UD); glass spice container B (O, UD)</x:v>
      </x:c>
      <x:c r="E119" s="44" t="str">
        <x:f>'Evaluation Plan'!E119</x:f>
      </x:c>
      <x:c r="F119" s="44" t="str">
        <x:f>'Evaluation Plan'!F119</x:f>
        <x:v>26</x:v>
      </x:c>
      <x:c r="G119" s="43" t="str">
        <x:f>'Evaluation Plan'!G119</x:f>
        <x:v>State-word concept reference only. The black cup is absent from fine-tuning, so no exact object-level training episode exists.</x:v>
      </x:c>
      <x:c r="H119" s="43" t="str">
        <x:f>'Evaluation Plan'!H119</x:f>
        <x:v>black cup B</x:v>
      </x:c>
      <x:c r="I119" s="43" t="str"/>
      <x:c r="J119" s="46" t="str">
        <x:f>'Evaluation Plan'!J119</x:f>
        <x:v>Novel-object state reasoning</x:v>
      </x:c>
      <x:c r="K119" s="44" t="str">
        <x:f>'Evaluation Plan'!K119</x:f>
        <x:v>SR-BLACK08</x:v>
      </x:c>
      <x:c r="L119" s="44" t="str">
        <x:f>'Evaluation Plan'!L119</x:f>
        <x:v>RU</x:v>
      </x:c>
      <x:c r="M119" s="44" t="str">
        <x:f>'Evaluation Plan'!M119</x:f>
        <x:v>black cup</x:v>
      </x:c>
      <x:c r="N119" s="44" t="n">
        <x:f>'Evaluation Plan'!N119</x:f>
        <x:v>3</x:v>
      </x:c>
      <x:c r="O119" s="44" t="n">
        <x:f>'Evaluation Plan'!O119</x:f>
        <x:v>1</x:v>
      </x:c>
      <x:c r="P119" s="44" t="str">
        <x:f>'Evaluation Plan'!P119</x:f>
        <x:v>Empty</x:v>
      </x:c>
      <x:c r="Q119" s="43" t="str">
        <x:f>'Evaluation Plan'!Q119</x:f>
        <x:v>Reasoning-only globally unseen black-cup diagnostic</x:v>
      </x:c>
      <x:c r="R119" s="44" t="n">
        <x:f>'Evaluation Plan'!R119</x:f>
        <x:v>5</x:v>
      </x:c>
      <x:c r="S119" s="43" t="str">
        <x:f>'Evaluation Plan'!S119</x:f>
        <x:v>Build the listed two-black-cup discrimination scene with the bowl empty.</x:v>
      </x:c>
      <x:c r="T119" s="43" t="str">
        <x:f>'Evaluation Plan'!T119</x:f>
        <x:v>Every prompt contains a state term; no direct-name-only black-cup trial is used. Report separately from the 50 primary transfer trials.</x:v>
      </x:c>
      <x:c r="U119" s="43" t="n">
        <x:f>'Evaluation Plan'!U119</x:f>
        <x:v>0</x:v>
      </x:c>
    </x:row>
    <x:row r="120" ht="51" customHeight="1">
      <x:c r="A120" s="40" t="str">
        <x:v>Not collected</x:v>
      </x:c>
      <x:c r="B120" s="41" t="n">
        <x:f>'Evaluation Plan'!B120</x:f>
        <x:v>118</x:v>
      </x:c>
      <x:c r="C120" s="40" t="str">
        <x:f>'Evaluation Plan'!C120</x:f>
        <x:v>Place the closed black cup in the bowl.</x:v>
      </x:c>
      <x:c r="D120" s="40" t="str">
        <x:f>'Evaluation Plan'!D120</x:f>
        <x:v>black cup A (C, RU); black cup B (O, RU); white cup A (C, RU); yellow-white striped cup B (O, RU)</x:v>
      </x:c>
      <x:c r="E120" s="41" t="str">
        <x:f>'Evaluation Plan'!E120</x:f>
      </x:c>
      <x:c r="F120" s="41" t="str">
        <x:f>'Evaluation Plan'!F120</x:f>
        <x:v>0</x:v>
      </x:c>
      <x:c r="G120" s="40" t="str">
        <x:f>'Evaluation Plan'!G120</x:f>
        <x:v>State-word concept reference only. The black cup is absent from fine-tuning, so no exact object-level training episode exists.</x:v>
      </x:c>
      <x:c r="H120" s="40" t="str">
        <x:f>'Evaluation Plan'!H120</x:f>
        <x:v>black cup A</x:v>
      </x:c>
      <x:c r="I120" s="40" t="str"/>
      <x:c r="J120" s="46" t="str">
        <x:f>'Evaluation Plan'!J120</x:f>
        <x:v>Novel-object state reasoning</x:v>
      </x:c>
      <x:c r="K120" s="41" t="str">
        <x:f>'Evaluation Plan'!K120</x:f>
        <x:v>SR-BLACK09</x:v>
      </x:c>
      <x:c r="L120" s="41" t="str">
        <x:f>'Evaluation Plan'!L120</x:f>
        <x:v>C</x:v>
      </x:c>
      <x:c r="M120" s="41" t="str">
        <x:f>'Evaluation Plan'!M120</x:f>
        <x:v>black cup</x:v>
      </x:c>
      <x:c r="N120" s="41" t="n">
        <x:f>'Evaluation Plan'!N120</x:f>
        <x:v>4</x:v>
      </x:c>
      <x:c r="O120" s="41" t="n">
        <x:f>'Evaluation Plan'!O120</x:f>
        <x:v>1</x:v>
      </x:c>
      <x:c r="P120" s="41" t="str">
        <x:f>'Evaluation Plan'!P120</x:f>
        <x:v>Empty</x:v>
      </x:c>
      <x:c r="Q120" s="40" t="str">
        <x:f>'Evaluation Plan'!Q120</x:f>
        <x:v>Reasoning-only globally unseen black-cup diagnostic</x:v>
      </x:c>
      <x:c r="R120" s="41" t="n">
        <x:f>'Evaluation Plan'!R120</x:f>
        <x:v>5</x:v>
      </x:c>
      <x:c r="S120" s="40" t="str">
        <x:f>'Evaluation Plan'!S120</x:f>
        <x:v>Build the listed two-black-cup discrimination scene with the bowl empty.</x:v>
      </x:c>
      <x:c r="T120" s="40" t="str">
        <x:f>'Evaluation Plan'!T120</x:f>
        <x:v>Every prompt contains a state term; no direct-name-only black-cup trial is used. Report separately from the 50 primary transfer trials.</x:v>
      </x:c>
      <x:c r="U120" s="40" t="n">
        <x:f>'Evaluation Plan'!U120</x:f>
        <x:v>0</x:v>
      </x:c>
    </x:row>
    <x:row r="121" ht="51" customHeight="1">
      <x:c r="A121" s="43" t="str">
        <x:v>Not collected</x:v>
      </x:c>
      <x:c r="B121" s="44" t="n">
        <x:f>'Evaluation Plan'!B121</x:f>
        <x:v>119</x:v>
      </x:c>
      <x:c r="C121" s="43" t="str">
        <x:f>'Evaluation Plan'!C121</x:f>
        <x:v>Place the open black cup in the bowl.</x:v>
      </x:c>
      <x:c r="D121" s="43" t="str">
        <x:f>'Evaluation Plan'!D121</x:f>
        <x:v>black cup B (O, UD); black cup A (C, UD)</x:v>
      </x:c>
      <x:c r="E121" s="44" t="str">
        <x:f>'Evaluation Plan'!E121</x:f>
      </x:c>
      <x:c r="F121" s="44" t="str">
        <x:f>'Evaluation Plan'!F121</x:f>
        <x:v>101</x:v>
      </x:c>
      <x:c r="G121" s="43" t="str">
        <x:f>'Evaluation Plan'!G121</x:f>
        <x:v>State-word concept reference only. The black cup is absent from fine-tuning, so no exact object-level training episode exists.</x:v>
      </x:c>
      <x:c r="H121" s="43" t="str">
        <x:f>'Evaluation Plan'!H121</x:f>
        <x:v>black cup B</x:v>
      </x:c>
      <x:c r="I121" s="43" t="str"/>
      <x:c r="J121" s="46" t="str">
        <x:f>'Evaluation Plan'!J121</x:f>
        <x:v>Novel-object state reasoning</x:v>
      </x:c>
      <x:c r="K121" s="44" t="str">
        <x:f>'Evaluation Plan'!K121</x:f>
        <x:v>SR-BLACK10</x:v>
      </x:c>
      <x:c r="L121" s="44" t="str">
        <x:f>'Evaluation Plan'!L121</x:f>
        <x:v>O</x:v>
      </x:c>
      <x:c r="M121" s="44" t="str">
        <x:f>'Evaluation Plan'!M121</x:f>
        <x:v>black cup</x:v>
      </x:c>
      <x:c r="N121" s="44" t="n">
        <x:f>'Evaluation Plan'!N121</x:f>
        <x:v>2</x:v>
      </x:c>
      <x:c r="O121" s="44" t="n">
        <x:f>'Evaluation Plan'!O121</x:f>
        <x:v>1</x:v>
      </x:c>
      <x:c r="P121" s="44" t="str">
        <x:f>'Evaluation Plan'!P121</x:f>
        <x:v>Empty</x:v>
      </x:c>
      <x:c r="Q121" s="43" t="str">
        <x:f>'Evaluation Plan'!Q121</x:f>
        <x:v>Reasoning-only globally unseen black-cup diagnostic</x:v>
      </x:c>
      <x:c r="R121" s="44" t="n">
        <x:f>'Evaluation Plan'!R121</x:f>
        <x:v>5</x:v>
      </x:c>
      <x:c r="S121" s="43" t="str">
        <x:f>'Evaluation Plan'!S121</x:f>
        <x:v>Build the listed two-black-cup discrimination scene with the bowl empty.</x:v>
      </x:c>
      <x:c r="T121" s="43" t="str">
        <x:f>'Evaluation Plan'!T121</x:f>
        <x:v>Every prompt contains a state term; no direct-name-only black-cup trial is used. Report separately from the 50 primary transfer trials.</x:v>
      </x:c>
      <x:c r="U121" s="43" t="n">
        <x:f>'Evaluation Plan'!U121</x:f>
        <x:v>0</x:v>
      </x:c>
    </x:row>
    <x:row r="122" ht="51" customHeight="1">
      <x:c r="A122" s="40" t="str">
        <x:v>Not collected</x:v>
      </x:c>
      <x:c r="B122" s="41" t="n">
        <x:f>'Evaluation Plan'!B122</x:f>
        <x:v>120</x:v>
      </x:c>
      <x:c r="C122" s="40" t="str">
        <x:f>'Evaluation Plan'!C122</x:f>
        <x:v>Place the upside-down black cup in the bowl.</x:v>
      </x:c>
      <x:c r="D122" s="40" t="str">
        <x:f>'Evaluation Plan'!D122</x:f>
        <x:v>black cup A (C, UD); black cup B (C, RU); brown cup A (C, UD)</x:v>
      </x:c>
      <x:c r="E122" s="41" t="str">
        <x:f>'Evaluation Plan'!E122</x:f>
      </x:c>
      <x:c r="F122" s="41" t="str">
        <x:f>'Evaluation Plan'!F122</x:f>
        <x:v>78</x:v>
      </x:c>
      <x:c r="G122" s="40" t="str">
        <x:f>'Evaluation Plan'!G122</x:f>
        <x:v>State-word concept reference only. The black cup is absent from fine-tuning, so no exact object-level training episode exists.</x:v>
      </x:c>
      <x:c r="H122" s="40" t="str">
        <x:f>'Evaluation Plan'!H122</x:f>
        <x:v>black cup A</x:v>
      </x:c>
      <x:c r="I122" s="40" t="str"/>
      <x:c r="J122" s="46" t="str">
        <x:f>'Evaluation Plan'!J122</x:f>
        <x:v>Novel-object state reasoning</x:v>
      </x:c>
      <x:c r="K122" s="41" t="str">
        <x:f>'Evaluation Plan'!K122</x:f>
        <x:v>SR-BLACK11</x:v>
      </x:c>
      <x:c r="L122" s="41" t="str">
        <x:f>'Evaluation Plan'!L122</x:f>
        <x:v>UD</x:v>
      </x:c>
      <x:c r="M122" s="41" t="str">
        <x:f>'Evaluation Plan'!M122</x:f>
        <x:v>black cup</x:v>
      </x:c>
      <x:c r="N122" s="41" t="n">
        <x:f>'Evaluation Plan'!N122</x:f>
        <x:v>3</x:v>
      </x:c>
      <x:c r="O122" s="41" t="n">
        <x:f>'Evaluation Plan'!O122</x:f>
        <x:v>1</x:v>
      </x:c>
      <x:c r="P122" s="41" t="str">
        <x:f>'Evaluation Plan'!P122</x:f>
        <x:v>Empty</x:v>
      </x:c>
      <x:c r="Q122" s="40" t="str">
        <x:f>'Evaluation Plan'!Q122</x:f>
        <x:v>Reasoning-only globally unseen black-cup diagnostic</x:v>
      </x:c>
      <x:c r="R122" s="41" t="n">
        <x:f>'Evaluation Plan'!R122</x:f>
        <x:v>5</x:v>
      </x:c>
      <x:c r="S122" s="40" t="str">
        <x:f>'Evaluation Plan'!S122</x:f>
        <x:v>Build the listed two-black-cup discrimination scene with the bowl empty.</x:v>
      </x:c>
      <x:c r="T122" s="40" t="str">
        <x:f>'Evaluation Plan'!T122</x:f>
        <x:v>Every prompt contains a state term; no direct-name-only black-cup trial is used. Report separately from the 50 primary transfer trials.</x:v>
      </x:c>
      <x:c r="U122" s="40" t="n">
        <x:f>'Evaluation Plan'!U122</x:f>
        <x:v>0</x:v>
      </x:c>
    </x:row>
    <x:row r="123" ht="51" customHeight="1">
      <x:c r="A123" s="43" t="str">
        <x:v>Not collected</x:v>
      </x:c>
      <x:c r="B123" s="44" t="n">
        <x:f>'Evaluation Plan'!B123</x:f>
        <x:v>121</x:v>
      </x:c>
      <x:c r="C123" s="43" t="str">
        <x:f>'Evaluation Plan'!C123</x:f>
        <x:v>Place the upright black cup in the bowl.</x:v>
      </x:c>
      <x:c r="D123" s="43" t="str">
        <x:f>'Evaluation Plan'!D123</x:f>
        <x:v>black cup B (O, RU); black cup A (O, UD); glass spice container B (O, UD); white cup A (C, RU)</x:v>
      </x:c>
      <x:c r="E123" s="44" t="str">
        <x:f>'Evaluation Plan'!E123</x:f>
      </x:c>
      <x:c r="F123" s="44" t="str">
        <x:f>'Evaluation Plan'!F123</x:f>
        <x:v>26</x:v>
      </x:c>
      <x:c r="G123" s="43" t="str">
        <x:f>'Evaluation Plan'!G123</x:f>
        <x:v>State-word concept reference only. The black cup is absent from fine-tuning, so no exact object-level training episode exists.</x:v>
      </x:c>
      <x:c r="H123" s="43" t="str">
        <x:f>'Evaluation Plan'!H123</x:f>
        <x:v>black cup B</x:v>
      </x:c>
      <x:c r="I123" s="43" t="str"/>
      <x:c r="J123" s="46" t="str">
        <x:f>'Evaluation Plan'!J123</x:f>
        <x:v>Novel-object state reasoning</x:v>
      </x:c>
      <x:c r="K123" s="44" t="str">
        <x:f>'Evaluation Plan'!K123</x:f>
        <x:v>SR-BLACK12</x:v>
      </x:c>
      <x:c r="L123" s="44" t="str">
        <x:f>'Evaluation Plan'!L123</x:f>
        <x:v>RU</x:v>
      </x:c>
      <x:c r="M123" s="44" t="str">
        <x:f>'Evaluation Plan'!M123</x:f>
        <x:v>black cup</x:v>
      </x:c>
      <x:c r="N123" s="44" t="n">
        <x:f>'Evaluation Plan'!N123</x:f>
        <x:v>4</x:v>
      </x:c>
      <x:c r="O123" s="44" t="n">
        <x:f>'Evaluation Plan'!O123</x:f>
        <x:v>1</x:v>
      </x:c>
      <x:c r="P123" s="44" t="str">
        <x:f>'Evaluation Plan'!P123</x:f>
        <x:v>Empty</x:v>
      </x:c>
      <x:c r="Q123" s="43" t="str">
        <x:f>'Evaluation Plan'!Q123</x:f>
        <x:v>Reasoning-only globally unseen black-cup diagnostic</x:v>
      </x:c>
      <x:c r="R123" s="44" t="n">
        <x:f>'Evaluation Plan'!R123</x:f>
        <x:v>5</x:v>
      </x:c>
      <x:c r="S123" s="43" t="str">
        <x:f>'Evaluation Plan'!S123</x:f>
        <x:v>Build the listed two-black-cup discrimination scene with the bowl empty.</x:v>
      </x:c>
      <x:c r="T123" s="43" t="str">
        <x:f>'Evaluation Plan'!T123</x:f>
        <x:v>Every prompt contains a state term; no direct-name-only black-cup trial is used. Report separately from the 50 primary transfer trials.</x:v>
      </x:c>
      <x:c r="U123" s="43" t="n">
        <x:f>'Evaluation Plan'!U123</x:f>
        <x:v>0</x:v>
      </x:c>
    </x:row>
    <x:row r="124" ht="51" customHeight="1">
      <x:c r="A124" s="40" t="str">
        <x:v>Not collected</x:v>
      </x:c>
      <x:c r="B124" s="41" t="n">
        <x:f>'Evaluation Plan'!B124</x:f>
        <x:v>122</x:v>
      </x:c>
      <x:c r="C124" s="40" t="str">
        <x:f>'Evaluation Plan'!C124</x:f>
        <x:v>Place the closed black cup in the bowl.</x:v>
      </x:c>
      <x:c r="D124" s="40" t="str">
        <x:f>'Evaluation Plan'!D124</x:f>
        <x:v>black cup A (C, RU); black cup B (O, RU)</x:v>
      </x:c>
      <x:c r="E124" s="41" t="str">
        <x:f>'Evaluation Plan'!E124</x:f>
      </x:c>
      <x:c r="F124" s="41" t="str">
        <x:f>'Evaluation Plan'!F124</x:f>
        <x:v>0</x:v>
      </x:c>
      <x:c r="G124" s="40" t="str">
        <x:f>'Evaluation Plan'!G124</x:f>
        <x:v>State-word concept reference only. The black cup is absent from fine-tuning, so no exact object-level training episode exists.</x:v>
      </x:c>
      <x:c r="H124" s="40" t="str">
        <x:f>'Evaluation Plan'!H124</x:f>
        <x:v>black cup A</x:v>
      </x:c>
      <x:c r="I124" s="40" t="str"/>
      <x:c r="J124" s="46" t="str">
        <x:f>'Evaluation Plan'!J124</x:f>
        <x:v>Novel-object state reasoning</x:v>
      </x:c>
      <x:c r="K124" s="41" t="str">
        <x:f>'Evaluation Plan'!K124</x:f>
        <x:v>SR-BLACK13</x:v>
      </x:c>
      <x:c r="L124" s="41" t="str">
        <x:f>'Evaluation Plan'!L124</x:f>
        <x:v>C</x:v>
      </x:c>
      <x:c r="M124" s="41" t="str">
        <x:f>'Evaluation Plan'!M124</x:f>
        <x:v>black cup</x:v>
      </x:c>
      <x:c r="N124" s="41" t="n">
        <x:f>'Evaluation Plan'!N124</x:f>
        <x:v>2</x:v>
      </x:c>
      <x:c r="O124" s="41" t="n">
        <x:f>'Evaluation Plan'!O124</x:f>
        <x:v>1</x:v>
      </x:c>
      <x:c r="P124" s="41" t="str">
        <x:f>'Evaluation Plan'!P124</x:f>
        <x:v>Empty</x:v>
      </x:c>
      <x:c r="Q124" s="40" t="str">
        <x:f>'Evaluation Plan'!Q124</x:f>
        <x:v>Reasoning-only globally unseen black-cup diagnostic</x:v>
      </x:c>
      <x:c r="R124" s="41" t="n">
        <x:f>'Evaluation Plan'!R124</x:f>
        <x:v>5</x:v>
      </x:c>
      <x:c r="S124" s="40" t="str">
        <x:f>'Evaluation Plan'!S124</x:f>
        <x:v>Build the listed two-black-cup discrimination scene with the bowl empty.</x:v>
      </x:c>
      <x:c r="T124" s="40" t="str">
        <x:f>'Evaluation Plan'!T124</x:f>
        <x:v>Every prompt contains a state term; no direct-name-only black-cup trial is used. Report separately from the 50 primary transfer trials.</x:v>
      </x:c>
      <x:c r="U124" s="40" t="n">
        <x:f>'Evaluation Plan'!U124</x:f>
        <x:v>0</x:v>
      </x:c>
    </x:row>
    <x:row r="125" ht="51" customHeight="1">
      <x:c r="A125" s="43" t="str">
        <x:v>Not collected</x:v>
      </x:c>
      <x:c r="B125" s="44" t="n">
        <x:f>'Evaluation Plan'!B125</x:f>
        <x:v>123</x:v>
      </x:c>
      <x:c r="C125" s="43" t="str">
        <x:f>'Evaluation Plan'!C125</x:f>
        <x:v>Place the open black cup in the bowl.</x:v>
      </x:c>
      <x:c r="D125" s="43" t="str">
        <x:f>'Evaluation Plan'!D125</x:f>
        <x:v>black cup B (O, UD); black cup A (C, UD); yellow-white striped cup B (O, RU)</x:v>
      </x:c>
      <x:c r="E125" s="44" t="str">
        <x:f>'Evaluation Plan'!E125</x:f>
      </x:c>
      <x:c r="F125" s="44" t="str">
        <x:f>'Evaluation Plan'!F125</x:f>
        <x:v>101</x:v>
      </x:c>
      <x:c r="G125" s="43" t="str">
        <x:f>'Evaluation Plan'!G125</x:f>
        <x:v>State-word concept reference only. The black cup is absent from fine-tuning, so no exact object-level training episode exists.</x:v>
      </x:c>
      <x:c r="H125" s="43" t="str">
        <x:f>'Evaluation Plan'!H125</x:f>
        <x:v>black cup B</x:v>
      </x:c>
      <x:c r="I125" s="43" t="str"/>
      <x:c r="J125" s="46" t="str">
        <x:f>'Evaluation Plan'!J125</x:f>
        <x:v>Novel-object state reasoning</x:v>
      </x:c>
      <x:c r="K125" s="44" t="str">
        <x:f>'Evaluation Plan'!K125</x:f>
        <x:v>SR-BLACK14</x:v>
      </x:c>
      <x:c r="L125" s="44" t="str">
        <x:f>'Evaluation Plan'!L125</x:f>
        <x:v>O</x:v>
      </x:c>
      <x:c r="M125" s="44" t="str">
        <x:f>'Evaluation Plan'!M125</x:f>
        <x:v>black cup</x:v>
      </x:c>
      <x:c r="N125" s="44" t="n">
        <x:f>'Evaluation Plan'!N125</x:f>
        <x:v>3</x:v>
      </x:c>
      <x:c r="O125" s="44" t="n">
        <x:f>'Evaluation Plan'!O125</x:f>
        <x:v>1</x:v>
      </x:c>
      <x:c r="P125" s="44" t="str">
        <x:f>'Evaluation Plan'!P125</x:f>
        <x:v>Empty</x:v>
      </x:c>
      <x:c r="Q125" s="43" t="str">
        <x:f>'Evaluation Plan'!Q125</x:f>
        <x:v>Reasoning-only globally unseen black-cup diagnostic</x:v>
      </x:c>
      <x:c r="R125" s="44" t="n">
        <x:f>'Evaluation Plan'!R125</x:f>
        <x:v>5</x:v>
      </x:c>
      <x:c r="S125" s="43" t="str">
        <x:f>'Evaluation Plan'!S125</x:f>
        <x:v>Build the listed two-black-cup discrimination scene with the bowl empty.</x:v>
      </x:c>
      <x:c r="T125" s="43" t="str">
        <x:f>'Evaluation Plan'!T125</x:f>
        <x:v>Every prompt contains a state term; no direct-name-only black-cup trial is used. Report separately from the 50 primary transfer trials.</x:v>
      </x:c>
      <x:c r="U125" s="43" t="n">
        <x:f>'Evaluation Plan'!U125</x:f>
        <x:v>0</x:v>
      </x:c>
    </x:row>
    <x:row r="126" ht="51" customHeight="1">
      <x:c r="A126" s="40" t="str">
        <x:v>Not collected</x:v>
      </x:c>
      <x:c r="B126" s="41" t="n">
        <x:f>'Evaluation Plan'!B126</x:f>
        <x:v>124</x:v>
      </x:c>
      <x:c r="C126" s="40" t="str">
        <x:f>'Evaluation Plan'!C126</x:f>
        <x:v>Place the upside-down black cup in the bowl.</x:v>
      </x:c>
      <x:c r="D126" s="40" t="str">
        <x:f>'Evaluation Plan'!D126</x:f>
        <x:v>black cup A (C, UD); black cup B (C, RU); brown cup A (C, UD); glass spice container B (O, UD)</x:v>
      </x:c>
      <x:c r="E126" s="41" t="str">
        <x:f>'Evaluation Plan'!E126</x:f>
      </x:c>
      <x:c r="F126" s="41" t="str">
        <x:f>'Evaluation Plan'!F126</x:f>
        <x:v>78</x:v>
      </x:c>
      <x:c r="G126" s="40" t="str">
        <x:f>'Evaluation Plan'!G126</x:f>
        <x:v>State-word concept reference only. The black cup is absent from fine-tuning, so no exact object-level training episode exists.</x:v>
      </x:c>
      <x:c r="H126" s="40" t="str">
        <x:f>'Evaluation Plan'!H126</x:f>
        <x:v>black cup A</x:v>
      </x:c>
      <x:c r="I126" s="40" t="str"/>
      <x:c r="J126" s="46" t="str">
        <x:f>'Evaluation Plan'!J126</x:f>
        <x:v>Novel-object state reasoning</x:v>
      </x:c>
      <x:c r="K126" s="41" t="str">
        <x:f>'Evaluation Plan'!K126</x:f>
        <x:v>SR-BLACK15</x:v>
      </x:c>
      <x:c r="L126" s="41" t="str">
        <x:f>'Evaluation Plan'!L126</x:f>
        <x:v>UD</x:v>
      </x:c>
      <x:c r="M126" s="41" t="str">
        <x:f>'Evaluation Plan'!M126</x:f>
        <x:v>black cup</x:v>
      </x:c>
      <x:c r="N126" s="41" t="n">
        <x:f>'Evaluation Plan'!N126</x:f>
        <x:v>4</x:v>
      </x:c>
      <x:c r="O126" s="41" t="n">
        <x:f>'Evaluation Plan'!O126</x:f>
        <x:v>1</x:v>
      </x:c>
      <x:c r="P126" s="41" t="str">
        <x:f>'Evaluation Plan'!P126</x:f>
        <x:v>Empty</x:v>
      </x:c>
      <x:c r="Q126" s="40" t="str">
        <x:f>'Evaluation Plan'!Q126</x:f>
        <x:v>Reasoning-only globally unseen black-cup diagnostic</x:v>
      </x:c>
      <x:c r="R126" s="41" t="n">
        <x:f>'Evaluation Plan'!R126</x:f>
        <x:v>5</x:v>
      </x:c>
      <x:c r="S126" s="40" t="str">
        <x:f>'Evaluation Plan'!S126</x:f>
        <x:v>Build the listed two-black-cup discrimination scene with the bowl empty.</x:v>
      </x:c>
      <x:c r="T126" s="40" t="str">
        <x:f>'Evaluation Plan'!T126</x:f>
        <x:v>Every prompt contains a state term; no direct-name-only black-cup trial is used. Report separately from the 50 primary transfer trials.</x:v>
      </x:c>
      <x:c r="U126" s="40" t="n">
        <x:f>'Evaluation Plan'!U126</x:f>
        <x:v>0</x:v>
      </x:c>
    </x:row>
    <x:row r="127" ht="51" customHeight="1">
      <x:c r="A127" s="43" t="str">
        <x:v>Not collected</x:v>
      </x:c>
      <x:c r="B127" s="44" t="n">
        <x:f>'Evaluation Plan'!B127</x:f>
        <x:v>125</x:v>
      </x:c>
      <x:c r="C127" s="43" t="str">
        <x:f>'Evaluation Plan'!C127</x:f>
        <x:v>Place the upright black cup in the bowl.</x:v>
      </x:c>
      <x:c r="D127" s="43" t="str">
        <x:f>'Evaluation Plan'!D127</x:f>
        <x:v>black cup B (O, RU); black cup A (O, UD)</x:v>
      </x:c>
      <x:c r="E127" s="44" t="str">
        <x:f>'Evaluation Plan'!E127</x:f>
      </x:c>
      <x:c r="F127" s="44" t="str">
        <x:f>'Evaluation Plan'!F127</x:f>
        <x:v>26</x:v>
      </x:c>
      <x:c r="G127" s="43" t="str">
        <x:f>'Evaluation Plan'!G127</x:f>
        <x:v>State-word concept reference only. The black cup is absent from fine-tuning, so no exact object-level training episode exists.</x:v>
      </x:c>
      <x:c r="H127" s="43" t="str">
        <x:f>'Evaluation Plan'!H127</x:f>
        <x:v>black cup B</x:v>
      </x:c>
      <x:c r="I127" s="43" t="str"/>
      <x:c r="J127" s="46" t="str">
        <x:f>'Evaluation Plan'!J127</x:f>
        <x:v>Novel-object state reasoning</x:v>
      </x:c>
      <x:c r="K127" s="44" t="str">
        <x:f>'Evaluation Plan'!K127</x:f>
        <x:v>SR-BLACK16</x:v>
      </x:c>
      <x:c r="L127" s="44" t="str">
        <x:f>'Evaluation Plan'!L127</x:f>
        <x:v>RU</x:v>
      </x:c>
      <x:c r="M127" s="44" t="str">
        <x:f>'Evaluation Plan'!M127</x:f>
        <x:v>black cup</x:v>
      </x:c>
      <x:c r="N127" s="44" t="n">
        <x:f>'Evaluation Plan'!N127</x:f>
        <x:v>2</x:v>
      </x:c>
      <x:c r="O127" s="44" t="n">
        <x:f>'Evaluation Plan'!O127</x:f>
        <x:v>1</x:v>
      </x:c>
      <x:c r="P127" s="44" t="str">
        <x:f>'Evaluation Plan'!P127</x:f>
        <x:v>Empty</x:v>
      </x:c>
      <x:c r="Q127" s="43" t="str">
        <x:f>'Evaluation Plan'!Q127</x:f>
        <x:v>Reasoning-only globally unseen black-cup diagnostic</x:v>
      </x:c>
      <x:c r="R127" s="44" t="n">
        <x:f>'Evaluation Plan'!R127</x:f>
        <x:v>5</x:v>
      </x:c>
      <x:c r="S127" s="43" t="str">
        <x:f>'Evaluation Plan'!S127</x:f>
        <x:v>Build the listed two-black-cup discrimination scene with the bowl empty.</x:v>
      </x:c>
      <x:c r="T127" s="43" t="str">
        <x:f>'Evaluation Plan'!T127</x:f>
        <x:v>Every prompt contains a state term; no direct-name-only black-cup trial is used. Report separately from the 50 primary transfer trials.</x:v>
      </x:c>
      <x:c r="U127" s="43" t="n">
        <x:f>'Evaluation Plan'!U127</x:f>
        <x:v>0</x:v>
      </x:c>
    </x:row>
    <x:row r="128" ht="51" customHeight="1">
      <x:c r="A128" s="40" t="str">
        <x:v>Not collected</x:v>
      </x:c>
      <x:c r="B128" s="41" t="n">
        <x:f>'Evaluation Plan'!B128</x:f>
        <x:v>126</x:v>
      </x:c>
      <x:c r="C128" s="40" t="str">
        <x:f>'Evaluation Plan'!C128</x:f>
        <x:v>Place the closed black cup in the bowl.</x:v>
      </x:c>
      <x:c r="D128" s="40" t="str">
        <x:f>'Evaluation Plan'!D128</x:f>
        <x:v>black cup A (C, RU); black cup B (O, RU); white cup A (C, RU)</x:v>
      </x:c>
      <x:c r="E128" s="41" t="str">
        <x:f>'Evaluation Plan'!E128</x:f>
      </x:c>
      <x:c r="F128" s="41" t="str">
        <x:f>'Evaluation Plan'!F128</x:f>
        <x:v>0</x:v>
      </x:c>
      <x:c r="G128" s="40" t="str">
        <x:f>'Evaluation Plan'!G128</x:f>
        <x:v>State-word concept reference only. The black cup is absent from fine-tuning, so no exact object-level training episode exists.</x:v>
      </x:c>
      <x:c r="H128" s="40" t="str">
        <x:f>'Evaluation Plan'!H128</x:f>
        <x:v>black cup A</x:v>
      </x:c>
      <x:c r="I128" s="40" t="str"/>
      <x:c r="J128" s="46" t="str">
        <x:f>'Evaluation Plan'!J128</x:f>
        <x:v>Novel-object state reasoning</x:v>
      </x:c>
      <x:c r="K128" s="41" t="str">
        <x:f>'Evaluation Plan'!K128</x:f>
        <x:v>SR-BLACK17</x:v>
      </x:c>
      <x:c r="L128" s="41" t="str">
        <x:f>'Evaluation Plan'!L128</x:f>
        <x:v>C</x:v>
      </x:c>
      <x:c r="M128" s="41" t="str">
        <x:f>'Evaluation Plan'!M128</x:f>
        <x:v>black cup</x:v>
      </x:c>
      <x:c r="N128" s="41" t="n">
        <x:f>'Evaluation Plan'!N128</x:f>
        <x:v>3</x:v>
      </x:c>
      <x:c r="O128" s="41" t="n">
        <x:f>'Evaluation Plan'!O128</x:f>
        <x:v>1</x:v>
      </x:c>
      <x:c r="P128" s="41" t="str">
        <x:f>'Evaluation Plan'!P128</x:f>
        <x:v>Empty</x:v>
      </x:c>
      <x:c r="Q128" s="40" t="str">
        <x:f>'Evaluation Plan'!Q128</x:f>
        <x:v>Reasoning-only globally unseen black-cup diagnostic</x:v>
      </x:c>
      <x:c r="R128" s="41" t="n">
        <x:f>'Evaluation Plan'!R128</x:f>
        <x:v>5</x:v>
      </x:c>
      <x:c r="S128" s="40" t="str">
        <x:f>'Evaluation Plan'!S128</x:f>
        <x:v>Build the listed two-black-cup discrimination scene with the bowl empty.</x:v>
      </x:c>
      <x:c r="T128" s="40" t="str">
        <x:f>'Evaluation Plan'!T128</x:f>
        <x:v>Every prompt contains a state term; no direct-name-only black-cup trial is used. Report separately from the 50 primary transfer trials.</x:v>
      </x:c>
      <x:c r="U128" s="40" t="n">
        <x:f>'Evaluation Plan'!U128</x:f>
        <x:v>0</x:v>
      </x:c>
    </x:row>
    <x:row r="129" ht="51" customHeight="1">
      <x:c r="A129" s="43" t="str">
        <x:v>Not collected</x:v>
      </x:c>
      <x:c r="B129" s="44" t="n">
        <x:f>'Evaluation Plan'!B129</x:f>
        <x:v>127</x:v>
      </x:c>
      <x:c r="C129" s="43" t="str">
        <x:f>'Evaluation Plan'!C129</x:f>
        <x:v>Place the open black cup in the bowl.</x:v>
      </x:c>
      <x:c r="D129" s="43" t="str">
        <x:f>'Evaluation Plan'!D129</x:f>
        <x:v>black cup B (O, UD); black cup A (C, UD); yellow-white striped cup B (O, RU); brown cup A (C, UD)</x:v>
      </x:c>
      <x:c r="E129" s="44" t="str">
        <x:f>'Evaluation Plan'!E129</x:f>
      </x:c>
      <x:c r="F129" s="44" t="str">
        <x:f>'Evaluation Plan'!F129</x:f>
        <x:v>101</x:v>
      </x:c>
      <x:c r="G129" s="43" t="str">
        <x:f>'Evaluation Plan'!G129</x:f>
        <x:v>State-word concept reference only. The black cup is absent from fine-tuning, so no exact object-level training episode exists.</x:v>
      </x:c>
      <x:c r="H129" s="43" t="str">
        <x:f>'Evaluation Plan'!H129</x:f>
        <x:v>black cup B</x:v>
      </x:c>
      <x:c r="I129" s="43" t="str"/>
      <x:c r="J129" s="46" t="str">
        <x:f>'Evaluation Plan'!J129</x:f>
        <x:v>Novel-object state reasoning</x:v>
      </x:c>
      <x:c r="K129" s="44" t="str">
        <x:f>'Evaluation Plan'!K129</x:f>
        <x:v>SR-BLACK18</x:v>
      </x:c>
      <x:c r="L129" s="44" t="str">
        <x:f>'Evaluation Plan'!L129</x:f>
        <x:v>O</x:v>
      </x:c>
      <x:c r="M129" s="44" t="str">
        <x:f>'Evaluation Plan'!M129</x:f>
        <x:v>black cup</x:v>
      </x:c>
      <x:c r="N129" s="44" t="n">
        <x:f>'Evaluation Plan'!N129</x:f>
        <x:v>4</x:v>
      </x:c>
      <x:c r="O129" s="44" t="n">
        <x:f>'Evaluation Plan'!O129</x:f>
        <x:v>1</x:v>
      </x:c>
      <x:c r="P129" s="44" t="str">
        <x:f>'Evaluation Plan'!P129</x:f>
        <x:v>Empty</x:v>
      </x:c>
      <x:c r="Q129" s="43" t="str">
        <x:f>'Evaluation Plan'!Q129</x:f>
        <x:v>Reasoning-only globally unseen black-cup diagnostic</x:v>
      </x:c>
      <x:c r="R129" s="44" t="n">
        <x:f>'Evaluation Plan'!R129</x:f>
        <x:v>5</x:v>
      </x:c>
      <x:c r="S129" s="43" t="str">
        <x:f>'Evaluation Plan'!S129</x:f>
        <x:v>Build the listed two-black-cup discrimination scene with the bowl empty.</x:v>
      </x:c>
      <x:c r="T129" s="43" t="str">
        <x:f>'Evaluation Plan'!T129</x:f>
        <x:v>Every prompt contains a state term; no direct-name-only black-cup trial is used. Report separately from the 50 primary transfer trials.</x:v>
      </x:c>
      <x:c r="U129" s="43" t="n">
        <x:f>'Evaluation Plan'!U129</x:f>
        <x:v>0</x:v>
      </x:c>
    </x:row>
    <x:row r="130" ht="51" customHeight="1">
      <x:c r="A130" s="40" t="str">
        <x:v>Not collected</x:v>
      </x:c>
      <x:c r="B130" s="41" t="n">
        <x:f>'Evaluation Plan'!B130</x:f>
        <x:v>128</x:v>
      </x:c>
      <x:c r="C130" s="40" t="str">
        <x:f>'Evaluation Plan'!C130</x:f>
        <x:v>Place the upside-down black cup in the bowl.</x:v>
      </x:c>
      <x:c r="D130" s="40" t="str">
        <x:f>'Evaluation Plan'!D130</x:f>
        <x:v>black cup A (C, UD); black cup B (C, RU)</x:v>
      </x:c>
      <x:c r="E130" s="41" t="str">
        <x:f>'Evaluation Plan'!E130</x:f>
      </x:c>
      <x:c r="F130" s="41" t="str">
        <x:f>'Evaluation Plan'!F130</x:f>
        <x:v>78</x:v>
      </x:c>
      <x:c r="G130" s="40" t="str">
        <x:f>'Evaluation Plan'!G130</x:f>
        <x:v>State-word concept reference only. The black cup is absent from fine-tuning, so no exact object-level training episode exists.</x:v>
      </x:c>
      <x:c r="H130" s="40" t="str">
        <x:f>'Evaluation Plan'!H130</x:f>
        <x:v>black cup A</x:v>
      </x:c>
      <x:c r="I130" s="40" t="str"/>
      <x:c r="J130" s="46" t="str">
        <x:f>'Evaluation Plan'!J130</x:f>
        <x:v>Novel-object state reasoning</x:v>
      </x:c>
      <x:c r="K130" s="41" t="str">
        <x:f>'Evaluation Plan'!K130</x:f>
        <x:v>SR-BLACK19</x:v>
      </x:c>
      <x:c r="L130" s="41" t="str">
        <x:f>'Evaluation Plan'!L130</x:f>
        <x:v>UD</x:v>
      </x:c>
      <x:c r="M130" s="41" t="str">
        <x:f>'Evaluation Plan'!M130</x:f>
        <x:v>black cup</x:v>
      </x:c>
      <x:c r="N130" s="41" t="n">
        <x:f>'Evaluation Plan'!N130</x:f>
        <x:v>2</x:v>
      </x:c>
      <x:c r="O130" s="41" t="n">
        <x:f>'Evaluation Plan'!O130</x:f>
        <x:v>1</x:v>
      </x:c>
      <x:c r="P130" s="41" t="str">
        <x:f>'Evaluation Plan'!P130</x:f>
        <x:v>Empty</x:v>
      </x:c>
      <x:c r="Q130" s="40" t="str">
        <x:f>'Evaluation Plan'!Q130</x:f>
        <x:v>Reasoning-only globally unseen black-cup diagnostic</x:v>
      </x:c>
      <x:c r="R130" s="41" t="n">
        <x:f>'Evaluation Plan'!R130</x:f>
        <x:v>5</x:v>
      </x:c>
      <x:c r="S130" s="40" t="str">
        <x:f>'Evaluation Plan'!S130</x:f>
        <x:v>Build the listed two-black-cup discrimination scene with the bowl empty.</x:v>
      </x:c>
      <x:c r="T130" s="40" t="str">
        <x:f>'Evaluation Plan'!T130</x:f>
        <x:v>Every prompt contains a state term; no direct-name-only black-cup trial is used. Report separately from the 50 primary transfer trials.</x:v>
      </x:c>
      <x:c r="U130" s="40" t="n">
        <x:f>'Evaluation Plan'!U130</x:f>
        <x:v>0</x:v>
      </x:c>
    </x:row>
    <x:row r="131" ht="51" customHeight="1">
      <x:c r="A131" s="43" t="str">
        <x:v>Not collected</x:v>
      </x:c>
      <x:c r="B131" s="44" t="n">
        <x:f>'Evaluation Plan'!B131</x:f>
        <x:v>129</x:v>
      </x:c>
      <x:c r="C131" s="43" t="str">
        <x:f>'Evaluation Plan'!C131</x:f>
        <x:v>Place the upright black cup in the bowl.</x:v>
      </x:c>
      <x:c r="D131" s="43" t="str">
        <x:f>'Evaluation Plan'!D131</x:f>
        <x:v>black cup B (O, RU); black cup A (O, UD); glass spice container B (O, UD)</x:v>
      </x:c>
      <x:c r="E131" s="44" t="str">
        <x:f>'Evaluation Plan'!E131</x:f>
      </x:c>
      <x:c r="F131" s="44" t="str">
        <x:f>'Evaluation Plan'!F131</x:f>
        <x:v>26</x:v>
      </x:c>
      <x:c r="G131" s="43" t="str">
        <x:f>'Evaluation Plan'!G131</x:f>
        <x:v>State-word concept reference only. The black cup is absent from fine-tuning, so no exact object-level training episode exists.</x:v>
      </x:c>
      <x:c r="H131" s="43" t="str">
        <x:f>'Evaluation Plan'!H131</x:f>
        <x:v>black cup B</x:v>
      </x:c>
      <x:c r="I131" s="43" t="str"/>
      <x:c r="J131" s="46" t="str">
        <x:f>'Evaluation Plan'!J131</x:f>
        <x:v>Novel-object state reasoning</x:v>
      </x:c>
      <x:c r="K131" s="44" t="str">
        <x:f>'Evaluation Plan'!K131</x:f>
        <x:v>SR-BLACK20</x:v>
      </x:c>
      <x:c r="L131" s="44" t="str">
        <x:f>'Evaluation Plan'!L131</x:f>
        <x:v>RU</x:v>
      </x:c>
      <x:c r="M131" s="44" t="str">
        <x:f>'Evaluation Plan'!M131</x:f>
        <x:v>black cup</x:v>
      </x:c>
      <x:c r="N131" s="44" t="n">
        <x:f>'Evaluation Plan'!N131</x:f>
        <x:v>3</x:v>
      </x:c>
      <x:c r="O131" s="44" t="n">
        <x:f>'Evaluation Plan'!O131</x:f>
        <x:v>1</x:v>
      </x:c>
      <x:c r="P131" s="44" t="str">
        <x:f>'Evaluation Plan'!P131</x:f>
        <x:v>Empty</x:v>
      </x:c>
      <x:c r="Q131" s="43" t="str">
        <x:f>'Evaluation Plan'!Q131</x:f>
        <x:v>Reasoning-only globally unseen black-cup diagnostic</x:v>
      </x:c>
      <x:c r="R131" s="44" t="n">
        <x:f>'Evaluation Plan'!R131</x:f>
        <x:v>5</x:v>
      </x:c>
      <x:c r="S131" s="43" t="str">
        <x:f>'Evaluation Plan'!S131</x:f>
        <x:v>Build the listed two-black-cup discrimination scene with the bowl empty.</x:v>
      </x:c>
      <x:c r="T131" s="43" t="str">
        <x:f>'Evaluation Plan'!T131</x:f>
        <x:v>Every prompt contains a state term; no direct-name-only black-cup trial is used. Report separately from the 50 primary transfer trials.</x:v>
      </x:c>
      <x:c r="U131" s="43" t="n">
        <x:f>'Evaluation Plan'!U131</x:f>
        <x:v>0</x:v>
      </x:c>
    </x:row>
    <x:row r="132" ht="51" customHeight="1">
      <x:c r="A132" s="40" t="str">
        <x:v>Not collected</x:v>
      </x:c>
      <x:c r="B132" s="41" t="n">
        <x:f>'Evaluation Plan'!B132</x:f>
        <x:v>130</x:v>
      </x:c>
      <x:c r="C132" s="40" t="str">
        <x:f>'Evaluation Plan'!C132</x:f>
        <x:v>Place the closed white cup in the bowl.</x:v>
      </x:c>
      <x:c r="D132" s="40" t="str">
        <x:f>'Evaluation Plan'!D132</x:f>
        <x:v>white cup A (O, RU); white cup B (O, UD)</x:v>
      </x:c>
      <x:c r="E132" s="41" t="str">
        <x:f>'Evaluation Plan'!E132</x:f>
      </x:c>
      <x:c r="F132" s="41" t="str">
        <x:f>'Evaluation Plan'!F132</x:f>
        <x:v>0</x:v>
      </x:c>
      <x:c r="G132" s="40" t="str">
        <x:f>'Evaluation Plan'!G132</x:f>
        <x:v>The state-object concept is explicitly trained, but training does not contain a no-satisfying-target abstention trajectory.</x:v>
      </x:c>
      <x:c r="H132" s="40" t="str">
        <x:f>'Evaluation Plan'!H132</x:f>
        <x:v>NO-OP; no object has state C, so nothing should be picked up</x:v>
      </x:c>
      <x:c r="I132" s="40" t="str"/>
      <x:c r="J132" s="42" t="str">
        <x:f>'Evaluation Plan'!J132</x:f>
        <x:v>No valid target / no movement</x:v>
      </x:c>
      <x:c r="K132" s="41" t="str">
        <x:f>'Evaluation Plan'!K132</x:f>
        <x:v>SR-NOOP01</x:v>
      </x:c>
      <x:c r="L132" s="41" t="str">
        <x:f>'Evaluation Plan'!L132</x:f>
        <x:v>C</x:v>
      </x:c>
      <x:c r="M132" s="41" t="str">
        <x:f>'Evaluation Plan'!M132</x:f>
        <x:v>white cup</x:v>
      </x:c>
      <x:c r="N132" s="41" t="n">
        <x:f>'Evaluation Plan'!N132</x:f>
        <x:v>2</x:v>
      </x:c>
      <x:c r="O132" s="41" t="n">
        <x:f>'Evaluation Plan'!O132</x:f>
        <x:v>0</x:v>
      </x:c>
      <x:c r="P132" s="41" t="str">
        <x:f>'Evaluation Plan'!P132</x:f>
        <x:v>Empty</x:v>
      </x:c>
      <x:c r="Q132" s="40" t="str">
        <x:f>'Evaluation Plan'!Q132</x:f>
        <x:v>No satisfying state present; bowl remains empty</x:v>
      </x:c>
      <x:c r="R132" s="41" t="n">
        <x:f>'Evaluation Plan'!R132</x:f>
        <x:v>6</x:v>
      </x:c>
      <x:c r="S132" s="40" t="str">
        <x:f>'Evaluation Plan'!S132</x:f>
        <x:v>Build the listed no-match scene and confirm the bowl is empty.</x:v>
      </x:c>
      <x:c r="T132" s="40" t="str">
        <x:f>'Evaluation Plan'!T132</x:f>
        <x:v>No object in the entire scene has the queried state. The prompt uses the same canonical frame as active trials, and the queried state-object cell is training-supported.</x:v>
      </x:c>
      <x:c r="U132" s="40" t="n">
        <x:f>'Evaluation Plan'!U132</x:f>
        <x:v>0</x:v>
      </x:c>
    </x:row>
    <x:row r="133" ht="51" customHeight="1">
      <x:c r="A133" s="43" t="str">
        <x:v>Not collected</x:v>
      </x:c>
      <x:c r="B133" s="44" t="n">
        <x:f>'Evaluation Plan'!B133</x:f>
        <x:v>131</x:v>
      </x:c>
      <x:c r="C133" s="43" t="str">
        <x:f>'Evaluation Plan'!C133</x:f>
        <x:v>Place the upside-down yellow-white striped cup in the bowl.</x:v>
      </x:c>
      <x:c r="D133" s="43" t="str">
        <x:f>'Evaluation Plan'!D133</x:f>
        <x:v>yellow-white striped cup A (C, RU); yellow-white striped cup B (O, RU); brown cup B (O, RU)</x:v>
      </x:c>
      <x:c r="E133" s="44" t="str">
        <x:f>'Evaluation Plan'!E133</x:f>
      </x:c>
      <x:c r="F133" s="44" t="str">
        <x:f>'Evaluation Plan'!F133</x:f>
        <x:v>78</x:v>
      </x:c>
      <x:c r="G133" s="43" t="str">
        <x:f>'Evaluation Plan'!G133</x:f>
        <x:v>The state-object concept is explicitly trained, but training does not contain a no-satisfying-target abstention trajectory.</x:v>
      </x:c>
      <x:c r="H133" s="43" t="str">
        <x:f>'Evaluation Plan'!H133</x:f>
        <x:v>NO-OP; no object has state UD, so nothing should be picked up</x:v>
      </x:c>
      <x:c r="I133" s="43" t="str"/>
      <x:c r="J133" s="42" t="str">
        <x:f>'Evaluation Plan'!J133</x:f>
        <x:v>No valid target / no movement</x:v>
      </x:c>
      <x:c r="K133" s="44" t="str">
        <x:f>'Evaluation Plan'!K133</x:f>
        <x:v>SR-NOOP02</x:v>
      </x:c>
      <x:c r="L133" s="44" t="str">
        <x:f>'Evaluation Plan'!L133</x:f>
        <x:v>UD</x:v>
      </x:c>
      <x:c r="M133" s="44" t="str">
        <x:f>'Evaluation Plan'!M133</x:f>
        <x:v>yellow-white striped cup</x:v>
      </x:c>
      <x:c r="N133" s="44" t="n">
        <x:f>'Evaluation Plan'!N133</x:f>
        <x:v>3</x:v>
      </x:c>
      <x:c r="O133" s="44" t="n">
        <x:f>'Evaluation Plan'!O133</x:f>
        <x:v>0</x:v>
      </x:c>
      <x:c r="P133" s="44" t="str">
        <x:f>'Evaluation Plan'!P133</x:f>
        <x:v>Empty</x:v>
      </x:c>
      <x:c r="Q133" s="43" t="str">
        <x:f>'Evaluation Plan'!Q133</x:f>
        <x:v>No satisfying state present; bowl remains empty</x:v>
      </x:c>
      <x:c r="R133" s="44" t="n">
        <x:f>'Evaluation Plan'!R133</x:f>
        <x:v>6</x:v>
      </x:c>
      <x:c r="S133" s="43" t="str">
        <x:f>'Evaluation Plan'!S133</x:f>
        <x:v>Build the listed no-match scene and confirm the bowl is empty.</x:v>
      </x:c>
      <x:c r="T133" s="43" t="str">
        <x:f>'Evaluation Plan'!T133</x:f>
        <x:v>No object in the entire scene has the queried state. The prompt uses the same canonical frame as active trials, and the queried state-object cell is training-supported.</x:v>
      </x:c>
      <x:c r="U133" s="43" t="n">
        <x:f>'Evaluation Plan'!U133</x:f>
        <x:v>0</x:v>
      </x:c>
    </x:row>
    <x:row r="134" ht="51" customHeight="1">
      <x:c r="A134" s="40" t="str">
        <x:v>Not collected</x:v>
      </x:c>
      <x:c r="B134" s="41" t="n">
        <x:f>'Evaluation Plan'!B134</x:f>
        <x:v>132</x:v>
      </x:c>
      <x:c r="C134" s="40" t="str">
        <x:f>'Evaluation Plan'!C134</x:f>
        <x:v>Place the open brown cup in the bowl.</x:v>
      </x:c>
      <x:c r="D134" s="40" t="str">
        <x:f>'Evaluation Plan'!D134</x:f>
        <x:v>brown cup A (C, RU); brown cup B (C, UD); glass spice container A (C, UD); white cup B (C, UD)</x:v>
      </x:c>
      <x:c r="E134" s="41" t="str">
        <x:f>'Evaluation Plan'!E134</x:f>
      </x:c>
      <x:c r="F134" s="41" t="str">
        <x:f>'Evaluation Plan'!F134</x:f>
        <x:v>101</x:v>
      </x:c>
      <x:c r="G134" s="40" t="str">
        <x:f>'Evaluation Plan'!G134</x:f>
        <x:v>The state-object concept is explicitly trained, but training does not contain a no-satisfying-target abstention trajectory.</x:v>
      </x:c>
      <x:c r="H134" s="40" t="str">
        <x:f>'Evaluation Plan'!H134</x:f>
        <x:v>NO-OP; no object has state O, so nothing should be picked up</x:v>
      </x:c>
      <x:c r="I134" s="40" t="str"/>
      <x:c r="J134" s="42" t="str">
        <x:f>'Evaluation Plan'!J134</x:f>
        <x:v>No valid target / no movement</x:v>
      </x:c>
      <x:c r="K134" s="41" t="str">
        <x:f>'Evaluation Plan'!K134</x:f>
        <x:v>SR-NOOP03</x:v>
      </x:c>
      <x:c r="L134" s="41" t="str">
        <x:f>'Evaluation Plan'!L134</x:f>
        <x:v>O</x:v>
      </x:c>
      <x:c r="M134" s="41" t="str">
        <x:f>'Evaluation Plan'!M134</x:f>
        <x:v>brown cup</x:v>
      </x:c>
      <x:c r="N134" s="41" t="n">
        <x:f>'Evaluation Plan'!N134</x:f>
        <x:v>4</x:v>
      </x:c>
      <x:c r="O134" s="41" t="n">
        <x:f>'Evaluation Plan'!O134</x:f>
        <x:v>0</x:v>
      </x:c>
      <x:c r="P134" s="41" t="str">
        <x:f>'Evaluation Plan'!P134</x:f>
        <x:v>Empty</x:v>
      </x:c>
      <x:c r="Q134" s="40" t="str">
        <x:f>'Evaluation Plan'!Q134</x:f>
        <x:v>No satisfying state present; bowl remains empty</x:v>
      </x:c>
      <x:c r="R134" s="41" t="n">
        <x:f>'Evaluation Plan'!R134</x:f>
        <x:v>6</x:v>
      </x:c>
      <x:c r="S134" s="40" t="str">
        <x:f>'Evaluation Plan'!S134</x:f>
        <x:v>Build the listed no-match scene and confirm the bowl is empty.</x:v>
      </x:c>
      <x:c r="T134" s="40" t="str">
        <x:f>'Evaluation Plan'!T134</x:f>
        <x:v>No object in the entire scene has the queried state. The prompt uses the same canonical frame as active trials, and the queried state-object cell is training-supported.</x:v>
      </x:c>
      <x:c r="U134" s="40" t="n">
        <x:f>'Evaluation Plan'!U134</x:f>
        <x:v>0</x:v>
      </x:c>
    </x:row>
    <x:row r="135" ht="51" customHeight="1">
      <x:c r="A135" s="43" t="str">
        <x:v>Not collected</x:v>
      </x:c>
      <x:c r="B135" s="44" t="n">
        <x:f>'Evaluation Plan'!B135</x:f>
        <x:v>133</x:v>
      </x:c>
      <x:c r="C135" s="43" t="str">
        <x:f>'Evaluation Plan'!C135</x:f>
        <x:v>Place the closed glass spice container in the bowl.</x:v>
      </x:c>
      <x:c r="D135" s="43" t="str">
        <x:f>'Evaluation Plan'!D135</x:f>
        <x:v>glass spice container A (O, RU); glass spice container B (O, UD)</x:v>
      </x:c>
      <x:c r="E135" s="44" t="str">
        <x:f>'Evaluation Plan'!E135</x:f>
      </x:c>
      <x:c r="F135" s="44" t="str">
        <x:f>'Evaluation Plan'!F135</x:f>
        <x:v>151</x:v>
      </x:c>
      <x:c r="G135" s="43" t="str">
        <x:f>'Evaluation Plan'!G135</x:f>
        <x:v>The state-object concept is explicitly trained, but training does not contain a no-satisfying-target abstention trajectory.</x:v>
      </x:c>
      <x:c r="H135" s="43" t="str">
        <x:f>'Evaluation Plan'!H135</x:f>
        <x:v>NO-OP; no object has state C, so nothing should be picked up</x:v>
      </x:c>
      <x:c r="I135" s="43" t="str"/>
      <x:c r="J135" s="42" t="str">
        <x:f>'Evaluation Plan'!J135</x:f>
        <x:v>No valid target / no movement</x:v>
      </x:c>
      <x:c r="K135" s="44" t="str">
        <x:f>'Evaluation Plan'!K135</x:f>
        <x:v>SR-NOOP04</x:v>
      </x:c>
      <x:c r="L135" s="44" t="str">
        <x:f>'Evaluation Plan'!L135</x:f>
        <x:v>C</x:v>
      </x:c>
      <x:c r="M135" s="44" t="str">
        <x:f>'Evaluation Plan'!M135</x:f>
        <x:v>glass spice container</x:v>
      </x:c>
      <x:c r="N135" s="44" t="n">
        <x:f>'Evaluation Plan'!N135</x:f>
        <x:v>2</x:v>
      </x:c>
      <x:c r="O135" s="44" t="n">
        <x:f>'Evaluation Plan'!O135</x:f>
        <x:v>0</x:v>
      </x:c>
      <x:c r="P135" s="44" t="str">
        <x:f>'Evaluation Plan'!P135</x:f>
        <x:v>Empty</x:v>
      </x:c>
      <x:c r="Q135" s="43" t="str">
        <x:f>'Evaluation Plan'!Q135</x:f>
        <x:v>No satisfying state present; bowl remains empty</x:v>
      </x:c>
      <x:c r="R135" s="44" t="n">
        <x:f>'Evaluation Plan'!R135</x:f>
        <x:v>6</x:v>
      </x:c>
      <x:c r="S135" s="43" t="str">
        <x:f>'Evaluation Plan'!S135</x:f>
        <x:v>Build the listed no-match scene and confirm the bowl is empty.</x:v>
      </x:c>
      <x:c r="T135" s="43" t="str">
        <x:f>'Evaluation Plan'!T135</x:f>
        <x:v>No object in the entire scene has the queried state. The prompt uses the same canonical frame as active trials, and the queried state-object cell is training-supported.</x:v>
      </x:c>
      <x:c r="U135" s="43" t="n">
        <x:f>'Evaluation Plan'!U135</x:f>
        <x:v>0</x:v>
      </x:c>
    </x:row>
    <x:row r="136" ht="51" customHeight="1">
      <x:c r="A136" s="40" t="str">
        <x:v>Not collected</x:v>
      </x:c>
      <x:c r="B136" s="41" t="n">
        <x:f>'Evaluation Plan'!B136</x:f>
        <x:v>134</x:v>
      </x:c>
      <x:c r="C136" s="40" t="str">
        <x:f>'Evaluation Plan'!C136</x:f>
        <x:v>Place the open white cup in the bowl.</x:v>
      </x:c>
      <x:c r="D136" s="40" t="str">
        <x:f>'Evaluation Plan'!D136</x:f>
        <x:v>white cup A (C, UD); white cup B (C, RU); glass spice container B (C, RU)</x:v>
      </x:c>
      <x:c r="E136" s="41" t="str">
        <x:f>'Evaluation Plan'!E136</x:f>
      </x:c>
      <x:c r="F136" s="41" t="str">
        <x:f>'Evaluation Plan'!F136</x:f>
        <x:v>1</x:v>
      </x:c>
      <x:c r="G136" s="40" t="str">
        <x:f>'Evaluation Plan'!G136</x:f>
        <x:v>The state-object concept is explicitly trained, but training does not contain a no-satisfying-target abstention trajectory.</x:v>
      </x:c>
      <x:c r="H136" s="40" t="str">
        <x:f>'Evaluation Plan'!H136</x:f>
        <x:v>NO-OP; no object has state O, so nothing should be picked up</x:v>
      </x:c>
      <x:c r="I136" s="40" t="str"/>
      <x:c r="J136" s="42" t="str">
        <x:f>'Evaluation Plan'!J136</x:f>
        <x:v>No valid target / no movement</x:v>
      </x:c>
      <x:c r="K136" s="41" t="str">
        <x:f>'Evaluation Plan'!K136</x:f>
        <x:v>SR-NOOP05</x:v>
      </x:c>
      <x:c r="L136" s="41" t="str">
        <x:f>'Evaluation Plan'!L136</x:f>
        <x:v>O</x:v>
      </x:c>
      <x:c r="M136" s="41" t="str">
        <x:f>'Evaluation Plan'!M136</x:f>
        <x:v>white cup</x:v>
      </x:c>
      <x:c r="N136" s="41" t="n">
        <x:f>'Evaluation Plan'!N136</x:f>
        <x:v>3</x:v>
      </x:c>
      <x:c r="O136" s="41" t="n">
        <x:f>'Evaluation Plan'!O136</x:f>
        <x:v>0</x:v>
      </x:c>
      <x:c r="P136" s="41" t="str">
        <x:f>'Evaluation Plan'!P136</x:f>
        <x:v>Empty</x:v>
      </x:c>
      <x:c r="Q136" s="40" t="str">
        <x:f>'Evaluation Plan'!Q136</x:f>
        <x:v>No satisfying state present; bowl remains empty</x:v>
      </x:c>
      <x:c r="R136" s="41" t="n">
        <x:f>'Evaluation Plan'!R136</x:f>
        <x:v>6</x:v>
      </x:c>
      <x:c r="S136" s="40" t="str">
        <x:f>'Evaluation Plan'!S136</x:f>
        <x:v>Build the listed no-match scene and confirm the bowl is empty.</x:v>
      </x:c>
      <x:c r="T136" s="40" t="str">
        <x:f>'Evaluation Plan'!T136</x:f>
        <x:v>No object in the entire scene has the queried state. The prompt uses the same canonical frame as active trials, and the queried state-object cell is training-supported.</x:v>
      </x:c>
      <x:c r="U136" s="40" t="n">
        <x:f>'Evaluation Plan'!U136</x:f>
        <x:v>0</x:v>
      </x:c>
    </x:row>
    <x:row r="137" ht="51" customHeight="1">
      <x:c r="A137" s="43" t="str">
        <x:v>Not collected</x:v>
      </x:c>
      <x:c r="B137" s="44" t="n">
        <x:f>'Evaluation Plan'!B137</x:f>
        <x:v>135</x:v>
      </x:c>
      <x:c r="C137" s="43" t="str">
        <x:f>'Evaluation Plan'!C137</x:f>
        <x:v>Place the upright yellow-white striped cup in the bowl.</x:v>
      </x:c>
      <x:c r="D137" s="43" t="str">
        <x:f>'Evaluation Plan'!D137</x:f>
        <x:v>yellow-white striped cup A (O, UD); yellow-white striped cup B (C, UD); white cup A (C, UD); brown cup B (O, UD)</x:v>
      </x:c>
      <x:c r="E137" s="44" t="str">
        <x:f>'Evaluation Plan'!E137</x:f>
      </x:c>
      <x:c r="F137" s="44" t="str">
        <x:f>'Evaluation Plan'!F137</x:f>
        <x:v>75</x:v>
      </x:c>
      <x:c r="G137" s="43" t="str">
        <x:f>'Evaluation Plan'!G137</x:f>
        <x:v>The state-object concept is explicitly trained, but training does not contain a no-satisfying-target abstention trajectory.</x:v>
      </x:c>
      <x:c r="H137" s="43" t="str">
        <x:f>'Evaluation Plan'!H137</x:f>
        <x:v>NO-OP; no object has state RU, so nothing should be picked up</x:v>
      </x:c>
      <x:c r="I137" s="43" t="str"/>
      <x:c r="J137" s="42" t="str">
        <x:f>'Evaluation Plan'!J137</x:f>
        <x:v>No valid target / no movement</x:v>
      </x:c>
      <x:c r="K137" s="44" t="str">
        <x:f>'Evaluation Plan'!K137</x:f>
        <x:v>SR-NOOP06</x:v>
      </x:c>
      <x:c r="L137" s="44" t="str">
        <x:f>'Evaluation Plan'!L137</x:f>
        <x:v>RU</x:v>
      </x:c>
      <x:c r="M137" s="44" t="str">
        <x:f>'Evaluation Plan'!M137</x:f>
        <x:v>yellow-white striped cup</x:v>
      </x:c>
      <x:c r="N137" s="44" t="n">
        <x:f>'Evaluation Plan'!N137</x:f>
        <x:v>4</x:v>
      </x:c>
      <x:c r="O137" s="44" t="n">
        <x:f>'Evaluation Plan'!O137</x:f>
        <x:v>0</x:v>
      </x:c>
      <x:c r="P137" s="44" t="str">
        <x:f>'Evaluation Plan'!P137</x:f>
        <x:v>Empty</x:v>
      </x:c>
      <x:c r="Q137" s="43" t="str">
        <x:f>'Evaluation Plan'!Q137</x:f>
        <x:v>No satisfying state present; bowl remains empty</x:v>
      </x:c>
      <x:c r="R137" s="44" t="n">
        <x:f>'Evaluation Plan'!R137</x:f>
        <x:v>6</x:v>
      </x:c>
      <x:c r="S137" s="43" t="str">
        <x:f>'Evaluation Plan'!S137</x:f>
        <x:v>Build the listed no-match scene and confirm the bowl is empty.</x:v>
      </x:c>
      <x:c r="T137" s="43" t="str">
        <x:f>'Evaluation Plan'!T137</x:f>
        <x:v>No object in the entire scene has the queried state. The prompt uses the same canonical frame as active trials, and the queried state-object cell is training-supported.</x:v>
      </x:c>
      <x:c r="U137" s="43" t="n">
        <x:f>'Evaluation Plan'!U137</x:f>
        <x:v>0</x:v>
      </x:c>
    </x:row>
    <x:row r="138" ht="51" customHeight="1">
      <x:c r="A138" s="40" t="str">
        <x:v>Not collected</x:v>
      </x:c>
      <x:c r="B138" s="41" t="n">
        <x:f>'Evaluation Plan'!B138</x:f>
        <x:v>136</x:v>
      </x:c>
      <x:c r="C138" s="40" t="str">
        <x:f>'Evaluation Plan'!C138</x:f>
        <x:v>Place the upside-down brown cup in the bowl.</x:v>
      </x:c>
      <x:c r="D138" s="40" t="str">
        <x:f>'Evaluation Plan'!D138</x:f>
        <x:v>brown cup A (O, RU); brown cup B (C, RU)</x:v>
      </x:c>
      <x:c r="E138" s="41" t="str">
        <x:f>'Evaluation Plan'!E138</x:f>
      </x:c>
      <x:c r="F138" s="41" t="str">
        <x:f>'Evaluation Plan'!F138</x:f>
        <x:v>125</x:v>
      </x:c>
      <x:c r="G138" s="40" t="str">
        <x:f>'Evaluation Plan'!G138</x:f>
        <x:v>The state-object concept is explicitly trained, but training does not contain a no-satisfying-target abstention trajectory.</x:v>
      </x:c>
      <x:c r="H138" s="40" t="str">
        <x:f>'Evaluation Plan'!H138</x:f>
        <x:v>NO-OP; no object has state UD, so nothing should be picked up</x:v>
      </x:c>
      <x:c r="I138" s="40" t="str"/>
      <x:c r="J138" s="42" t="str">
        <x:f>'Evaluation Plan'!J138</x:f>
        <x:v>No valid target / no movement</x:v>
      </x:c>
      <x:c r="K138" s="41" t="str">
        <x:f>'Evaluation Plan'!K138</x:f>
        <x:v>SR-NOOP07</x:v>
      </x:c>
      <x:c r="L138" s="41" t="str">
        <x:f>'Evaluation Plan'!L138</x:f>
        <x:v>UD</x:v>
      </x:c>
      <x:c r="M138" s="41" t="str">
        <x:f>'Evaluation Plan'!M138</x:f>
        <x:v>brown cup</x:v>
      </x:c>
      <x:c r="N138" s="41" t="n">
        <x:f>'Evaluation Plan'!N138</x:f>
        <x:v>2</x:v>
      </x:c>
      <x:c r="O138" s="41" t="n">
        <x:f>'Evaluation Plan'!O138</x:f>
        <x:v>0</x:v>
      </x:c>
      <x:c r="P138" s="41" t="str">
        <x:f>'Evaluation Plan'!P138</x:f>
        <x:v>Empty</x:v>
      </x:c>
      <x:c r="Q138" s="40" t="str">
        <x:f>'Evaluation Plan'!Q138</x:f>
        <x:v>No satisfying state present; bowl remains empty</x:v>
      </x:c>
      <x:c r="R138" s="41" t="n">
        <x:f>'Evaluation Plan'!R138</x:f>
        <x:v>6</x:v>
      </x:c>
      <x:c r="S138" s="40" t="str">
        <x:f>'Evaluation Plan'!S138</x:f>
        <x:v>Build the listed no-match scene and confirm the bowl is empty.</x:v>
      </x:c>
      <x:c r="T138" s="40" t="str">
        <x:f>'Evaluation Plan'!T138</x:f>
        <x:v>No object in the entire scene has the queried state. The prompt uses the same canonical frame as active trials, and the queried state-object cell is training-supported.</x:v>
      </x:c>
      <x:c r="U138" s="40" t="n">
        <x:f>'Evaluation Plan'!U138</x:f>
        <x:v>0</x:v>
      </x:c>
    </x:row>
    <x:row r="139" ht="51" customHeight="1">
      <x:c r="A139" s="43" t="str">
        <x:v>Not collected</x:v>
      </x:c>
      <x:c r="B139" s="44" t="n">
        <x:f>'Evaluation Plan'!B139</x:f>
        <x:v>137</x:v>
      </x:c>
      <x:c r="C139" s="43" t="str">
        <x:f>'Evaluation Plan'!C139</x:f>
        <x:v>Place the open glass spice container in the bowl.</x:v>
      </x:c>
      <x:c r="D139" s="43" t="str">
        <x:f>'Evaluation Plan'!D139</x:f>
        <x:v>glass spice container A (C, UD); glass spice container B (C, RU); brown cup A (C, RU)</x:v>
      </x:c>
      <x:c r="E139" s="44" t="str">
        <x:f>'Evaluation Plan'!E139</x:f>
      </x:c>
      <x:c r="F139" s="44" t="str">
        <x:f>'Evaluation Plan'!F139</x:f>
        <x:v>150</x:v>
      </x:c>
      <x:c r="G139" s="43" t="str">
        <x:f>'Evaluation Plan'!G139</x:f>
        <x:v>The state-object concept is explicitly trained, but training does not contain a no-satisfying-target abstention trajectory.</x:v>
      </x:c>
      <x:c r="H139" s="43" t="str">
        <x:f>'Evaluation Plan'!H139</x:f>
        <x:v>NO-OP; no object has state O, so nothing should be picked up</x:v>
      </x:c>
      <x:c r="I139" s="43" t="str"/>
      <x:c r="J139" s="42" t="str">
        <x:f>'Evaluation Plan'!J139</x:f>
        <x:v>No valid target / no movement</x:v>
      </x:c>
      <x:c r="K139" s="44" t="str">
        <x:f>'Evaluation Plan'!K139</x:f>
        <x:v>SR-NOOP08</x:v>
      </x:c>
      <x:c r="L139" s="44" t="str">
        <x:f>'Evaluation Plan'!L139</x:f>
        <x:v>O</x:v>
      </x:c>
      <x:c r="M139" s="44" t="str">
        <x:f>'Evaluation Plan'!M139</x:f>
        <x:v>glass spice container</x:v>
      </x:c>
      <x:c r="N139" s="44" t="n">
        <x:f>'Evaluation Plan'!N139</x:f>
        <x:v>3</x:v>
      </x:c>
      <x:c r="O139" s="44" t="n">
        <x:f>'Evaluation Plan'!O139</x:f>
        <x:v>0</x:v>
      </x:c>
      <x:c r="P139" s="44" t="str">
        <x:f>'Evaluation Plan'!P139</x:f>
        <x:v>Empty</x:v>
      </x:c>
      <x:c r="Q139" s="43" t="str">
        <x:f>'Evaluation Plan'!Q139</x:f>
        <x:v>No satisfying state present; bowl remains empty</x:v>
      </x:c>
      <x:c r="R139" s="44" t="n">
        <x:f>'Evaluation Plan'!R139</x:f>
        <x:v>6</x:v>
      </x:c>
      <x:c r="S139" s="43" t="str">
        <x:f>'Evaluation Plan'!S139</x:f>
        <x:v>Build the listed no-match scene and confirm the bowl is empty.</x:v>
      </x:c>
      <x:c r="T139" s="43" t="str">
        <x:f>'Evaluation Plan'!T139</x:f>
        <x:v>No object in the entire scene has the queried state. The prompt uses the same canonical frame as active trials, and the queried state-object cell is training-supported.</x:v>
      </x:c>
      <x:c r="U139" s="43" t="n">
        <x:f>'Evaluation Plan'!U139</x:f>
        <x:v>0</x:v>
      </x:c>
    </x:row>
    <x:row r="140" ht="51" customHeight="1">
      <x:c r="A140" s="40" t="str">
        <x:v>Not collected</x:v>
      </x:c>
      <x:c r="B140" s="41" t="n">
        <x:f>'Evaluation Plan'!B140</x:f>
        <x:v>138</x:v>
      </x:c>
      <x:c r="C140" s="40" t="str">
        <x:f>'Evaluation Plan'!C140</x:f>
        <x:v>Place the upright white cup in the bowl.</x:v>
      </x:c>
      <x:c r="D140" s="40" t="str">
        <x:f>'Evaluation Plan'!D140</x:f>
        <x:v>white cup A (C, UD); white cup B (O, UD); brown cup A (C, UD); glass spice container B (O, UD)</x:v>
      </x:c>
      <x:c r="E140" s="41" t="str">
        <x:f>'Evaluation Plan'!E140</x:f>
      </x:c>
      <x:c r="F140" s="41" t="str">
        <x:f>'Evaluation Plan'!F140</x:f>
        <x:v>26</x:v>
      </x:c>
      <x:c r="G140" s="40" t="str">
        <x:f>'Evaluation Plan'!G140</x:f>
        <x:v>The state-object concept is explicitly trained, but training does not contain a no-satisfying-target abstention trajectory.</x:v>
      </x:c>
      <x:c r="H140" s="40" t="str">
        <x:f>'Evaluation Plan'!H140</x:f>
        <x:v>NO-OP; no object has state RU, so nothing should be picked up</x:v>
      </x:c>
      <x:c r="I140" s="40" t="str"/>
      <x:c r="J140" s="42" t="str">
        <x:f>'Evaluation Plan'!J140</x:f>
        <x:v>No valid target / no movement</x:v>
      </x:c>
      <x:c r="K140" s="41" t="str">
        <x:f>'Evaluation Plan'!K140</x:f>
        <x:v>SR-NOOP09</x:v>
      </x:c>
      <x:c r="L140" s="41" t="str">
        <x:f>'Evaluation Plan'!L140</x:f>
        <x:v>RU</x:v>
      </x:c>
      <x:c r="M140" s="41" t="str">
        <x:f>'Evaluation Plan'!M140</x:f>
        <x:v>white cup</x:v>
      </x:c>
      <x:c r="N140" s="41" t="n">
        <x:f>'Evaluation Plan'!N140</x:f>
        <x:v>4</x:v>
      </x:c>
      <x:c r="O140" s="41" t="n">
        <x:f>'Evaluation Plan'!O140</x:f>
        <x:v>0</x:v>
      </x:c>
      <x:c r="P140" s="41" t="str">
        <x:f>'Evaluation Plan'!P140</x:f>
        <x:v>Empty</x:v>
      </x:c>
      <x:c r="Q140" s="40" t="str">
        <x:f>'Evaluation Plan'!Q140</x:f>
        <x:v>No satisfying state present; bowl remains empty</x:v>
      </x:c>
      <x:c r="R140" s="41" t="n">
        <x:f>'Evaluation Plan'!R140</x:f>
        <x:v>6</x:v>
      </x:c>
      <x:c r="S140" s="40" t="str">
        <x:f>'Evaluation Plan'!S140</x:f>
        <x:v>Build the listed no-match scene and confirm the bowl is empty.</x:v>
      </x:c>
      <x:c r="T140" s="40" t="str">
        <x:f>'Evaluation Plan'!T140</x:f>
        <x:v>No object in the entire scene has the queried state. The prompt uses the same canonical frame as active trials, and the queried state-object cell is training-supported.</x:v>
      </x:c>
      <x:c r="U140" s="40" t="n">
        <x:f>'Evaluation Plan'!U140</x:f>
        <x:v>0</x:v>
      </x:c>
    </x:row>
    <x:row r="141" ht="51" customHeight="1">
      <x:c r="A141" s="43" t="str">
        <x:v>Not collected</x:v>
      </x:c>
      <x:c r="B141" s="44" t="n">
        <x:f>'Evaluation Plan'!B141</x:f>
        <x:v>139</x:v>
      </x:c>
      <x:c r="C141" s="43" t="str">
        <x:f>'Evaluation Plan'!C141</x:f>
        <x:v>Place the closed yellow-white striped cup in the bowl.</x:v>
      </x:c>
      <x:c r="D141" s="43" t="str">
        <x:f>'Evaluation Plan'!D141</x:f>
        <x:v>yellow-white striped cup A (O, RU); yellow-white striped cup B (O, UD)</x:v>
      </x:c>
      <x:c r="E141" s="44" t="str">
        <x:f>'Evaluation Plan'!E141</x:f>
      </x:c>
      <x:c r="F141" s="44" t="str">
        <x:f>'Evaluation Plan'!F141</x:f>
        <x:v>51</x:v>
      </x:c>
      <x:c r="G141" s="43" t="str">
        <x:f>'Evaluation Plan'!G141</x:f>
        <x:v>The state-object concept is explicitly trained, but training does not contain a no-satisfying-target abstention trajectory.</x:v>
      </x:c>
      <x:c r="H141" s="43" t="str">
        <x:f>'Evaluation Plan'!H141</x:f>
        <x:v>NO-OP; no object has state C, so nothing should be picked up</x:v>
      </x:c>
      <x:c r="I141" s="43" t="str"/>
      <x:c r="J141" s="42" t="str">
        <x:f>'Evaluation Plan'!J141</x:f>
        <x:v>No valid target / no movement</x:v>
      </x:c>
      <x:c r="K141" s="44" t="str">
        <x:f>'Evaluation Plan'!K141</x:f>
        <x:v>SR-NOOP10</x:v>
      </x:c>
      <x:c r="L141" s="44" t="str">
        <x:f>'Evaluation Plan'!L141</x:f>
        <x:v>C</x:v>
      </x:c>
      <x:c r="M141" s="44" t="str">
        <x:f>'Evaluation Plan'!M141</x:f>
        <x:v>yellow-white striped cup</x:v>
      </x:c>
      <x:c r="N141" s="44" t="n">
        <x:f>'Evaluation Plan'!N141</x:f>
        <x:v>2</x:v>
      </x:c>
      <x:c r="O141" s="44" t="n">
        <x:f>'Evaluation Plan'!O141</x:f>
        <x:v>0</x:v>
      </x:c>
      <x:c r="P141" s="44" t="str">
        <x:f>'Evaluation Plan'!P141</x:f>
        <x:v>Empty</x:v>
      </x:c>
      <x:c r="Q141" s="43" t="str">
        <x:f>'Evaluation Plan'!Q141</x:f>
        <x:v>No satisfying state present; bowl remains empty</x:v>
      </x:c>
      <x:c r="R141" s="44" t="n">
        <x:f>'Evaluation Plan'!R141</x:f>
        <x:v>6</x:v>
      </x:c>
      <x:c r="S141" s="43" t="str">
        <x:f>'Evaluation Plan'!S141</x:f>
        <x:v>Build the listed no-match scene and confirm the bowl is empty.</x:v>
      </x:c>
      <x:c r="T141" s="43" t="str">
        <x:f>'Evaluation Plan'!T141</x:f>
        <x:v>No object in the entire scene has the queried state. The prompt uses the same canonical frame as active trials, and the queried state-object cell is training-supported.</x:v>
      </x:c>
      <x:c r="U141" s="43" t="n">
        <x:f>'Evaluation Plan'!U141</x:f>
        <x:v>0</x:v>
      </x:c>
    </x:row>
    <x:row r="142" ht="51" customHeight="1">
      <x:c r="A142" s="40" t="str">
        <x:v>Not collected</x:v>
      </x:c>
      <x:c r="B142" s="41" t="n">
        <x:f>'Evaluation Plan'!B142</x:f>
        <x:v>140</x:v>
      </x:c>
      <x:c r="C142" s="40" t="str">
        <x:f>'Evaluation Plan'!C142</x:f>
        <x:v>Place the upright brown cup in the bowl.</x:v>
      </x:c>
      <x:c r="D142" s="40" t="str">
        <x:f>'Evaluation Plan'!D142</x:f>
        <x:v>brown cup A (C, UD); brown cup B (O, UD); white cup A (C, UD)</x:v>
      </x:c>
      <x:c r="E142" s="41" t="str">
        <x:f>'Evaluation Plan'!E142</x:f>
      </x:c>
      <x:c r="F142" s="41" t="str">
        <x:f>'Evaluation Plan'!F142</x:f>
        <x:v>128</x:v>
      </x:c>
      <x:c r="G142" s="40" t="str">
        <x:f>'Evaluation Plan'!G142</x:f>
        <x:v>The state-object concept is explicitly trained, but training does not contain a no-satisfying-target abstention trajectory.</x:v>
      </x:c>
      <x:c r="H142" s="40" t="str">
        <x:f>'Evaluation Plan'!H142</x:f>
        <x:v>NO-OP; no object has state RU, so nothing should be picked up</x:v>
      </x:c>
      <x:c r="I142" s="40" t="str"/>
      <x:c r="J142" s="42" t="str">
        <x:f>'Evaluation Plan'!J142</x:f>
        <x:v>No valid target / no movement</x:v>
      </x:c>
      <x:c r="K142" s="41" t="str">
        <x:f>'Evaluation Plan'!K142</x:f>
        <x:v>SR-NOOP11</x:v>
      </x:c>
      <x:c r="L142" s="41" t="str">
        <x:f>'Evaluation Plan'!L142</x:f>
        <x:v>RU</x:v>
      </x:c>
      <x:c r="M142" s="41" t="str">
        <x:f>'Evaluation Plan'!M142</x:f>
        <x:v>brown cup</x:v>
      </x:c>
      <x:c r="N142" s="41" t="n">
        <x:f>'Evaluation Plan'!N142</x:f>
        <x:v>3</x:v>
      </x:c>
      <x:c r="O142" s="41" t="n">
        <x:f>'Evaluation Plan'!O142</x:f>
        <x:v>0</x:v>
      </x:c>
      <x:c r="P142" s="41" t="str">
        <x:f>'Evaluation Plan'!P142</x:f>
        <x:v>Empty</x:v>
      </x:c>
      <x:c r="Q142" s="40" t="str">
        <x:f>'Evaluation Plan'!Q142</x:f>
        <x:v>No satisfying state present; bowl remains empty</x:v>
      </x:c>
      <x:c r="R142" s="41" t="n">
        <x:f>'Evaluation Plan'!R142</x:f>
        <x:v>6</x:v>
      </x:c>
      <x:c r="S142" s="40" t="str">
        <x:f>'Evaluation Plan'!S142</x:f>
        <x:v>Build the listed no-match scene and confirm the bowl is empty.</x:v>
      </x:c>
      <x:c r="T142" s="40" t="str">
        <x:f>'Evaluation Plan'!T142</x:f>
        <x:v>No object in the entire scene has the queried state. The prompt uses the same canonical frame as active trials, and the queried state-object cell is training-supported.</x:v>
      </x:c>
      <x:c r="U142" s="40" t="n">
        <x:f>'Evaluation Plan'!U142</x:f>
        <x:v>0</x:v>
      </x:c>
    </x:row>
    <x:row r="143" ht="51" customHeight="1">
      <x:c r="A143" s="43" t="str">
        <x:v>Not collected</x:v>
      </x:c>
      <x:c r="B143" s="44" t="n">
        <x:f>'Evaluation Plan'!B143</x:f>
        <x:v>141</x:v>
      </x:c>
      <x:c r="C143" s="43" t="str">
        <x:f>'Evaluation Plan'!C143</x:f>
        <x:v>Place the upside-down glass spice container in the bowl.</x:v>
      </x:c>
      <x:c r="D143" s="43" t="str">
        <x:f>'Evaluation Plan'!D143</x:f>
        <x:v>glass spice container A (C, RU); glass spice container B (O, RU); yellow-white striped cup B (O, RU); brown cup A (C, RU)</x:v>
      </x:c>
      <x:c r="E143" s="44" t="str">
        <x:f>'Evaluation Plan'!E143</x:f>
      </x:c>
      <x:c r="F143" s="44" t="str">
        <x:f>'Evaluation Plan'!F143</x:f>
        <x:v>176</x:v>
      </x:c>
      <x:c r="G143" s="43" t="str">
        <x:f>'Evaluation Plan'!G143</x:f>
        <x:v>The state-object concept is explicitly trained, but training does not contain a no-satisfying-target abstention trajectory.</x:v>
      </x:c>
      <x:c r="H143" s="43" t="str">
        <x:f>'Evaluation Plan'!H143</x:f>
        <x:v>NO-OP; no object has state UD, so nothing should be picked up</x:v>
      </x:c>
      <x:c r="I143" s="43" t="str"/>
      <x:c r="J143" s="42" t="str">
        <x:f>'Evaluation Plan'!J143</x:f>
        <x:v>No valid target / no movement</x:v>
      </x:c>
      <x:c r="K143" s="44" t="str">
        <x:f>'Evaluation Plan'!K143</x:f>
        <x:v>SR-NOOP12</x:v>
      </x:c>
      <x:c r="L143" s="44" t="str">
        <x:f>'Evaluation Plan'!L143</x:f>
        <x:v>UD</x:v>
      </x:c>
      <x:c r="M143" s="44" t="str">
        <x:f>'Evaluation Plan'!M143</x:f>
        <x:v>glass spice container</x:v>
      </x:c>
      <x:c r="N143" s="44" t="n">
        <x:f>'Evaluation Plan'!N143</x:f>
        <x:v>4</x:v>
      </x:c>
      <x:c r="O143" s="44" t="n">
        <x:f>'Evaluation Plan'!O143</x:f>
        <x:v>0</x:v>
      </x:c>
      <x:c r="P143" s="44" t="str">
        <x:f>'Evaluation Plan'!P143</x:f>
        <x:v>Empty</x:v>
      </x:c>
      <x:c r="Q143" s="43" t="str">
        <x:f>'Evaluation Plan'!Q143</x:f>
        <x:v>No satisfying state present; bowl remains empty</x:v>
      </x:c>
      <x:c r="R143" s="44" t="n">
        <x:f>'Evaluation Plan'!R143</x:f>
        <x:v>6</x:v>
      </x:c>
      <x:c r="S143" s="43" t="str">
        <x:f>'Evaluation Plan'!S143</x:f>
        <x:v>Build the listed no-match scene and confirm the bowl is empty.</x:v>
      </x:c>
      <x:c r="T143" s="43" t="str">
        <x:f>'Evaluation Plan'!T143</x:f>
        <x:v>No object in the entire scene has the queried state. The prompt uses the same canonical frame as active trials, and the queried state-object cell is training-supported.</x:v>
      </x:c>
      <x:c r="U143" s="43" t="n">
        <x:f>'Evaluation Plan'!U143</x:f>
        <x:v>0</x:v>
      </x:c>
    </x:row>
    <x:row r="144" ht="51" customHeight="1">
      <x:c r="A144" s="40" t="str">
        <x:v>Not collected</x:v>
      </x:c>
      <x:c r="B144" s="41" t="n">
        <x:f>'Evaluation Plan'!B144</x:f>
        <x:v>142</x:v>
      </x:c>
      <x:c r="C144" s="40" t="str">
        <x:f>'Evaluation Plan'!C144</x:f>
        <x:v>Place the closed white cup in the bowl.</x:v>
      </x:c>
      <x:c r="D144" s="40" t="str">
        <x:f>'Evaluation Plan'!D144</x:f>
        <x:v>white cup A (O, UD); white cup B (O, RU)</x:v>
      </x:c>
      <x:c r="E144" s="41" t="str">
        <x:f>'Evaluation Plan'!E144</x:f>
      </x:c>
      <x:c r="F144" s="41" t="str">
        <x:f>'Evaluation Plan'!F144</x:f>
        <x:v>3</x:v>
      </x:c>
      <x:c r="G144" s="40" t="str">
        <x:f>'Evaluation Plan'!G144</x:f>
        <x:v>The state-object concept is explicitly trained, but training does not contain a no-satisfying-target abstention trajectory.</x:v>
      </x:c>
      <x:c r="H144" s="40" t="str">
        <x:f>'Evaluation Plan'!H144</x:f>
        <x:v>NO-OP; no object has state C, so nothing should be picked up</x:v>
      </x:c>
      <x:c r="I144" s="40" t="str"/>
      <x:c r="J144" s="42" t="str">
        <x:f>'Evaluation Plan'!J144</x:f>
        <x:v>No valid target / no movement</x:v>
      </x:c>
      <x:c r="K144" s="41" t="str">
        <x:f>'Evaluation Plan'!K144</x:f>
        <x:v>SR-NOOP13</x:v>
      </x:c>
      <x:c r="L144" s="41" t="str">
        <x:f>'Evaluation Plan'!L144</x:f>
        <x:v>C</x:v>
      </x:c>
      <x:c r="M144" s="41" t="str">
        <x:f>'Evaluation Plan'!M144</x:f>
        <x:v>white cup</x:v>
      </x:c>
      <x:c r="N144" s="41" t="n">
        <x:f>'Evaluation Plan'!N144</x:f>
        <x:v>2</x:v>
      </x:c>
      <x:c r="O144" s="41" t="n">
        <x:f>'Evaluation Plan'!O144</x:f>
        <x:v>0</x:v>
      </x:c>
      <x:c r="P144" s="41" t="str">
        <x:f>'Evaluation Plan'!P144</x:f>
        <x:v>Empty</x:v>
      </x:c>
      <x:c r="Q144" s="40" t="str">
        <x:f>'Evaluation Plan'!Q144</x:f>
        <x:v>No satisfying state present; bowl remains empty</x:v>
      </x:c>
      <x:c r="R144" s="41" t="n">
        <x:f>'Evaluation Plan'!R144</x:f>
        <x:v>6</x:v>
      </x:c>
      <x:c r="S144" s="40" t="str">
        <x:f>'Evaluation Plan'!S144</x:f>
        <x:v>Build the listed no-match scene and confirm the bowl is empty.</x:v>
      </x:c>
      <x:c r="T144" s="40" t="str">
        <x:f>'Evaluation Plan'!T144</x:f>
        <x:v>No object in the entire scene has the queried state. The prompt uses the same canonical frame as active trials, and the queried state-object cell is training-supported.</x:v>
      </x:c>
      <x:c r="U144" s="40" t="n">
        <x:f>'Evaluation Plan'!U144</x:f>
        <x:v>0</x:v>
      </x:c>
    </x:row>
    <x:row r="145" ht="51" customHeight="1">
      <x:c r="A145" s="43" t="str">
        <x:v>Not collected</x:v>
      </x:c>
      <x:c r="B145" s="44" t="n">
        <x:f>'Evaluation Plan'!B145</x:f>
        <x:v>143</x:v>
      </x:c>
      <x:c r="C145" s="43" t="str">
        <x:f>'Evaluation Plan'!C145</x:f>
        <x:v>Place the upside-down yellow-white striped cup in the bowl.</x:v>
      </x:c>
      <x:c r="D145" s="43" t="str">
        <x:f>'Evaluation Plan'!D145</x:f>
        <x:v>yellow-white striped cup A (O, RU); yellow-white striped cup B (C, RU); brown cup A (C, RU)</x:v>
      </x:c>
      <x:c r="E145" s="44" t="str">
        <x:f>'Evaluation Plan'!E145</x:f>
      </x:c>
      <x:c r="F145" s="44" t="str">
        <x:f>'Evaluation Plan'!F145</x:f>
        <x:v>83</x:v>
      </x:c>
      <x:c r="G145" s="43" t="str">
        <x:f>'Evaluation Plan'!G145</x:f>
        <x:v>The state-object concept is explicitly trained, but training does not contain a no-satisfying-target abstention trajectory.</x:v>
      </x:c>
      <x:c r="H145" s="43" t="str">
        <x:f>'Evaluation Plan'!H145</x:f>
        <x:v>NO-OP; no object has state UD, so nothing should be picked up</x:v>
      </x:c>
      <x:c r="I145" s="43" t="str"/>
      <x:c r="J145" s="42" t="str">
        <x:f>'Evaluation Plan'!J145</x:f>
        <x:v>No valid target / no movement</x:v>
      </x:c>
      <x:c r="K145" s="44" t="str">
        <x:f>'Evaluation Plan'!K145</x:f>
        <x:v>SR-NOOP14</x:v>
      </x:c>
      <x:c r="L145" s="44" t="str">
        <x:f>'Evaluation Plan'!L145</x:f>
        <x:v>UD</x:v>
      </x:c>
      <x:c r="M145" s="44" t="str">
        <x:f>'Evaluation Plan'!M145</x:f>
        <x:v>yellow-white striped cup</x:v>
      </x:c>
      <x:c r="N145" s="44" t="n">
        <x:f>'Evaluation Plan'!N145</x:f>
        <x:v>3</x:v>
      </x:c>
      <x:c r="O145" s="44" t="n">
        <x:f>'Evaluation Plan'!O145</x:f>
        <x:v>0</x:v>
      </x:c>
      <x:c r="P145" s="44" t="str">
        <x:f>'Evaluation Plan'!P145</x:f>
        <x:v>Empty</x:v>
      </x:c>
      <x:c r="Q145" s="43" t="str">
        <x:f>'Evaluation Plan'!Q145</x:f>
        <x:v>No satisfying state present; bowl remains empty</x:v>
      </x:c>
      <x:c r="R145" s="44" t="n">
        <x:f>'Evaluation Plan'!R145</x:f>
        <x:v>6</x:v>
      </x:c>
      <x:c r="S145" s="43" t="str">
        <x:f>'Evaluation Plan'!S145</x:f>
        <x:v>Build the listed no-match scene and confirm the bowl is empty.</x:v>
      </x:c>
      <x:c r="T145" s="43" t="str">
        <x:f>'Evaluation Plan'!T145</x:f>
        <x:v>No object in the entire scene has the queried state. The prompt uses the same canonical frame as active trials, and the queried state-object cell is training-supported.</x:v>
      </x:c>
      <x:c r="U145" s="43" t="n">
        <x:f>'Evaluation Plan'!U145</x:f>
        <x:v>0</x:v>
      </x:c>
    </x:row>
    <x:row r="146" ht="51" customHeight="1">
      <x:c r="A146" s="40" t="str">
        <x:v>Not collected</x:v>
      </x:c>
      <x:c r="B146" s="41" t="n">
        <x:f>'Evaluation Plan'!B146</x:f>
        <x:v>144</x:v>
      </x:c>
      <x:c r="C146" s="40" t="str">
        <x:f>'Evaluation Plan'!C146</x:f>
        <x:v>Place the upside-down brown cup in the bowl.</x:v>
      </x:c>
      <x:c r="D146" s="40" t="str">
        <x:f>'Evaluation Plan'!D146</x:f>
        <x:v>brown cup A (O, RU); brown cup B (C, RU); glass spice container B (O, RU); white cup A (C, RU)</x:v>
      </x:c>
      <x:c r="E146" s="41" t="str">
        <x:f>'Evaluation Plan'!E146</x:f>
      </x:c>
      <x:c r="F146" s="41" t="str">
        <x:f>'Evaluation Plan'!F146</x:f>
        <x:v>127</x:v>
      </x:c>
      <x:c r="G146" s="40" t="str">
        <x:f>'Evaluation Plan'!G146</x:f>
        <x:v>The state-object concept is explicitly trained, but training does not contain a no-satisfying-target abstention trajectory.</x:v>
      </x:c>
      <x:c r="H146" s="40" t="str">
        <x:f>'Evaluation Plan'!H146</x:f>
        <x:v>NO-OP; no object has state UD, so nothing should be picked up</x:v>
      </x:c>
      <x:c r="I146" s="40" t="str"/>
      <x:c r="J146" s="42" t="str">
        <x:f>'Evaluation Plan'!J146</x:f>
        <x:v>No valid target / no movement</x:v>
      </x:c>
      <x:c r="K146" s="41" t="str">
        <x:f>'Evaluation Plan'!K146</x:f>
        <x:v>SR-NOOP15</x:v>
      </x:c>
      <x:c r="L146" s="41" t="str">
        <x:f>'Evaluation Plan'!L146</x:f>
        <x:v>UD</x:v>
      </x:c>
      <x:c r="M146" s="41" t="str">
        <x:f>'Evaluation Plan'!M146</x:f>
        <x:v>brown cup</x:v>
      </x:c>
      <x:c r="N146" s="41" t="n">
        <x:f>'Evaluation Plan'!N146</x:f>
        <x:v>4</x:v>
      </x:c>
      <x:c r="O146" s="41" t="n">
        <x:f>'Evaluation Plan'!O146</x:f>
        <x:v>0</x:v>
      </x:c>
      <x:c r="P146" s="41" t="str">
        <x:f>'Evaluation Plan'!P146</x:f>
        <x:v>Empty</x:v>
      </x:c>
      <x:c r="Q146" s="40" t="str">
        <x:f>'Evaluation Plan'!Q146</x:f>
        <x:v>No satisfying state present; bowl remains empty</x:v>
      </x:c>
      <x:c r="R146" s="41" t="n">
        <x:f>'Evaluation Plan'!R146</x:f>
        <x:v>6</x:v>
      </x:c>
      <x:c r="S146" s="40" t="str">
        <x:f>'Evaluation Plan'!S146</x:f>
        <x:v>Build the listed no-match scene and confirm the bowl is empty.</x:v>
      </x:c>
      <x:c r="T146" s="40" t="str">
        <x:f>'Evaluation Plan'!T146</x:f>
        <x:v>No object in the entire scene has the queried state. The prompt uses the same canonical frame as active trials, and the queried state-object cell is training-supported.</x:v>
      </x:c>
      <x:c r="U146" s="40" t="n">
        <x:f>'Evaluation Plan'!U146</x:f>
        <x:v>0</x:v>
      </x:c>
    </x:row>
    <x:row r="147" ht="51" customHeight="1">
      <x:c r="A147" s="43" t="str">
        <x:v>Not collected</x:v>
      </x:c>
      <x:c r="B147" s="44" t="n">
        <x:f>'Evaluation Plan'!B147</x:f>
        <x:v>145</x:v>
      </x:c>
      <x:c r="C147" s="43" t="str">
        <x:f>'Evaluation Plan'!C147</x:f>
        <x:v>Place the closed glass spice container in the bowl.</x:v>
      </x:c>
      <x:c r="D147" s="43" t="str">
        <x:f>'Evaluation Plan'!D147</x:f>
        <x:v>glass spice container A (O, UD); glass spice container B (O, RU)</x:v>
      </x:c>
      <x:c r="E147" s="44" t="str">
        <x:f>'Evaluation Plan'!E147</x:f>
      </x:c>
      <x:c r="F147" s="44" t="str">
        <x:f>'Evaluation Plan'!F147</x:f>
        <x:v>152</x:v>
      </x:c>
      <x:c r="G147" s="43" t="str">
        <x:f>'Evaluation Plan'!G147</x:f>
        <x:v>The state-object concept is explicitly trained, but training does not contain a no-satisfying-target abstention trajectory.</x:v>
      </x:c>
      <x:c r="H147" s="43" t="str">
        <x:f>'Evaluation Plan'!H147</x:f>
        <x:v>NO-OP; no object has state C, so nothing should be picked up</x:v>
      </x:c>
      <x:c r="I147" s="43" t="str"/>
      <x:c r="J147" s="42" t="str">
        <x:f>'Evaluation Plan'!J147</x:f>
        <x:v>No valid target / no movement</x:v>
      </x:c>
      <x:c r="K147" s="44" t="str">
        <x:f>'Evaluation Plan'!K147</x:f>
        <x:v>SR-NOOP16</x:v>
      </x:c>
      <x:c r="L147" s="44" t="str">
        <x:f>'Evaluation Plan'!L147</x:f>
        <x:v>C</x:v>
      </x:c>
      <x:c r="M147" s="44" t="str">
        <x:f>'Evaluation Plan'!M147</x:f>
        <x:v>glass spice container</x:v>
      </x:c>
      <x:c r="N147" s="44" t="n">
        <x:f>'Evaluation Plan'!N147</x:f>
        <x:v>2</x:v>
      </x:c>
      <x:c r="O147" s="44" t="n">
        <x:f>'Evaluation Plan'!O147</x:f>
        <x:v>0</x:v>
      </x:c>
      <x:c r="P147" s="44" t="str">
        <x:f>'Evaluation Plan'!P147</x:f>
        <x:v>Empty</x:v>
      </x:c>
      <x:c r="Q147" s="43" t="str">
        <x:f>'Evaluation Plan'!Q147</x:f>
        <x:v>No satisfying state present; bowl remains empty</x:v>
      </x:c>
      <x:c r="R147" s="44" t="n">
        <x:f>'Evaluation Plan'!R147</x:f>
        <x:v>6</x:v>
      </x:c>
      <x:c r="S147" s="43" t="str">
        <x:f>'Evaluation Plan'!S147</x:f>
        <x:v>Build the listed no-match scene and confirm the bowl is empty.</x:v>
      </x:c>
      <x:c r="T147" s="43" t="str">
        <x:f>'Evaluation Plan'!T147</x:f>
        <x:v>No object in the entire scene has the queried state. The prompt uses the same canonical frame as active trials, and the queried state-object cell is training-supported.</x:v>
      </x:c>
      <x:c r="U147" s="43" t="n">
        <x:f>'Evaluation Plan'!U147</x:f>
        <x:v>0</x:v>
      </x:c>
    </x:row>
    <x:row r="148" ht="51" customHeight="1">
      <x:c r="A148" s="40" t="str">
        <x:v>Not collected</x:v>
      </x:c>
      <x:c r="B148" s="41" t="n">
        <x:f>'Evaluation Plan'!B148</x:f>
        <x:v>146</x:v>
      </x:c>
      <x:c r="C148" s="40" t="str">
        <x:f>'Evaluation Plan'!C148</x:f>
        <x:v>Place the open white cup in the bowl.</x:v>
      </x:c>
      <x:c r="D148" s="40" t="str">
        <x:f>'Evaluation Plan'!D148</x:f>
        <x:v>white cup A (C, RU); white cup B (C, UD); glass spice container A (C, RU)</x:v>
      </x:c>
      <x:c r="E148" s="41" t="str">
        <x:f>'Evaluation Plan'!E148</x:f>
      </x:c>
      <x:c r="F148" s="41" t="str">
        <x:f>'Evaluation Plan'!F148</x:f>
        <x:v>2</x:v>
      </x:c>
      <x:c r="G148" s="40" t="str">
        <x:f>'Evaluation Plan'!G148</x:f>
        <x:v>The state-object concept is explicitly trained, but training does not contain a no-satisfying-target abstention trajectory.</x:v>
      </x:c>
      <x:c r="H148" s="40" t="str">
        <x:f>'Evaluation Plan'!H148</x:f>
        <x:v>NO-OP; no object has state O, so nothing should be picked up</x:v>
      </x:c>
      <x:c r="I148" s="40" t="str"/>
      <x:c r="J148" s="42" t="str">
        <x:f>'Evaluation Plan'!J148</x:f>
        <x:v>No valid target / no movement</x:v>
      </x:c>
      <x:c r="K148" s="41" t="str">
        <x:f>'Evaluation Plan'!K148</x:f>
        <x:v>SR-NOOP17</x:v>
      </x:c>
      <x:c r="L148" s="41" t="str">
        <x:f>'Evaluation Plan'!L148</x:f>
        <x:v>O</x:v>
      </x:c>
      <x:c r="M148" s="41" t="str">
        <x:f>'Evaluation Plan'!M148</x:f>
        <x:v>white cup</x:v>
      </x:c>
      <x:c r="N148" s="41" t="n">
        <x:f>'Evaluation Plan'!N148</x:f>
        <x:v>3</x:v>
      </x:c>
      <x:c r="O148" s="41" t="n">
        <x:f>'Evaluation Plan'!O148</x:f>
        <x:v>0</x:v>
      </x:c>
      <x:c r="P148" s="41" t="str">
        <x:f>'Evaluation Plan'!P148</x:f>
        <x:v>Empty</x:v>
      </x:c>
      <x:c r="Q148" s="40" t="str">
        <x:f>'Evaluation Plan'!Q148</x:f>
        <x:v>No satisfying state present; bowl remains empty</x:v>
      </x:c>
      <x:c r="R148" s="41" t="n">
        <x:f>'Evaluation Plan'!R148</x:f>
        <x:v>6</x:v>
      </x:c>
      <x:c r="S148" s="40" t="str">
        <x:f>'Evaluation Plan'!S148</x:f>
        <x:v>Build the listed no-match scene and confirm the bowl is empty.</x:v>
      </x:c>
      <x:c r="T148" s="40" t="str">
        <x:f>'Evaluation Plan'!T148</x:f>
        <x:v>No object in the entire scene has the queried state. The prompt uses the same canonical frame as active trials, and the queried state-object cell is training-supported.</x:v>
      </x:c>
      <x:c r="U148" s="40" t="n">
        <x:f>'Evaluation Plan'!U148</x:f>
        <x:v>0</x:v>
      </x:c>
    </x:row>
    <x:row r="149" ht="51" customHeight="1">
      <x:c r="A149" s="43" t="str">
        <x:v>Not collected</x:v>
      </x:c>
      <x:c r="B149" s="44" t="n">
        <x:f>'Evaluation Plan'!B149</x:f>
        <x:v>147</x:v>
      </x:c>
      <x:c r="C149" s="43" t="str">
        <x:f>'Evaluation Plan'!C149</x:f>
        <x:v>Place the upright yellow-white striped cup in the bowl.</x:v>
      </x:c>
      <x:c r="D149" s="43" t="str">
        <x:f>'Evaluation Plan'!D149</x:f>
        <x:v>yellow-white striped cup A (C, UD); yellow-white striped cup B (O, UD); white cup B (O, UD); brown cup A (C, UD)</x:v>
      </x:c>
      <x:c r="E149" s="44" t="str">
        <x:f>'Evaluation Plan'!E149</x:f>
      </x:c>
      <x:c r="F149" s="44" t="str">
        <x:f>'Evaluation Plan'!F149</x:f>
        <x:v>76</x:v>
      </x:c>
      <x:c r="G149" s="43" t="str">
        <x:f>'Evaluation Plan'!G149</x:f>
        <x:v>The state-object concept is explicitly trained, but training does not contain a no-satisfying-target abstention trajectory.</x:v>
      </x:c>
      <x:c r="H149" s="43" t="str">
        <x:f>'Evaluation Plan'!H149</x:f>
        <x:v>NO-OP; no object has state RU, so nothing should be picked up</x:v>
      </x:c>
      <x:c r="I149" s="43" t="str"/>
      <x:c r="J149" s="42" t="str">
        <x:f>'Evaluation Plan'!J149</x:f>
        <x:v>No valid target / no movement</x:v>
      </x:c>
      <x:c r="K149" s="44" t="str">
        <x:f>'Evaluation Plan'!K149</x:f>
        <x:v>SR-NOOP18</x:v>
      </x:c>
      <x:c r="L149" s="44" t="str">
        <x:f>'Evaluation Plan'!L149</x:f>
        <x:v>RU</x:v>
      </x:c>
      <x:c r="M149" s="44" t="str">
        <x:f>'Evaluation Plan'!M149</x:f>
        <x:v>yellow-white striped cup</x:v>
      </x:c>
      <x:c r="N149" s="44" t="n">
        <x:f>'Evaluation Plan'!N149</x:f>
        <x:v>4</x:v>
      </x:c>
      <x:c r="O149" s="44" t="n">
        <x:f>'Evaluation Plan'!O149</x:f>
        <x:v>0</x:v>
      </x:c>
      <x:c r="P149" s="44" t="str">
        <x:f>'Evaluation Plan'!P149</x:f>
        <x:v>Empty</x:v>
      </x:c>
      <x:c r="Q149" s="43" t="str">
        <x:f>'Evaluation Plan'!Q149</x:f>
        <x:v>No satisfying state present; bowl remains empty</x:v>
      </x:c>
      <x:c r="R149" s="44" t="n">
        <x:f>'Evaluation Plan'!R149</x:f>
        <x:v>6</x:v>
      </x:c>
      <x:c r="S149" s="43" t="str">
        <x:f>'Evaluation Plan'!S149</x:f>
        <x:v>Build the listed no-match scene and confirm the bowl is empty.</x:v>
      </x:c>
      <x:c r="T149" s="43" t="str">
        <x:f>'Evaluation Plan'!T149</x:f>
        <x:v>No object in the entire scene has the queried state. The prompt uses the same canonical frame as active trials, and the queried state-object cell is training-supported.</x:v>
      </x:c>
      <x:c r="U149" s="43" t="n">
        <x:f>'Evaluation Plan'!U149</x:f>
        <x:v>0</x:v>
      </x:c>
    </x:row>
    <x:row r="150" ht="51" customHeight="1">
      <x:c r="A150" s="40" t="str">
        <x:v>Not collected</x:v>
      </x:c>
      <x:c r="B150" s="41" t="n">
        <x:f>'Evaluation Plan'!B150</x:f>
        <x:v>148</x:v>
      </x:c>
      <x:c r="C150" s="40" t="str">
        <x:f>'Evaluation Plan'!C150</x:f>
        <x:v>Place the upright brown cup in the bowl.</x:v>
      </x:c>
      <x:c r="D150" s="40" t="str">
        <x:f>'Evaluation Plan'!D150</x:f>
        <x:v>brown cup A (C, UD); brown cup B (O, UD)</x:v>
      </x:c>
      <x:c r="E150" s="41" t="str">
        <x:f>'Evaluation Plan'!E150</x:f>
      </x:c>
      <x:c r="F150" s="41" t="str">
        <x:f>'Evaluation Plan'!F150</x:f>
        <x:v>130</x:v>
      </x:c>
      <x:c r="G150" s="40" t="str">
        <x:f>'Evaluation Plan'!G150</x:f>
        <x:v>The state-object concept is explicitly trained, but training does not contain a no-satisfying-target abstention trajectory.</x:v>
      </x:c>
      <x:c r="H150" s="40" t="str">
        <x:f>'Evaluation Plan'!H150</x:f>
        <x:v>NO-OP; no object has state RU, so nothing should be picked up</x:v>
      </x:c>
      <x:c r="I150" s="40" t="str"/>
      <x:c r="J150" s="42" t="str">
        <x:f>'Evaluation Plan'!J150</x:f>
        <x:v>No valid target / no movement</x:v>
      </x:c>
      <x:c r="K150" s="41" t="str">
        <x:f>'Evaluation Plan'!K150</x:f>
        <x:v>SR-NOOP19</x:v>
      </x:c>
      <x:c r="L150" s="41" t="str">
        <x:f>'Evaluation Plan'!L150</x:f>
        <x:v>RU</x:v>
      </x:c>
      <x:c r="M150" s="41" t="str">
        <x:f>'Evaluation Plan'!M150</x:f>
        <x:v>brown cup</x:v>
      </x:c>
      <x:c r="N150" s="41" t="n">
        <x:f>'Evaluation Plan'!N150</x:f>
        <x:v>2</x:v>
      </x:c>
      <x:c r="O150" s="41" t="n">
        <x:f>'Evaluation Plan'!O150</x:f>
        <x:v>0</x:v>
      </x:c>
      <x:c r="P150" s="41" t="str">
        <x:f>'Evaluation Plan'!P150</x:f>
        <x:v>Empty</x:v>
      </x:c>
      <x:c r="Q150" s="40" t="str">
        <x:f>'Evaluation Plan'!Q150</x:f>
        <x:v>No satisfying state present; bowl remains empty</x:v>
      </x:c>
      <x:c r="R150" s="41" t="n">
        <x:f>'Evaluation Plan'!R150</x:f>
        <x:v>6</x:v>
      </x:c>
      <x:c r="S150" s="40" t="str">
        <x:f>'Evaluation Plan'!S150</x:f>
        <x:v>Build the listed no-match scene and confirm the bowl is empty.</x:v>
      </x:c>
      <x:c r="T150" s="40" t="str">
        <x:f>'Evaluation Plan'!T150</x:f>
        <x:v>No object in the entire scene has the queried state. The prompt uses the same canonical frame as active trials, and the queried state-object cell is training-supported.</x:v>
      </x:c>
      <x:c r="U150" s="40" t="n">
        <x:f>'Evaluation Plan'!U150</x:f>
        <x:v>0</x:v>
      </x:c>
    </x:row>
    <x:row r="151" ht="51" customHeight="1">
      <x:c r="A151" s="43" t="str">
        <x:v>Not collected</x:v>
      </x:c>
      <x:c r="B151" s="44" t="n">
        <x:f>'Evaluation Plan'!B151</x:f>
        <x:v>149</x:v>
      </x:c>
      <x:c r="C151" s="43" t="str">
        <x:f>'Evaluation Plan'!C151</x:f>
        <x:v>Place the open glass spice container in the bowl.</x:v>
      </x:c>
      <x:c r="D151" s="43" t="str">
        <x:f>'Evaluation Plan'!D151</x:f>
        <x:v>glass spice container A (C, RU); glass spice container B (C, UD); brown cup B (C, UD)</x:v>
      </x:c>
      <x:c r="E151" s="44" t="n">
        <x:f>'Evaluation Plan'!E151</x:f>
        <x:v>0</x:v>
      </x:c>
      <x:c r="F151" s="44" t="str">
        <x:f>'Evaluation Plan'!F151</x:f>
        <x:v>154</x:v>
      </x:c>
      <x:c r="G151" s="43" t="str">
        <x:f>'Evaluation Plan'!G151</x:f>
        <x:v>The state-object concept is explicitly trained, but training does not contain a no-satisfying-target abstention trajectory.</x:v>
      </x:c>
      <x:c r="H151" s="43" t="str">
        <x:f>'Evaluation Plan'!H151</x:f>
        <x:v>NO-OP; no object has state O, so nothing should be picked up</x:v>
      </x:c>
      <x:c r="I151" s="43" t="str"/>
      <x:c r="J151" s="42" t="str">
        <x:f>'Evaluation Plan'!J151</x:f>
        <x:v>No valid target / no movement</x:v>
      </x:c>
      <x:c r="K151" s="44" t="str">
        <x:f>'Evaluation Plan'!K151</x:f>
        <x:v>SR-NOOP20</x:v>
      </x:c>
      <x:c r="L151" s="44" t="str">
        <x:f>'Evaluation Plan'!L151</x:f>
        <x:v>O</x:v>
      </x:c>
      <x:c r="M151" s="44" t="str">
        <x:f>'Evaluation Plan'!M151</x:f>
        <x:v>glass spice container</x:v>
      </x:c>
      <x:c r="N151" s="44" t="n">
        <x:f>'Evaluation Plan'!N151</x:f>
        <x:v>3</x:v>
      </x:c>
      <x:c r="O151" s="44" t="n">
        <x:f>'Evaluation Plan'!O151</x:f>
        <x:v>0</x:v>
      </x:c>
      <x:c r="P151" s="44" t="str">
        <x:f>'Evaluation Plan'!P151</x:f>
        <x:v>Empty</x:v>
      </x:c>
      <x:c r="Q151" s="43" t="str">
        <x:f>'Evaluation Plan'!Q151</x:f>
        <x:v>No satisfying state present; bowl remains empty</x:v>
      </x:c>
      <x:c r="R151" s="44" t="n">
        <x:f>'Evaluation Plan'!R151</x:f>
        <x:v>6</x:v>
      </x:c>
      <x:c r="S151" s="43" t="str">
        <x:f>'Evaluation Plan'!S151</x:f>
        <x:v>Build the listed no-match scene and confirm the bowl is empty.</x:v>
      </x:c>
      <x:c r="T151" s="43" t="str">
        <x:f>'Evaluation Plan'!T151</x:f>
        <x:v>No object in the entire scene has the queried state. The prompt uses the same canonical frame as active trials, and the queried state-object cell is training-supported.</x:v>
      </x:c>
      <x:c r="U151" s="43" t="n">
        <x:f>'Evaluation Plan'!U151</x:f>
        <x:v>0</x:v>
      </x:c>
    </x:row>
  </x:sheetData>
  <x:conditionalFormatting sqref="A2:P131">
    <x:cfRule type="expression" dxfId="15" priority="1">
      <x:formula>$A2="Success"</x:formula>
    </x:cfRule>
    <x:cfRule type="expression" dxfId="16" priority="2">
      <x:formula>$A2="Failure"</x:formula>
    </x:cfRule>
  </x:conditionalFormatting>
  <x:conditionalFormatting sqref="H2:H131">
    <x:cfRule type="containsText" dxfId="17" priority="3" operator="containsText" text="Exact-scene opposite-state contrast"/>
  </x:conditionalFormatting>
  <x:conditionalFormatting sqref="A2:U151">
    <x:cfRule type="expression" dxfId="24" priority="4">
      <x:formula>$A2="Success"</x:formula>
    </x:cfRule>
    <x:cfRule type="expression" dxfId="25" priority="5">
      <x:formula>$A2="Failure"</x:formula>
    </x:cfRule>
  </x:conditionalFormatting>
  <x:dataValidations count="2">
    <x:dataValidation type="list" sqref="A2:A131">
      <x:formula1>"Not collected,Success,Failure"</x:formula1>
    </x:dataValidation>
    <x:dataValidation type="list" sqref="A2:A151">
      <x:formula1>"Not collected,Success,Failure"</x:formula1>
    </x:dataValidation>
  </x:dataValidations>
  <x:pageMargins left="0.7" right="0.7" top="0.75" bottom="0.75" header="0.3" footer="0.3"/>
</x:worksheet>
</file>