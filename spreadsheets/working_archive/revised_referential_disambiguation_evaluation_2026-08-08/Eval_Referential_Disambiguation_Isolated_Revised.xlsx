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8e614b513541da" /></Relationships>
</file>

<file path=xl/workbook.xml><?xml version="1.0" encoding="utf-8"?>
<x:workbook xmlns:x="http://schemas.openxmlformats.org/spreadsheetml/2006/main">
  <x:sheets>
    <x:sheet xmlns:r="http://schemas.openxmlformats.org/officeDocument/2006/relationships" name="Evaluation Plan" sheetId="1" r:id="Rbc4fbfb950e146e1"/>
    <x:sheet xmlns:r="http://schemas.openxmlformats.org/officeDocument/2006/relationships" name="Object Inventory" sheetId="2" r:id="Red28714926f44925"/>
    <x:sheet xmlns:r="http://schemas.openxmlformats.org/officeDocument/2006/relationships" name="Training Alignment" sheetId="3" r:id="Radfa99f3a62f417f"/>
    <x:sheet xmlns:r="http://schemas.openxmlformats.org/officeDocument/2006/relationships" name="Protocol" sheetId="4" r:id="R3f978652e4184795"/>
    <x:sheet xmlns:r="http://schemas.openxmlformats.org/officeDocument/2006/relationships" name="Design QA" sheetId="5" r:id="R14bf6ef60ea6431c"/>
    <x:sheet xmlns:r="http://schemas.openxmlformats.org/officeDocument/2006/relationships" name="pi0.5 Results" sheetId="6" r:id="Rc130f018e5514564"/>
    <x:sheet xmlns:r="http://schemas.openxmlformats.org/officeDocument/2006/relationships" name="VLA0 Results" sheetId="7" r:id="R9cd0729b2896453c"/>
    <x:sheet xmlns:r="http://schemas.openxmlformats.org/officeDocument/2006/relationships" name="MolmoAct2 Results" sheetId="8" r:id="Ra4d1a9eb6fe3429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6"/>
      <x:color rgb="FFFFFFFF"/>
      <x:name val="Carlito"/>
    </x:font>
    <x:font>
      <x:b/>
      <x:sz val="11"/>
      <x:name val="Carlito"/>
    </x:font>
    <x:font>
      <x:sz val="10"/>
      <x:color rgb="FF1F2937"/>
      <x:name val="Carlito"/>
    </x:font>
    <x:font>
      <x:b/>
      <x:sz val="10"/>
      <x:color rgb="FFFFFFFF"/>
      <x:name val="Carlito"/>
    </x:font>
  </x:fonts>
  <x:fills count="14">
    <x:fill>
      <x:patternFill patternType="none"/>
    </x:fill>
    <x:fill>
      <x:patternFill patternType="gray125"/>
    </x:fill>
    <x:fill>
      <x:patternFill patternType="solid">
        <x:fgColor rgb="FF1F4E78"/>
      </x:patternFill>
    </x:fill>
    <x:fill>
      <x:patternFill patternType="solid">
        <x:fgColor rgb="FFE4DFEC"/>
      </x:patternFill>
    </x:fill>
    <x:fill>
      <x:patternFill patternType="solid">
        <x:fgColor rgb="FFD9EAF7"/>
      </x:patternFill>
    </x:fill>
    <x:fill>
      <x:patternFill patternType="solid">
        <x:fgColor rgb="FF1F4E78"/>
      </x:patternFill>
    </x:fill>
    <x:fill>
      <x:patternFill patternType="solid">
        <x:fgColor rgb="FFFFFFFF"/>
      </x:patternFill>
    </x:fill>
    <x:fill>
      <x:patternFill patternType="solid">
        <x:fgColor rgb="FFD9EAF7"/>
      </x:patternFill>
    </x:fill>
    <x:fill>
      <x:patternFill patternType="solid">
        <x:fgColor rgb="FFDDEBF7"/>
      </x:patternFill>
    </x:fill>
    <x:fill>
      <x:patternFill patternType="solid">
        <x:fgColor rgb="FFFFF2CC"/>
      </x:patternFill>
    </x:fill>
    <x:fill>
      <x:patternFill patternType="solid">
        <x:fgColor rgb="FFE2F0D9"/>
      </x:patternFill>
    </x:fill>
    <x:fill>
      <x:patternFill patternType="solid">
        <x:fgColor rgb="FFE4DFEC"/>
      </x:patternFill>
    </x:fill>
    <x:fill>
      <x:patternFill patternType="solid">
        <x:fgColor rgb="FFFCE4D6"/>
      </x:patternFill>
    </x:fill>
    <x:fill>
      <x:patternFill patternType="solid">
        <x:fgColor rgb="FFD9EAD3"/>
      </x:patternFill>
    </x:fill>
  </x:fills>
  <x:borders count="6">
    <x:border/>
    <x:border>
      <x:top style="medium">
        <x:color rgb="FF1F4E78"/>
      </x:top>
    </x:border>
    <x:border>
      <x:left style="thin">
        <x:color rgb="FFB7C9D6"/>
      </x:left>
      <x:right style="thin">
        <x:color rgb="FFB7C9D6"/>
      </x:right>
      <x:top style="thin">
        <x:color rgb="FFB7C9D6"/>
      </x:top>
      <x:bottom style="thin">
        <x:color rgb="FFB7C9D6"/>
      </x:bottom>
    </x:border>
    <x:border>
      <x:left style="thin">
        <x:color rgb="FFB4C7DC"/>
      </x:left>
      <x:right style="thin">
        <x:color rgb="FFB4C7DC"/>
      </x:right>
      <x:top style="thin">
        <x:color rgb="FFB4C7DC"/>
      </x:top>
      <x:bottom style="thin">
        <x:color rgb="FFB4C7DC"/>
      </x:bottom>
    </x:border>
    <x:border>
      <x:left style="thin">
        <x:color rgb="FF9FBAD0"/>
      </x:left>
      <x:right style="thin">
        <x:color rgb="FF9FBAD0"/>
      </x:right>
      <x:top style="thin">
        <x:color rgb="FF9FBAD0"/>
      </x:top>
      <x:bottom style="thin">
        <x:color rgb="FF9FBAD0"/>
      </x:bottom>
    </x:border>
    <x:border>
      <x:left style="thin">
        <x:color rgb="FFB4C7DC"/>
      </x:left>
      <x:right style="thin">
        <x:color rgb="FFB4C7DC"/>
      </x:right>
      <x:top style="medium">
        <x:color rgb="FF1F4E78"/>
      </x:top>
      <x:bottom style="thin">
        <x:color rgb="FFB4C7DC"/>
      </x:bottom>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2" fillId="2" borderId="2" xfId="0" applyNumberFormat="1" applyFont="1" applyFill="1" applyBorder="1" applyAlignment="1">
      <x:alignment horizontal="center" vertical="center"/>
    </x:xf>
    <x:xf numFmtId="0" fontId="3" fillId="4"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4" fillId="0" borderId="0" xfId="0" applyNumberFormat="1" applyFont="1" applyFill="1" applyBorder="1"/>
    <x:xf numFmtId="0" fontId="4" fillId="0" borderId="3" xfId="0" applyNumberFormat="1" applyFont="1" applyFill="1" applyBorder="1"/>
    <x:xf numFmtId="0" fontId="4" fillId="0" borderId="3"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4" xfId="0" applyNumberFormat="1" applyFont="1" applyFill="1" applyBorder="1" applyAlignment="1">
      <x:alignment horizontal="center" vertical="top" wrapText="1"/>
    </x:xf>
    <x:xf numFmtId="0" fontId="5" fillId="5" borderId="4" xfId="0" applyNumberFormat="1" applyFont="1" applyFill="1" applyBorder="1" applyAlignment="1">
      <x:alignment horizontal="center" vertical="center" wrapText="1"/>
    </x:xf>
    <x:xf numFmtId="0" fontId="4" fillId="6" borderId="3"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4" fillId="6" borderId="3" xfId="0" applyNumberFormat="1" applyFont="1" applyFill="1" applyBorder="1" applyAlignment="1">
      <x:alignment horizontal="center" vertical="top" wrapText="1"/>
    </x:xf>
    <x:xf numFmtId="0" fontId="4" fillId="7" borderId="3" xfId="0" applyNumberFormat="1" applyFont="1" applyFill="1" applyBorder="1" applyAlignment="1">
      <x:alignment horizontal="center" vertical="top" wrapText="1"/>
    </x:xf>
    <x:xf numFmtId="0" fontId="4" fillId="8" borderId="3"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10" borderId="3"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3" borderId="3"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5" xfId="0" applyNumberFormat="1" applyFont="1" applyFill="1" applyBorder="1" applyAlignment="1">
      <x:alignment horizontal="center" vertical="top" wrapText="1"/>
    </x:xf>
    <x:xf numFmtId="0" fontId="4" fillId="8" borderId="5" xfId="0" applyNumberFormat="1" applyFont="1" applyFill="1" applyBorder="1" applyAlignment="1">
      <x:alignment vertical="top" wrapText="1"/>
    </x:xf>
    <x:xf numFmtId="0" fontId="4" fillId="7" borderId="5" xfId="0" applyNumberFormat="1" applyFont="1" applyFill="1" applyBorder="1" applyAlignment="1">
      <x:alignment vertical="top" wrapText="1"/>
    </x:xf>
    <x:xf numFmtId="0" fontId="4" fillId="7" borderId="5" xfId="0" applyNumberFormat="1" applyFont="1" applyFill="1" applyBorder="1" applyAlignment="1">
      <x:alignment horizontal="center" vertical="top" wrapText="1"/>
    </x:xf>
    <x:xf numFmtId="0" fontId="4" fillId="9" borderId="5"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3" borderId="5" xfId="0" applyNumberFormat="1" applyFont="1" applyFill="1" applyBorder="1" applyAlignment="1">
      <x:alignment vertical="top" wrapText="1"/>
    </x:xf>
  </x:cellXfs>
  <x:cellStyles count="1">
    <x:cellStyle name="Normal" xfId="0"/>
  </x:cellStyles>
  <x:dxfs count="41">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E4DFEC"/>
        </x:patternFill>
      </x:fill>
    </x:dxf>
    <x:dxf>
      <x:fill>
        <x:patternFill>
          <x:bgColor rgb="FFDDEBF7"/>
        </x:patternFill>
      </x:fill>
    </x:dxf>
    <x:dxf>
      <x:fill>
        <x:patternFill>
          <x:bgColor rgb="FFFCE4D6"/>
        </x:patternFill>
      </x:fill>
    </x:dxf>
    <x:dxf>
      <x:font>
        <x:b/>
      </x:font>
      <x:fill>
        <x:patternFill>
          <x:bgColor rgb="FFD9EAD3"/>
        </x:patternFill>
      </x:fill>
    </x:dxf>
    <x:dxf>
      <x:font>
        <x:b/>
      </x:font>
      <x:fill>
        <x:patternFill>
          <x:bgColor rgb="FFF4CCCC"/>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E4DFEC"/>
        </x:patternFill>
      </x:fill>
    </x:dxf>
    <x:dxf>
      <x:fill>
        <x:patternFill>
          <x:bgColor rgb="FFDDEBF7"/>
        </x:patternFill>
      </x:fill>
    </x:dxf>
    <x:dxf>
      <x:fill>
        <x:patternFill>
          <x:bgColor rgb="FFFCE4D6"/>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E4DFEC"/>
        </x:patternFill>
      </x:fill>
    </x:dxf>
    <x:dxf>
      <x:fill>
        <x:patternFill>
          <x:bgColor rgb="FFDDEBF7"/>
        </x:patternFill>
      </x:fill>
    </x:dxf>
    <x:dxf>
      <x:fill>
        <x:patternFill>
          <x:bgColor rgb="FFFCE4D6"/>
        </x:patternFill>
      </x:fill>
    </x:dxf>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FF2CC"/>
        </x:patternFill>
      </x:fill>
    </x:dxf>
    <x:dxf>
      <x:fill>
        <x:patternFill>
          <x:bgColor rgb="FFE4DFEC"/>
        </x:patternFill>
      </x:fill>
    </x:dxf>
    <x:dxf>
      <x:fill>
        <x:patternFill>
          <x:bgColor rgb="FFDDEBF7"/>
        </x:patternFill>
      </x:fill>
    </x:dxf>
    <x:dxf>
      <x:fill>
        <x:patternFill>
          <x:bgColor rgb="FFFCE4D6"/>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b1f451b42244df6" /><Relationship Type="http://schemas.openxmlformats.org/officeDocument/2006/relationships/theme" Target="/xl/theme/theme1.xml" Id="Re0e0755e7b41419b" /><Relationship Type="http://schemas.openxmlformats.org/officeDocument/2006/relationships/sharedStrings" Target="/xl/sharedStrings.xml" Id="R55390ebf08f74729" /><Relationship Type="http://schemas.openxmlformats.org/officeDocument/2006/relationships/worksheet" Target="/xl/worksheets/sheet1.xml" Id="Rbc4fbfb950e146e1" /><Relationship Type="http://schemas.openxmlformats.org/officeDocument/2006/relationships/worksheet" Target="/xl/worksheets/sheet2.xml" Id="Red28714926f44925" /><Relationship Type="http://schemas.openxmlformats.org/officeDocument/2006/relationships/worksheet" Target="/xl/worksheets/sheet3.xml" Id="Radfa99f3a62f417f" /><Relationship Type="http://schemas.openxmlformats.org/officeDocument/2006/relationships/worksheet" Target="/xl/worksheets/sheet4.xml" Id="R3f978652e4184795" /><Relationship Type="http://schemas.openxmlformats.org/officeDocument/2006/relationships/worksheet" Target="/xl/worksheets/sheet5.xml" Id="R14bf6ef60ea6431c" /><Relationship Type="http://schemas.openxmlformats.org/officeDocument/2006/relationships/worksheet" Target="/xl/worksheets/sheet6.xml" Id="Rc130f018e5514564" /><Relationship Type="http://schemas.openxmlformats.org/officeDocument/2006/relationships/worksheet" Target="/xl/worksheets/sheet7.xml" Id="R9cd0729b2896453c" /><Relationship Type="http://schemas.openxmlformats.org/officeDocument/2006/relationships/worksheet" Target="/xl/worksheets/sheet8.xml" Id="Ra4d1a9eb6fe3429a" /></Relationships>
</file>

<file path=xl/tables/table1.xml><?xml version="1.0" encoding="utf-8"?>
<x:table xmlns:x="http://schemas.openxmlformats.org/spreadsheetml/2006/main" id="8" name="ReferentialEvaluationPlan" displayName="ReferentialEvaluationPlan" ref="A1:U151" headerRowCount="1" totalsRowCount="0" totalsRowShown="0">
  <x:autoFilter ref="A1:U151"/>
  <x:tableColumns count="21">
    <x:tableColumn id="1" name="Status"/>
    <x:tableColumn id="2" name="Episode"/>
    <x:tableColumn id="3" name="Prompt"/>
    <x:tableColumn id="4" name="Objects and Relative Positions"/>
    <x:tableColumn id="5" name="Reference Episode"/>
    <x:tableColumn id="6" name="Original Training Episode(s)"/>
    <x:tableColumn id="7" name="Manifest Alignment"/>
    <x:tableColumn id="8" name="Expected Target / Action"/>
    <x:tableColumn id="9" name="Observations"/>
    <x:tableColumn id="10" name="Condition"/>
    <x:tableColumn id="11" name="Scene Family"/>
    <x:tableColumn id="12" name="Query Concept"/>
    <x:tableColumn id="13" name="Candidate Category"/>
    <x:tableColumn id="14" name="Object Count"/>
    <x:tableColumn id="15" name="Valid Candidate Count"/>
    <x:tableColumn id="16" name="Bowl Start"/>
    <x:tableColumn id="17" name="Comparison / Subtype"/>
    <x:tableColumn id="18" name="Collection Block"/>
    <x:tableColumn id="19" name="Setup Change from Previous"/>
    <x:tableColumn id="20" name="Design Note"/>
    <x:tableColumn id="21" name="Reference Media Filename"/>
  </x:tableColumns>
  <x:tableStyleInfo name="TableStyleMedium2" showFirstColumn="0" showLastColumn="0" showRowStripes="1" showColumnStripes="0"/>
</x:table>
</file>

<file path=xl/tables/table2.xml><?xml version="1.0" encoding="utf-8"?>
<x:table xmlns:x="http://schemas.openxmlformats.org/spreadsheetml/2006/main" id="12" name="ReferentialObjectInventory" displayName="ReferentialObjectInventory" ref="A1:G6" headerRowCount="1" totalsRowCount="0" totalsRowShown="0">
  <x:tableColumns count="7">
    <x:tableColumn id="1" name="Candidate category"/>
    <x:tableColumn id="2" name="Physical instances"/>
    <x:tableColumn id="3" name="Referential training cells"/>
    <x:tableColumn id="4" name="Held-out cell"/>
    <x:tableColumn id="5" name="Evaluation roles"/>
    <x:tableColumn id="6" name="Global exposure"/>
    <x:tableColumn id="7" name="Collection rule"/>
  </x:tableColumns>
  <x:tableStyleInfo name="TableStyleMedium2" showFirstColumn="0" showLastColumn="0" showRowStripes="1" showColumnStripes="0"/>
</x:table>
</file>

<file path=xl/tables/table3.xml><?xml version="1.0" encoding="utf-8"?>
<x:table xmlns:x="http://schemas.openxmlformats.org/spreadsheetml/2006/main" id="13" name="ReferentialTrainingAlignment" displayName="ReferentialTrainingAlignment" ref="A1:F14" headerRowCount="1" totalsRowCount="0" totalsRowShown="0">
  <x:tableColumns count="6">
    <x:tableColumn id="1" name="Candidate category"/>
    <x:tableColumn id="2" name="Closest"/>
    <x:tableColumn id="3" name="Between"/>
    <x:tableColumn id="4" name="Furthest"/>
    <x:tableColumn id="5" name="Primary held-out cell"/>
    <x:tableColumn id="6" name="Evaluation interpretation"/>
  </x:tableColumns>
  <x:tableStyleInfo name="TableStyleMedium2" showFirstColumn="0" showLastColumn="0" showRowStripes="1" showColumnStripes="0"/>
</x:table>
</file>

<file path=xl/tables/table4.xml><?xml version="1.0" encoding="utf-8"?>
<x:table xmlns:x="http://schemas.openxmlformats.org/spreadsheetml/2006/main" id="14" name="ReferentialProtocol" displayName="ReferentialProtocol" ref="A1:B24" headerRowCount="1" totalsRowCount="0" totalsRowShown="0">
  <x:tableColumns count="2">
    <x:tableColumn id="1" name="Protocol item"/>
    <x:tableColumn id="2" name="Instruction"/>
  </x:tableColumns>
  <x:tableStyleInfo name="TableStyleMedium2" showFirstColumn="0" showLastColumn="0" showRowStripes="1" showColumnStripes="0"/>
</x:table>
</file>

<file path=xl/tables/table5.xml><?xml version="1.0" encoding="utf-8"?>
<x:table xmlns:x="http://schemas.openxmlformats.org/spreadsheetml/2006/main" id="15" name="ReferentialDesignQA" displayName="ReferentialDesignQA" ref="A1:E57" headerRowCount="1" totalsRowCount="0" totalsRowShown="0">
  <x:tableColumns count="5">
    <x:tableColumn id="1" name="Check"/>
    <x:tableColumn id="2" name="Actual"/>
    <x:tableColumn id="3" name="Expected"/>
    <x:tableColumn id="4" name="Status"/>
    <x:tableColumn id="5" name="Notes"/>
  </x:tableColumns>
  <x:tableStyleInfo name="TableStyleMedium2" showFirstColumn="0" showLastColumn="0" showRowStripes="1" showColumnStripes="0"/>
</x:table>
</file>

<file path=xl/tables/table6.xml><?xml version="1.0" encoding="utf-8"?>
<x:table xmlns:x="http://schemas.openxmlformats.org/spreadsheetml/2006/main" id="9" name="pi05ResultsTable" displayName="pi05ResultsTable" ref="A1:U151" headerRowCount="1" totalsRowCount="0" totalsRowShown="0">
  <x:autoFilter ref="A1:U151"/>
  <x:tableColumns count="21">
    <x:tableColumn id="1" name="Status"/>
    <x:tableColumn id="2" name="Episode"/>
    <x:tableColumn id="3" name="Prompt"/>
    <x:tableColumn id="4" name="Objects and Relative Positions"/>
    <x:tableColumn id="5" name="Reference Episode"/>
    <x:tableColumn id="6" name="Original Training Episode(s)"/>
    <x:tableColumn id="7" name="Manifest Alignment"/>
    <x:tableColumn id="8" name="Expected Target / Action"/>
    <x:tableColumn id="9" name="Observations"/>
    <x:tableColumn id="10" name="Condition"/>
    <x:tableColumn id="11" name="Scene Family"/>
    <x:tableColumn id="12" name="Query Concept"/>
    <x:tableColumn id="13" name="Candidate Category"/>
    <x:tableColumn id="14" name="Object Count"/>
    <x:tableColumn id="15" name="Valid Candidate Count"/>
    <x:tableColumn id="16" name="Bowl Start"/>
    <x:tableColumn id="17" name="Comparison / Subtype"/>
    <x:tableColumn id="18" name="Collection Block"/>
    <x:tableColumn id="19" name="Setup Change from Previous"/>
    <x:tableColumn id="20" name="Design Note"/>
    <x:tableColumn id="21" name="Reference Media Filename"/>
  </x:tableColumns>
  <x:tableStyleInfo name="TableStyleMedium2" showFirstColumn="0" showLastColumn="0" showRowStripes="1" showColumnStripes="0"/>
</x:table>
</file>

<file path=xl/tables/table7.xml><?xml version="1.0" encoding="utf-8"?>
<x:table xmlns:x="http://schemas.openxmlformats.org/spreadsheetml/2006/main" id="10" name="VLA0ResultsTable" displayName="VLA0ResultsTable" ref="A1:U151" headerRowCount="1" totalsRowCount="0" totalsRowShown="0">
  <x:autoFilter ref="A1:U151"/>
  <x:tableColumns count="21">
    <x:tableColumn id="1" name="Status"/>
    <x:tableColumn id="2" name="Episode"/>
    <x:tableColumn id="3" name="Prompt"/>
    <x:tableColumn id="4" name="Objects and Relative Positions"/>
    <x:tableColumn id="5" name="Reference Episode"/>
    <x:tableColumn id="6" name="Original Training Episode(s)"/>
    <x:tableColumn id="7" name="Manifest Alignment"/>
    <x:tableColumn id="8" name="Expected Target / Action"/>
    <x:tableColumn id="9" name="Observations"/>
    <x:tableColumn id="10" name="Condition"/>
    <x:tableColumn id="11" name="Scene Family"/>
    <x:tableColumn id="12" name="Query Concept"/>
    <x:tableColumn id="13" name="Candidate Category"/>
    <x:tableColumn id="14" name="Object Count"/>
    <x:tableColumn id="15" name="Valid Candidate Count"/>
    <x:tableColumn id="16" name="Bowl Start"/>
    <x:tableColumn id="17" name="Comparison / Subtype"/>
    <x:tableColumn id="18" name="Collection Block"/>
    <x:tableColumn id="19" name="Setup Change from Previous"/>
    <x:tableColumn id="20" name="Design Note"/>
    <x:tableColumn id="21" name="Reference Media Filename"/>
  </x:tableColumns>
  <x:tableStyleInfo name="TableStyleMedium2" showFirstColumn="0" showLastColumn="0" showRowStripes="1" showColumnStripes="0"/>
</x:table>
</file>

<file path=xl/tables/table8.xml><?xml version="1.0" encoding="utf-8"?>
<x:table xmlns:x="http://schemas.openxmlformats.org/spreadsheetml/2006/main" id="11" name="MolmoAct2ResultsTable" displayName="MolmoAct2ResultsTable" ref="A1:U151" headerRowCount="1" totalsRowCount="0" totalsRowShown="0">
  <x:autoFilter ref="A1:U151"/>
  <x:tableColumns count="21">
    <x:tableColumn id="1" name="Status"/>
    <x:tableColumn id="2" name="Episode"/>
    <x:tableColumn id="3" name="Prompt"/>
    <x:tableColumn id="4" name="Objects and Relative Positions"/>
    <x:tableColumn id="5" name="Reference Episode"/>
    <x:tableColumn id="6" name="Original Training Episode(s)"/>
    <x:tableColumn id="7" name="Manifest Alignment"/>
    <x:tableColumn id="8" name="Expected Target / Action"/>
    <x:tableColumn id="9" name="Observations"/>
    <x:tableColumn id="10" name="Condition"/>
    <x:tableColumn id="11" name="Scene Family"/>
    <x:tableColumn id="12" name="Query Concept"/>
    <x:tableColumn id="13" name="Candidate Category"/>
    <x:tableColumn id="14" name="Object Count"/>
    <x:tableColumn id="15" name="Valid Candidate Count"/>
    <x:tableColumn id="16" name="Bowl Start"/>
    <x:tableColumn id="17" name="Comparison / Subtype"/>
    <x:tableColumn id="18" name="Collection Block"/>
    <x:tableColumn id="19" name="Setup Change from Previous"/>
    <x:tableColumn id="20" name="Design Note"/>
    <x:tableColumn id="21" name="Reference Media Filenam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00490c4e2604f4a" /></Relationships>
</file>

<file path=xl/worksheets/_rels/sheet2.xml.rels>&#65279;<?xml version="1.0" encoding="utf-8"?><Relationships xmlns="http://schemas.openxmlformats.org/package/2006/relationships"><Relationship Type="http://schemas.openxmlformats.org/officeDocument/2006/relationships/table" Target="/xl/tables/table2.xml" Id="R6dc1b7b9a7a74d1e" /></Relationships>
</file>

<file path=xl/worksheets/_rels/sheet3.xml.rels>&#65279;<?xml version="1.0" encoding="utf-8"?><Relationships xmlns="http://schemas.openxmlformats.org/package/2006/relationships"><Relationship Type="http://schemas.openxmlformats.org/officeDocument/2006/relationships/table" Target="/xl/tables/table3.xml" Id="Rf36e7765d57f4744" /></Relationships>
</file>

<file path=xl/worksheets/_rels/sheet4.xml.rels>&#65279;<?xml version="1.0" encoding="utf-8"?><Relationships xmlns="http://schemas.openxmlformats.org/package/2006/relationships"><Relationship Type="http://schemas.openxmlformats.org/officeDocument/2006/relationships/table" Target="/xl/tables/table4.xml" Id="R96c6d120ca5a402e" /></Relationships>
</file>

<file path=xl/worksheets/_rels/sheet5.xml.rels>&#65279;<?xml version="1.0" encoding="utf-8"?><Relationships xmlns="http://schemas.openxmlformats.org/package/2006/relationships"><Relationship Type="http://schemas.openxmlformats.org/officeDocument/2006/relationships/table" Target="/xl/tables/table5.xml" Id="Rbd1ee9b991894a8b" /></Relationships>
</file>

<file path=xl/worksheets/_rels/sheet6.xml.rels>&#65279;<?xml version="1.0" encoding="utf-8"?><Relationships xmlns="http://schemas.openxmlformats.org/package/2006/relationships"><Relationship Type="http://schemas.openxmlformats.org/officeDocument/2006/relationships/table" Target="/xl/tables/table6.xml" Id="R6e21ed87abfb4f2a" /></Relationships>
</file>

<file path=xl/worksheets/_rels/sheet7.xml.rels>&#65279;<?xml version="1.0" encoding="utf-8"?><Relationships xmlns="http://schemas.openxmlformats.org/package/2006/relationships"><Relationship Type="http://schemas.openxmlformats.org/officeDocument/2006/relationships/table" Target="/xl/tables/table7.xml" Id="R3073a70bfd6f4b55" /></Relationships>
</file>

<file path=xl/worksheets/_rels/sheet8.xml.rels>&#65279;<?xml version="1.0" encoding="utf-8"?><Relationships xmlns="http://schemas.openxmlformats.org/package/2006/relationships"><Relationship Type="http://schemas.openxmlformats.org/officeDocument/2006/relationships/table" Target="/xl/tables/table8.xml" Id="R0a48e57e8d344839" /></Relationships>
</file>

<file path=xl/worksheets/sheet1.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31.670000076293945" hidden="0" customWidth="1"/>
    <x:col min="4" max="4" width="52.779998779296875" hidden="0" customWidth="1"/>
    <x:col min="5" max="5" width="9.4399995803833" hidden="0" customWidth="1"/>
    <x:col min="6" max="6" width="12.779999732971191" hidden="0" customWidth="1"/>
    <x:col min="7" max="7" width="40.560001373291016" hidden="0" customWidth="1"/>
    <x:col min="8" max="8" width="25.559999465942383" hidden="0" customWidth="1"/>
    <x:col min="9" max="9" width="28.889999389648438" hidden="0" customWidth="1"/>
    <x:col min="10" max="10" width="24.440000534057617" hidden="0" customWidth="1"/>
    <x:col min="11" max="11" width="11.670000076293945" hidden="0" customWidth="1"/>
    <x:col min="12" max="12" width="12.779999732971191" hidden="0" customWidth="1"/>
    <x:col min="13" max="13" width="18.329999923706055" hidden="0" customWidth="1"/>
    <x:col min="14" max="14" width="8.329999923706055" hidden="0" customWidth="1"/>
    <x:col min="15" max="15" width="10" hidden="0" customWidth="1"/>
    <x:col min="16" max="16" width="8.890000343322754" hidden="0" customWidth="1"/>
    <x:col min="17" max="17" width="32.220001220703125" hidden="0" customWidth="1"/>
    <x:col min="18" max="18" width="9.4399995803833" hidden="0" customWidth="1"/>
    <x:col min="19" max="19" width="28.329999923706055" hidden="0" customWidth="1"/>
    <x:col min="20" max="20" width="38.33000183105469" hidden="0" customWidth="1"/>
    <x:col min="21" max="21" width="20.559999465942383" hidden="0" customWidth="1"/>
  </x:cols>
  <x:sheetData>
    <x:row r="1" ht="30" customHeight="1">
      <x:c r="A1" s="30" t="str">
        <x:v>Status</x:v>
      </x:c>
      <x:c r="B1" s="30" t="str">
        <x:v>Episode</x:v>
      </x:c>
      <x:c r="C1" s="30" t="str">
        <x:v>Prompt</x:v>
      </x:c>
      <x:c r="D1" s="30" t="str">
        <x:v>Objects and Relative Positions</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Query Concept</x:v>
      </x:c>
      <x:c r="M1" s="30" t="str">
        <x:v>Candidate Category</x:v>
      </x:c>
      <x:c r="N1" s="30" t="str">
        <x:v>Object Count</x:v>
      </x:c>
      <x:c r="O1" s="30" t="str">
        <x:v>Valid Candidate Count</x:v>
      </x:c>
      <x:c r="P1" s="30" t="str">
        <x:v>Bowl Start</x:v>
      </x:c>
      <x:c r="Q1" s="30" t="str">
        <x:v>Comparison / Subtype</x:v>
      </x:c>
      <x:c r="R1" s="30" t="str">
        <x:v>Collection Block</x:v>
      </x:c>
      <x:c r="S1" s="30" t="str">
        <x:v>Setup Change from Previous</x:v>
      </x:c>
      <x:c r="T1" s="30" t="str">
        <x:v>Design Note</x:v>
      </x:c>
      <x:c r="U1" s="30" t="str">
        <x:v>Reference Media Filename</x:v>
      </x:c>
    </x:row>
    <x:row r="2" ht="51" customHeight="1">
      <x:c r="A2" s="41" t="str">
        <x:v>Not collected</x:v>
      </x:c>
      <x:c r="B2" s="42" t="n">
        <x:v>0</x:v>
      </x:c>
      <x:c r="C2" s="41" t="str">
        <x:v>Move the crushed soda can lying between the green pencil sharpener and the green pen into the bowl.</x:v>
      </x:c>
      <x:c r="D2" s="41" t="str">
        <x:v>Reference A: green pencil sharpener at 14 cm to robot-left of table centre; Reference B: green pen at 14 cm to robot-right of table centre; crushed Coke can: at table centre on the straight Reference A–B segment; crushed Pepsi can: 12 cm toward the robot from table centre, off the Reference A–B segment; Bowl: empty</x:v>
      </x:c>
      <x:c r="E2" s="42" t="str"/>
      <x:c r="F2" s="42" t="str">
        <x:v>430</x:v>
      </x:c>
      <x:c r="G2" s="41" t="str">
        <x:v>Exact manifest cell: prompt, relation × candidate-category combination, target identity, and object membership are explicitly represented in training; physical positions are manually recreated with a clear margin.</x:v>
      </x:c>
      <x:c r="H2" s="41" t="str">
        <x:v>crushed Coke can</x:v>
      </x:c>
      <x:c r="I2" s="41" t="str"/>
      <x:c r="J2" s="43" t="str">
        <x:v>In-distribution concept baseline</x:v>
      </x:c>
      <x:c r="K2" s="42" t="str">
        <x:v>RD-ID01</x:v>
      </x:c>
      <x:c r="L2" s="42" t="str">
        <x:v>between</x:v>
      </x:c>
      <x:c r="M2" s="42" t="str">
        <x:v>crushed soda can</x:v>
      </x:c>
      <x:c r="N2" s="42" t="n">
        <x:v>4</x:v>
      </x:c>
      <x:c r="O2" s="42" t="n">
        <x:v>1</x:v>
      </x:c>
      <x:c r="P2" s="42" t="str">
        <x:v>Empty</x:v>
      </x:c>
      <x:c r="Q2" s="41" t="str">
        <x:v>Exact training-supported relation × candidate-category baseline</x:v>
      </x:c>
      <x:c r="R2" s="42" t="n">
        <x:v>1</x:v>
      </x:c>
      <x:c r="S2" s="41" t="str">
        <x:v>Recreate the listed four-object scene with the bowl empty.</x:v>
      </x:c>
      <x:c r="T2" s="41" t="str">
        <x:v>The relation, candidate category, target identity, and object membership occur together in the cited training episode.</x:v>
      </x:c>
      <x:c r="U2" s="41" t="str"/>
    </x:row>
    <x:row r="3" ht="51" customHeight="1">
      <x:c r="A3" s="44" t="str">
        <x:v>Not collected</x:v>
      </x:c>
      <x:c r="B3" s="45" t="n">
        <x:v>1</x:v>
      </x:c>
      <x:c r="C3" s="44" t="str">
        <x:v>Put the crushed soda can between the red pencil sharpener and the airplane toy without propellers in the bowl.</x:v>
      </x:c>
      <x:c r="D3" s="44" t="str">
        <x:v>Reference A: red pencil sharpener at 14 cm toward the robot from table centre; Reference B: airplane toy without propellers at 14 cm away from the robot from table centre; crushed Pepsi can: at table centre on the straight Reference A–B segment; crushed Coke can: 12 cm to robot-right of table centre, off the Reference A–B segment; Bowl: empty</x:v>
      </x:c>
      <x:c r="E3" s="45" t="str"/>
      <x:c r="F3" s="45" t="str">
        <x:v>437</x:v>
      </x:c>
      <x:c r="G3" s="44" t="str">
        <x:v>Exact manifest cell: prompt, relation × candidate-category combination, target identity, and object membership are explicitly represented in training; physical positions are manually recreated with a clear margin.</x:v>
      </x:c>
      <x:c r="H3" s="44" t="str">
        <x:v>crushed Pepsi can</x:v>
      </x:c>
      <x:c r="I3" s="44" t="str"/>
      <x:c r="J3" s="43" t="str">
        <x:v>In-distribution concept baseline</x:v>
      </x:c>
      <x:c r="K3" s="45" t="str">
        <x:v>RD-ID02</x:v>
      </x:c>
      <x:c r="L3" s="45" t="str">
        <x:v>between</x:v>
      </x:c>
      <x:c r="M3" s="45" t="str">
        <x:v>crushed soda can</x:v>
      </x:c>
      <x:c r="N3" s="45" t="n">
        <x:v>4</x:v>
      </x:c>
      <x:c r="O3" s="45" t="n">
        <x:v>1</x:v>
      </x:c>
      <x:c r="P3" s="45" t="str">
        <x:v>Empty</x:v>
      </x:c>
      <x:c r="Q3" s="44" t="str">
        <x:v>Exact training-supported relation × candidate-category baseline</x:v>
      </x:c>
      <x:c r="R3" s="45" t="n">
        <x:v>1</x:v>
      </x:c>
      <x:c r="S3" s="44" t="str">
        <x:v>Recreate the listed four-object scene with the bowl empty.</x:v>
      </x:c>
      <x:c r="T3" s="44" t="str">
        <x:v>The relation, candidate category, target identity, and object membership occur together in the cited training episode.</x:v>
      </x:c>
      <x:c r="U3" s="44" t="str"/>
    </x:row>
    <x:row r="4" ht="51" customHeight="1">
      <x:c r="A4" s="41" t="str">
        <x:v>Not collected</x:v>
      </x:c>
      <x:c r="B4" s="42" t="n">
        <x:v>2</x:v>
      </x:c>
      <x:c r="C4" s="41" t="str">
        <x:v>Pick up the crushed soda can positioned between the airplane toy with propellers and the green pencil sharpener, then place it in the bowl.</x:v>
      </x:c>
      <x:c r="D4" s="41" t="str">
        <x:v>Reference A: airplane toy with propellers at 14 cm toward robot-left from table centre; Reference B: green pencil sharpener at 14 cm away toward robot-right from table centre; crushed Coke can: at table centre on the straight Reference A–B segment; crushed Pepsi can: 12 cm toward robot-right from table centre, off the Reference A–B segment; Bowl: empty</x:v>
      </x:c>
      <x:c r="E4" s="42" t="str"/>
      <x:c r="F4" s="42" t="str">
        <x:v>431</x:v>
      </x:c>
      <x:c r="G4" s="41" t="str">
        <x:v>Exact manifest cell: prompt, relation × candidate-category combination, target identity, and object membership are explicitly represented in training; physical positions are manually recreated with a clear margin.</x:v>
      </x:c>
      <x:c r="H4" s="41" t="str">
        <x:v>crushed Coke can</x:v>
      </x:c>
      <x:c r="I4" s="41" t="str"/>
      <x:c r="J4" s="43" t="str">
        <x:v>In-distribution concept baseline</x:v>
      </x:c>
      <x:c r="K4" s="42" t="str">
        <x:v>RD-ID03</x:v>
      </x:c>
      <x:c r="L4" s="42" t="str">
        <x:v>between</x:v>
      </x:c>
      <x:c r="M4" s="42" t="str">
        <x:v>crushed soda can</x:v>
      </x:c>
      <x:c r="N4" s="42" t="n">
        <x:v>4</x:v>
      </x:c>
      <x:c r="O4" s="42" t="n">
        <x:v>1</x:v>
      </x:c>
      <x:c r="P4" s="42" t="str">
        <x:v>Empty</x:v>
      </x:c>
      <x:c r="Q4" s="41" t="str">
        <x:v>Exact training-supported relation × candidate-category baseline</x:v>
      </x:c>
      <x:c r="R4" s="42" t="n">
        <x:v>1</x:v>
      </x:c>
      <x:c r="S4" s="41" t="str">
        <x:v>Recreate the listed four-object scene with the bowl empty.</x:v>
      </x:c>
      <x:c r="T4" s="41" t="str">
        <x:v>The relation, candidate category, target identity, and object membership occur together in the cited training episode.</x:v>
      </x:c>
      <x:c r="U4" s="41" t="str"/>
    </x:row>
    <x:row r="5" ht="51" customHeight="1">
      <x:c r="A5" s="44" t="str">
        <x:v>Not collected</x:v>
      </x:c>
      <x:c r="B5" s="45" t="n">
        <x:v>3</x:v>
      </x:c>
      <x:c r="C5" s="44" t="str">
        <x:v>Pick up the crushed soda can furthest from the yellow pen and place it in the bowl.</x:v>
      </x:c>
      <x:c r="D5" s="44" t="str">
        <x:v>Reference: yellow pen at table centre; crushed Pepsi can: 10 cm away from the robot from the reference; crushed Coke can: 24 cm toward the robot from the reference; airplane toy with propellers: at the far robot-left corner, outside the distance comparison; Bowl: empty</x:v>
      </x:c>
      <x:c r="E5" s="45" t="str"/>
      <x:c r="F5" s="45" t="str">
        <x:v>416</x:v>
      </x:c>
      <x:c r="G5" s="44" t="str">
        <x:v>Exact manifest cell: prompt, relation × candidate-category combination, target identity, and object membership are explicitly represented in training; physical positions are manually recreated with a clear margin.</x:v>
      </x:c>
      <x:c r="H5" s="44" t="str">
        <x:v>crushed Coke can</x:v>
      </x:c>
      <x:c r="I5" s="44" t="str"/>
      <x:c r="J5" s="43" t="str">
        <x:v>In-distribution concept baseline</x:v>
      </x:c>
      <x:c r="K5" s="45" t="str">
        <x:v>RD-ID04</x:v>
      </x:c>
      <x:c r="L5" s="45" t="str">
        <x:v>furthest</x:v>
      </x:c>
      <x:c r="M5" s="45" t="str">
        <x:v>crushed soda can</x:v>
      </x:c>
      <x:c r="N5" s="45" t="n">
        <x:v>4</x:v>
      </x:c>
      <x:c r="O5" s="45" t="n">
        <x:v>1</x:v>
      </x:c>
      <x:c r="P5" s="45" t="str">
        <x:v>Empty</x:v>
      </x:c>
      <x:c r="Q5" s="44" t="str">
        <x:v>Exact training-supported relation × candidate-category baseline</x:v>
      </x:c>
      <x:c r="R5" s="45" t="n">
        <x:v>1</x:v>
      </x:c>
      <x:c r="S5" s="44" t="str">
        <x:v>Recreate the listed four-object scene with the bowl empty.</x:v>
      </x:c>
      <x:c r="T5" s="44" t="str">
        <x:v>The relation, candidate category, target identity, and object membership occur together in the cited training episode.</x:v>
      </x:c>
      <x:c r="U5" s="44" t="str"/>
    </x:row>
    <x:row r="6" ht="51" customHeight="1">
      <x:c r="A6" s="41" t="str">
        <x:v>Not collected</x:v>
      </x:c>
      <x:c r="B6" s="42" t="n">
        <x:v>4</x:v>
      </x:c>
      <x:c r="C6" s="41" t="str">
        <x:v>Pick up the crushed soda can furthest from the airplane toy without propellers and place it in the bowl.</x:v>
      </x:c>
      <x:c r="D6" s="41" t="str">
        <x:v>Reference: airplane toy without propellers at table centre; crushed Pepsi can: 10 cm toward robot-left from the reference; crushed Coke can: 24 cm away toward robot-right from the reference; green pencil sharpener: at the far robot-left corner, outside the distance comparison; Bowl: empty</x:v>
      </x:c>
      <x:c r="E6" s="42" t="str"/>
      <x:c r="F6" s="42" t="str">
        <x:v>418</x:v>
      </x:c>
      <x:c r="G6" s="41" t="str">
        <x:v>Exact manifest cell: prompt, relation × candidate-category combination, target identity, and object membership are explicitly represented in training; physical positions are manually recreated with a clear margin.</x:v>
      </x:c>
      <x:c r="H6" s="41" t="str">
        <x:v>crushed Coke can</x:v>
      </x:c>
      <x:c r="I6" s="41" t="str"/>
      <x:c r="J6" s="43" t="str">
        <x:v>In-distribution concept baseline</x:v>
      </x:c>
      <x:c r="K6" s="42" t="str">
        <x:v>RD-ID05</x:v>
      </x:c>
      <x:c r="L6" s="42" t="str">
        <x:v>furthest</x:v>
      </x:c>
      <x:c r="M6" s="42" t="str">
        <x:v>crushed soda can</x:v>
      </x:c>
      <x:c r="N6" s="42" t="n">
        <x:v>4</x:v>
      </x:c>
      <x:c r="O6" s="42" t="n">
        <x:v>1</x:v>
      </x:c>
      <x:c r="P6" s="42" t="str">
        <x:v>Empty</x:v>
      </x:c>
      <x:c r="Q6" s="41" t="str">
        <x:v>Exact training-supported relation × candidate-category baseline</x:v>
      </x:c>
      <x:c r="R6" s="42" t="n">
        <x:v>1</x:v>
      </x:c>
      <x:c r="S6" s="41" t="str">
        <x:v>Recreate the listed four-object scene with the bowl empty.</x:v>
      </x:c>
      <x:c r="T6" s="41" t="str">
        <x:v>The relation, candidate category, target identity, and object membership occur together in the cited training episode.</x:v>
      </x:c>
      <x:c r="U6" s="41" t="str"/>
    </x:row>
    <x:row r="7" ht="51" customHeight="1">
      <x:c r="A7" s="44" t="str">
        <x:v>Not collected</x:v>
      </x:c>
      <x:c r="B7" s="45" t="n">
        <x:v>5</x:v>
      </x:c>
      <x:c r="C7" s="44" t="str">
        <x:v>Move the pencil sharpener that is closest to the green pen into the bowl.</x:v>
      </x:c>
      <x:c r="D7" s="44" t="str">
        <x:v>Reference: green pen at table centre; green pencil sharpener: 10 cm toward robot-right from the reference; red pencil sharpener: 24 cm away toward robot-left from the reference; yellow pen: at the far robot-left corner, outside the distance comparison; Bowl: empty</x:v>
      </x:c>
      <x:c r="E7" s="45" t="str"/>
      <x:c r="F7" s="45" t="str">
        <x:v>464</x:v>
      </x:c>
      <x:c r="G7" s="44" t="str">
        <x:v>Exact manifest cell: prompt, relation × candidate-category combination, target identity, and object membership are explicitly represented in training; physical positions are manually recreated with a clear margin.</x:v>
      </x:c>
      <x:c r="H7" s="44" t="str">
        <x:v>green pencil sharpener</x:v>
      </x:c>
      <x:c r="I7" s="44" t="str"/>
      <x:c r="J7" s="43" t="str">
        <x:v>In-distribution concept baseline</x:v>
      </x:c>
      <x:c r="K7" s="45" t="str">
        <x:v>RD-ID06</x:v>
      </x:c>
      <x:c r="L7" s="45" t="str">
        <x:v>closest</x:v>
      </x:c>
      <x:c r="M7" s="45" t="str">
        <x:v>pencil sharpener</x:v>
      </x:c>
      <x:c r="N7" s="45" t="n">
        <x:v>4</x:v>
      </x:c>
      <x:c r="O7" s="45" t="n">
        <x:v>1</x:v>
      </x:c>
      <x:c r="P7" s="45" t="str">
        <x:v>Empty</x:v>
      </x:c>
      <x:c r="Q7" s="44" t="str">
        <x:v>Exact training-supported relation × candidate-category baseline</x:v>
      </x:c>
      <x:c r="R7" s="45" t="n">
        <x:v>1</x:v>
      </x:c>
      <x:c r="S7" s="44" t="str">
        <x:v>Recreate the listed four-object scene with the bowl empty.</x:v>
      </x:c>
      <x:c r="T7" s="44" t="str">
        <x:v>The relation, candidate category, target identity, and object membership occur together in the cited training episode.</x:v>
      </x:c>
      <x:c r="U7" s="44" t="str"/>
    </x:row>
    <x:row r="8" ht="51" customHeight="1">
      <x:c r="A8" s="41" t="str">
        <x:v>Not collected</x:v>
      </x:c>
      <x:c r="B8" s="42" t="n">
        <x:v>6</x:v>
      </x:c>
      <x:c r="C8" s="41" t="str">
        <x:v>Move the pencil sharpener that is closest to the crushed Pepsi can into the bowl.</x:v>
      </x:c>
      <x:c r="D8" s="41" t="str">
        <x:v>Reference: crushed Pepsi can at table centre; red pencil sharpener: 10 cm to robot-left of the reference; green pencil sharpener: 24 cm to robot-right of the reference; airplane toy with propellers: at the far robot-left corner, outside the distance comparison; Bowl: empty</x:v>
      </x:c>
      <x:c r="E8" s="42" t="str"/>
      <x:c r="F8" s="42" t="str">
        <x:v>451</x:v>
      </x:c>
      <x:c r="G8" s="41" t="str">
        <x:v>Exact manifest cell: prompt, relation × candidate-category combination, target identity, and object membership are explicitly represented in training; physical positions are manually recreated with a clear margin.</x:v>
      </x:c>
      <x:c r="H8" s="41" t="str">
        <x:v>red pencil sharpener</x:v>
      </x:c>
      <x:c r="I8" s="41" t="str"/>
      <x:c r="J8" s="43" t="str">
        <x:v>In-distribution concept baseline</x:v>
      </x:c>
      <x:c r="K8" s="42" t="str">
        <x:v>RD-ID07</x:v>
      </x:c>
      <x:c r="L8" s="42" t="str">
        <x:v>closest</x:v>
      </x:c>
      <x:c r="M8" s="42" t="str">
        <x:v>pencil sharpener</x:v>
      </x:c>
      <x:c r="N8" s="42" t="n">
        <x:v>4</x:v>
      </x:c>
      <x:c r="O8" s="42" t="n">
        <x:v>1</x:v>
      </x:c>
      <x:c r="P8" s="42" t="str">
        <x:v>Empty</x:v>
      </x:c>
      <x:c r="Q8" s="41" t="str">
        <x:v>Exact training-supported relation × candidate-category baseline</x:v>
      </x:c>
      <x:c r="R8" s="42" t="n">
        <x:v>1</x:v>
      </x:c>
      <x:c r="S8" s="41" t="str">
        <x:v>Recreate the listed four-object scene with the bowl empty.</x:v>
      </x:c>
      <x:c r="T8" s="41" t="str">
        <x:v>The relation, candidate category, target identity, and object membership occur together in the cited training episode.</x:v>
      </x:c>
      <x:c r="U8" s="41" t="str"/>
    </x:row>
    <x:row r="9" ht="51" customHeight="1">
      <x:c r="A9" s="44" t="str">
        <x:v>Not collected</x:v>
      </x:c>
      <x:c r="B9" s="45" t="n">
        <x:v>7</x:v>
      </x:c>
      <x:c r="C9" s="44" t="str">
        <x:v>Put the pencil sharpener closest to the yellow pen in the bowl.</x:v>
      </x:c>
      <x:c r="D9" s="44" t="str">
        <x:v>Reference: yellow pen at table centre; red pencil sharpener: 10 cm to robot-right of the reference; green pencil sharpener: 24 cm to robot-left of the reference; crushed Coke can: at the far robot-left corner, outside the distance comparison; Bowl: empty</x:v>
      </x:c>
      <x:c r="E9" s="45" t="str"/>
      <x:c r="F9" s="45" t="str">
        <x:v>453</x:v>
      </x:c>
      <x:c r="G9" s="44" t="str">
        <x:v>Exact manifest cell: prompt, relation × candidate-category combination, target identity, and object membership are explicitly represented in training; physical positions are manually recreated with a clear margin.</x:v>
      </x:c>
      <x:c r="H9" s="44" t="str">
        <x:v>red pencil sharpener</x:v>
      </x:c>
      <x:c r="I9" s="44" t="str"/>
      <x:c r="J9" s="43" t="str">
        <x:v>In-distribution concept baseline</x:v>
      </x:c>
      <x:c r="K9" s="45" t="str">
        <x:v>RD-ID08</x:v>
      </x:c>
      <x:c r="L9" s="45" t="str">
        <x:v>closest</x:v>
      </x:c>
      <x:c r="M9" s="45" t="str">
        <x:v>pencil sharpener</x:v>
      </x:c>
      <x:c r="N9" s="45" t="n">
        <x:v>4</x:v>
      </x:c>
      <x:c r="O9" s="45" t="n">
        <x:v>1</x:v>
      </x:c>
      <x:c r="P9" s="45" t="str">
        <x:v>Empty</x:v>
      </x:c>
      <x:c r="Q9" s="44" t="str">
        <x:v>Exact training-supported relation × candidate-category baseline</x:v>
      </x:c>
      <x:c r="R9" s="45" t="n">
        <x:v>1</x:v>
      </x:c>
      <x:c r="S9" s="44" t="str">
        <x:v>Recreate the listed four-object scene with the bowl empty.</x:v>
      </x:c>
      <x:c r="T9" s="44" t="str">
        <x:v>The relation, candidate category, target identity, and object membership occur together in the cited training episode.</x:v>
      </x:c>
      <x:c r="U9" s="44" t="str"/>
    </x:row>
    <x:row r="10" ht="51" customHeight="1">
      <x:c r="A10" s="41" t="str">
        <x:v>Not collected</x:v>
      </x:c>
      <x:c r="B10" s="42" t="n">
        <x:v>8</x:v>
      </x:c>
      <x:c r="C10" s="41" t="str">
        <x:v>Pick up the pencil sharpener furthest from the yellow pen and place it in the bowl.</x:v>
      </x:c>
      <x:c r="D10" s="41" t="str">
        <x:v>Reference: yellow pen at table centre; red pencil sharpener: 10 cm toward the robot from the reference; green pencil sharpener: 24 cm away from the robot from the reference; airplane toy without propellers: at the far robot-left corner, outside the distance comparison; Bowl: empty</x:v>
      </x:c>
      <x:c r="E10" s="42" t="str"/>
      <x:c r="F10" s="42" t="str">
        <x:v>466</x:v>
      </x:c>
      <x:c r="G10" s="41" t="str">
        <x:v>Exact manifest cell: prompt, relation × candidate-category combination, target identity, and object membership are explicitly represented in training; physical positions are manually recreated with a clear margin.</x:v>
      </x:c>
      <x:c r="H10" s="41" t="str">
        <x:v>green pencil sharpener</x:v>
      </x:c>
      <x:c r="I10" s="41" t="str"/>
      <x:c r="J10" s="43" t="str">
        <x:v>In-distribution concept baseline</x:v>
      </x:c>
      <x:c r="K10" s="42" t="str">
        <x:v>RD-ID09</x:v>
      </x:c>
      <x:c r="L10" s="42" t="str">
        <x:v>furthest</x:v>
      </x:c>
      <x:c r="M10" s="42" t="str">
        <x:v>pencil sharpener</x:v>
      </x:c>
      <x:c r="N10" s="42" t="n">
        <x:v>4</x:v>
      </x:c>
      <x:c r="O10" s="42" t="n">
        <x:v>1</x:v>
      </x:c>
      <x:c r="P10" s="42" t="str">
        <x:v>Empty</x:v>
      </x:c>
      <x:c r="Q10" s="41" t="str">
        <x:v>Exact training-supported relation × candidate-category baseline</x:v>
      </x:c>
      <x:c r="R10" s="42" t="n">
        <x:v>1</x:v>
      </x:c>
      <x:c r="S10" s="41" t="str">
        <x:v>Recreate the listed four-object scene with the bowl empty.</x:v>
      </x:c>
      <x:c r="T10" s="41" t="str">
        <x:v>The relation, candidate category, target identity, and object membership occur together in the cited training episode.</x:v>
      </x:c>
      <x:c r="U10" s="41" t="str"/>
    </x:row>
    <x:row r="11" ht="51" customHeight="1">
      <x:c r="A11" s="44" t="str">
        <x:v>Not collected</x:v>
      </x:c>
      <x:c r="B11" s="45" t="n">
        <x:v>9</x:v>
      </x:c>
      <x:c r="C11" s="44" t="str">
        <x:v>Pick up the pencil sharpener furthest from the airplane toy without propellers and place it in the bowl.</x:v>
      </x:c>
      <x:c r="D11" s="44" t="str">
        <x:v>Reference: airplane toy without propellers at table centre; red pencil sharpener: 10 cm away from the robot from the reference; green pencil sharpener: 24 cm toward the robot from the reference; crushed Pepsi can: at the far robot-left corner, outside the distance comparison; Bowl: empty</x:v>
      </x:c>
      <x:c r="E11" s="45" t="str"/>
      <x:c r="F11" s="45" t="str">
        <x:v>468</x:v>
      </x:c>
      <x:c r="G11" s="44" t="str">
        <x:v>Exact manifest cell: prompt, relation × candidate-category combination, target identity, and object membership are explicitly represented in training; physical positions are manually recreated with a clear margin.</x:v>
      </x:c>
      <x:c r="H11" s="44" t="str">
        <x:v>green pencil sharpener</x:v>
      </x:c>
      <x:c r="I11" s="44" t="str"/>
      <x:c r="J11" s="43" t="str">
        <x:v>In-distribution concept baseline</x:v>
      </x:c>
      <x:c r="K11" s="45" t="str">
        <x:v>RD-ID10</x:v>
      </x:c>
      <x:c r="L11" s="45" t="str">
        <x:v>furthest</x:v>
      </x:c>
      <x:c r="M11" s="45" t="str">
        <x:v>pencil sharpener</x:v>
      </x:c>
      <x:c r="N11" s="45" t="n">
        <x:v>4</x:v>
      </x:c>
      <x:c r="O11" s="45" t="n">
        <x:v>1</x:v>
      </x:c>
      <x:c r="P11" s="45" t="str">
        <x:v>Empty</x:v>
      </x:c>
      <x:c r="Q11" s="44" t="str">
        <x:v>Exact training-supported relation × candidate-category baseline</x:v>
      </x:c>
      <x:c r="R11" s="45" t="n">
        <x:v>1</x:v>
      </x:c>
      <x:c r="S11" s="44" t="str">
        <x:v>Recreate the listed four-object scene with the bowl empty.</x:v>
      </x:c>
      <x:c r="T11" s="44" t="str">
        <x:v>The relation, candidate category, target identity, and object membership occur together in the cited training episode.</x:v>
      </x:c>
      <x:c r="U11" s="44" t="str"/>
    </x:row>
    <x:row r="12" ht="51" customHeight="1">
      <x:c r="A12" s="41" t="str">
        <x:v>Not collected</x:v>
      </x:c>
      <x:c r="B12" s="42" t="n">
        <x:v>10</x:v>
      </x:c>
      <x:c r="C12" s="41" t="str">
        <x:v>Put the airplane toy closest to the green pencil sharpener in the bowl.</x:v>
      </x:c>
      <x:c r="D12" s="41" t="str">
        <x:v>Reference: green pencil sharpener at table centre; airplane toy with propellers: 10 cm toward robot-left from the reference; airplane toy without propellers: 24 cm away toward robot-right from the reference; red pencil sharpener: at the far robot-left corner, outside the distance comparison; Bowl: empty</x:v>
      </x:c>
      <x:c r="E12" s="42" t="str"/>
      <x:c r="F12" s="42" t="str">
        <x:v>564</x:v>
      </x:c>
      <x:c r="G12" s="41" t="str">
        <x:v>Exact manifest cell: prompt, relation × candidate-category combination, target identity, and object membership are explicitly represented in training; physical positions are manually recreated with a clear margin.</x:v>
      </x:c>
      <x:c r="H12" s="41" t="str">
        <x:v>airplane toy with propellers</x:v>
      </x:c>
      <x:c r="I12" s="41" t="str"/>
      <x:c r="J12" s="43" t="str">
        <x:v>In-distribution concept baseline</x:v>
      </x:c>
      <x:c r="K12" s="42" t="str">
        <x:v>RD-ID11</x:v>
      </x:c>
      <x:c r="L12" s="42" t="str">
        <x:v>closest</x:v>
      </x:c>
      <x:c r="M12" s="42" t="str">
        <x:v>airplane toy</x:v>
      </x:c>
      <x:c r="N12" s="42" t="n">
        <x:v>4</x:v>
      </x:c>
      <x:c r="O12" s="42" t="n">
        <x:v>1</x:v>
      </x:c>
      <x:c r="P12" s="42" t="str">
        <x:v>Empty</x:v>
      </x:c>
      <x:c r="Q12" s="41" t="str">
        <x:v>Exact training-supported relation × candidate-category baseline</x:v>
      </x:c>
      <x:c r="R12" s="42" t="n">
        <x:v>1</x:v>
      </x:c>
      <x:c r="S12" s="41" t="str">
        <x:v>Recreate the listed four-object scene with the bowl empty.</x:v>
      </x:c>
      <x:c r="T12" s="41" t="str">
        <x:v>The relation, candidate category, target identity, and object membership occur together in the cited training episode.</x:v>
      </x:c>
      <x:c r="U12" s="41" t="str"/>
    </x:row>
    <x:row r="13" ht="51" customHeight="1">
      <x:c r="A13" s="44" t="str">
        <x:v>Not collected</x:v>
      </x:c>
      <x:c r="B13" s="45" t="n">
        <x:v>11</x:v>
      </x:c>
      <x:c r="C13" s="44" t="str">
        <x:v>Pick up the airplane toy nearest to the yellow pen and place it in the bowl.</x:v>
      </x:c>
      <x:c r="D13" s="44" t="str">
        <x:v>Reference: yellow pen at table centre; airplane toy without propellers: 10 cm toward robot-right from the reference; airplane toy with propellers: 24 cm away toward robot-left from the reference; green pencil sharpener: at the far robot-left corner, outside the distance comparison; Bowl: empty</x:v>
      </x:c>
      <x:c r="E13" s="45" t="str"/>
      <x:c r="F13" s="45" t="str">
        <x:v>551</x:v>
      </x:c>
      <x:c r="G13" s="44" t="str">
        <x:v>Exact manifest cell: prompt, relation × candidate-category combination, target identity, and object membership are explicitly represented in training; physical positions are manually recreated with a clear margin.</x:v>
      </x:c>
      <x:c r="H13" s="44" t="str">
        <x:v>airplane toy without propellers</x:v>
      </x:c>
      <x:c r="I13" s="44" t="str"/>
      <x:c r="J13" s="43" t="str">
        <x:v>In-distribution concept baseline</x:v>
      </x:c>
      <x:c r="K13" s="45" t="str">
        <x:v>RD-ID12</x:v>
      </x:c>
      <x:c r="L13" s="45" t="str">
        <x:v>closest</x:v>
      </x:c>
      <x:c r="M13" s="45" t="str">
        <x:v>airplane toy</x:v>
      </x:c>
      <x:c r="N13" s="45" t="n">
        <x:v>4</x:v>
      </x:c>
      <x:c r="O13" s="45" t="n">
        <x:v>1</x:v>
      </x:c>
      <x:c r="P13" s="45" t="str">
        <x:v>Empty</x:v>
      </x:c>
      <x:c r="Q13" s="44" t="str">
        <x:v>Exact training-supported relation × candidate-category baseline</x:v>
      </x:c>
      <x:c r="R13" s="45" t="n">
        <x:v>1</x:v>
      </x:c>
      <x:c r="S13" s="44" t="str">
        <x:v>Recreate the listed four-object scene with the bowl empty.</x:v>
      </x:c>
      <x:c r="T13" s="44" t="str">
        <x:v>The relation, candidate category, target identity, and object membership occur together in the cited training episode.</x:v>
      </x:c>
      <x:c r="U13" s="44" t="str"/>
    </x:row>
    <x:row r="14" ht="51" customHeight="1">
      <x:c r="A14" s="41" t="str">
        <x:v>Not collected</x:v>
      </x:c>
      <x:c r="B14" s="42" t="n">
        <x:v>12</x:v>
      </x:c>
      <x:c r="C14" s="41" t="str">
        <x:v>Move the airplane toy lying between the crushed Pepsi can and the red pencil sharpener into the bowl.</x:v>
      </x:c>
      <x:c r="D14" s="41" t="str">
        <x:v>Reference A: crushed Pepsi can at 14 cm to robot-left of table centre; Reference B: red pencil sharpener at 14 cm to robot-right of table centre; airplane toy with propellers: at table centre on the straight Reference A–B segment; airplane toy without propellers: 12 cm toward the robot from table centre, off the Reference A–B segment; Bowl: empty</x:v>
      </x:c>
      <x:c r="E14" s="42" t="str"/>
      <x:c r="F14" s="42" t="str">
        <x:v>582</x:v>
      </x:c>
      <x:c r="G14" s="41" t="str">
        <x:v>Exact manifest cell: prompt, relation × candidate-category combination, target identity, and object membership are explicitly represented in training; physical positions are manually recreated with a clear margin.</x:v>
      </x:c>
      <x:c r="H14" s="41" t="str">
        <x:v>airplane toy with propellers</x:v>
      </x:c>
      <x:c r="I14" s="41" t="str"/>
      <x:c r="J14" s="43" t="str">
        <x:v>In-distribution concept baseline</x:v>
      </x:c>
      <x:c r="K14" s="42" t="str">
        <x:v>RD-ID13</x:v>
      </x:c>
      <x:c r="L14" s="42" t="str">
        <x:v>between</x:v>
      </x:c>
      <x:c r="M14" s="42" t="str">
        <x:v>airplane toy</x:v>
      </x:c>
      <x:c r="N14" s="42" t="n">
        <x:v>4</x:v>
      </x:c>
      <x:c r="O14" s="42" t="n">
        <x:v>1</x:v>
      </x:c>
      <x:c r="P14" s="42" t="str">
        <x:v>Empty</x:v>
      </x:c>
      <x:c r="Q14" s="41" t="str">
        <x:v>Exact training-supported relation × candidate-category baseline</x:v>
      </x:c>
      <x:c r="R14" s="42" t="n">
        <x:v>1</x:v>
      </x:c>
      <x:c r="S14" s="41" t="str">
        <x:v>Recreate the listed four-object scene with the bowl empty.</x:v>
      </x:c>
      <x:c r="T14" s="41" t="str">
        <x:v>The relation, candidate category, target identity, and object membership occur together in the cited training episode.</x:v>
      </x:c>
      <x:c r="U14" s="41" t="str"/>
    </x:row>
    <x:row r="15" ht="51" customHeight="1">
      <x:c r="A15" s="44" t="str">
        <x:v>Not collected</x:v>
      </x:c>
      <x:c r="B15" s="45" t="n">
        <x:v>13</x:v>
      </x:c>
      <x:c r="C15" s="44" t="str">
        <x:v>Put the airplane toy between the crushed Coke can and the green pen in the bowl.</x:v>
      </x:c>
      <x:c r="D15" s="44" t="str">
        <x:v>Reference A: crushed Coke can at 14 cm toward the robot from table centre; Reference B: green pen at 14 cm away from the robot from table centre; airplane toy without propellers: at table centre on the straight Reference A–B segment; airplane toy with propellers: 12 cm to robot-right of table centre, off the Reference A–B segment; Bowl: empty</x:v>
      </x:c>
      <x:c r="E15" s="45" t="str"/>
      <x:c r="F15" s="45" t="str">
        <x:v>586</x:v>
      </x:c>
      <x:c r="G15" s="44" t="str">
        <x:v>Exact manifest cell: prompt, relation × candidate-category combination, target identity, and object membership are explicitly represented in training; physical positions are manually recreated with a clear margin.</x:v>
      </x:c>
      <x:c r="H15" s="44" t="str">
        <x:v>airplane toy without propellers</x:v>
      </x:c>
      <x:c r="I15" s="44" t="str"/>
      <x:c r="J15" s="43" t="str">
        <x:v>In-distribution concept baseline</x:v>
      </x:c>
      <x:c r="K15" s="45" t="str">
        <x:v>RD-ID14</x:v>
      </x:c>
      <x:c r="L15" s="45" t="str">
        <x:v>between</x:v>
      </x:c>
      <x:c r="M15" s="45" t="str">
        <x:v>airplane toy</x:v>
      </x:c>
      <x:c r="N15" s="45" t="n">
        <x:v>4</x:v>
      </x:c>
      <x:c r="O15" s="45" t="n">
        <x:v>1</x:v>
      </x:c>
      <x:c r="P15" s="45" t="str">
        <x:v>Empty</x:v>
      </x:c>
      <x:c r="Q15" s="44" t="str">
        <x:v>Exact training-supported relation × candidate-category baseline</x:v>
      </x:c>
      <x:c r="R15" s="45" t="n">
        <x:v>1</x:v>
      </x:c>
      <x:c r="S15" s="44" t="str">
        <x:v>Recreate the listed four-object scene with the bowl empty.</x:v>
      </x:c>
      <x:c r="T15" s="44" t="str">
        <x:v>The relation, candidate category, target identity, and object membership occur together in the cited training episode.</x:v>
      </x:c>
      <x:c r="U15" s="44" t="str"/>
    </x:row>
    <x:row r="16" ht="51" customHeight="1">
      <x:c r="A16" s="41" t="str">
        <x:v>Not collected</x:v>
      </x:c>
      <x:c r="B16" s="42" t="n">
        <x:v>14</x:v>
      </x:c>
      <x:c r="C16" s="41" t="str">
        <x:v>Pick up the airplane toy positioned between the green pencil sharpener and the yellow pen, then place it in the bowl.</x:v>
      </x:c>
      <x:c r="D16" s="41" t="str">
        <x:v>Reference A: green pencil sharpener at 14 cm toward robot-left from table centre; Reference B: yellow pen at 14 cm away toward robot-right from table centre; airplane toy with propellers: at table centre on the straight Reference A–B segment; airplane toy without propellers: 12 cm toward robot-right from table centre, off the Reference A–B segment; Bowl: empty</x:v>
      </x:c>
      <x:c r="E16" s="42" t="str"/>
      <x:c r="F16" s="42" t="str">
        <x:v>583</x:v>
      </x:c>
      <x:c r="G16" s="41" t="str">
        <x:v>Exact manifest cell: prompt, relation × candidate-category combination, target identity, and object membership are explicitly represented in training; physical positions are manually recreated with a clear margin.</x:v>
      </x:c>
      <x:c r="H16" s="41" t="str">
        <x:v>airplane toy with propellers</x:v>
      </x:c>
      <x:c r="I16" s="41" t="str"/>
      <x:c r="J16" s="43" t="str">
        <x:v>In-distribution concept baseline</x:v>
      </x:c>
      <x:c r="K16" s="42" t="str">
        <x:v>RD-ID15</x:v>
      </x:c>
      <x:c r="L16" s="42" t="str">
        <x:v>between</x:v>
      </x:c>
      <x:c r="M16" s="42" t="str">
        <x:v>airplane toy</x:v>
      </x:c>
      <x:c r="N16" s="42" t="n">
        <x:v>4</x:v>
      </x:c>
      <x:c r="O16" s="42" t="n">
        <x:v>1</x:v>
      </x:c>
      <x:c r="P16" s="42" t="str">
        <x:v>Empty</x:v>
      </x:c>
      <x:c r="Q16" s="41" t="str">
        <x:v>Exact training-supported relation × candidate-category baseline</x:v>
      </x:c>
      <x:c r="R16" s="42" t="n">
        <x:v>1</x:v>
      </x:c>
      <x:c r="S16" s="41" t="str">
        <x:v>Recreate the listed four-object scene with the bowl empty.</x:v>
      </x:c>
      <x:c r="T16" s="41" t="str">
        <x:v>The relation, candidate category, target identity, and object membership occur together in the cited training episode.</x:v>
      </x:c>
      <x:c r="U16" s="41" t="str"/>
    </x:row>
    <x:row r="17" ht="51" customHeight="1">
      <x:c r="A17" s="44" t="str">
        <x:v>Not collected</x:v>
      </x:c>
      <x:c r="B17" s="45" t="n">
        <x:v>15</x:v>
      </x:c>
      <x:c r="C17" s="44" t="str">
        <x:v>Put the pen closest to the crushed Coke can in the bowl.</x:v>
      </x:c>
      <x:c r="D17" s="44" t="str">
        <x:v>Reference: crushed Coke can at table centre; green pen: 10 cm away from the robot from the reference; yellow pen: 24 cm toward the robot from the reference; crushed Pepsi can: at the far robot-left corner, outside the distance comparison; Bowl: empty</x:v>
      </x:c>
      <x:c r="E17" s="45" t="str"/>
      <x:c r="F17" s="45" t="str">
        <x:v>514</x:v>
      </x:c>
      <x:c r="G17" s="44" t="str">
        <x:v>Exact manifest cell: prompt, relation × candidate-category combination, target identity, and object membership are explicitly represented in training; physical positions are manually recreated with a clear margin.</x:v>
      </x:c>
      <x:c r="H17" s="44" t="str">
        <x:v>green pen</x:v>
      </x:c>
      <x:c r="I17" s="44" t="str"/>
      <x:c r="J17" s="43" t="str">
        <x:v>In-distribution concept baseline</x:v>
      </x:c>
      <x:c r="K17" s="45" t="str">
        <x:v>RD-ID16</x:v>
      </x:c>
      <x:c r="L17" s="45" t="str">
        <x:v>closest</x:v>
      </x:c>
      <x:c r="M17" s="45" t="str">
        <x:v>pen</x:v>
      </x:c>
      <x:c r="N17" s="45" t="n">
        <x:v>4</x:v>
      </x:c>
      <x:c r="O17" s="45" t="n">
        <x:v>1</x:v>
      </x:c>
      <x:c r="P17" s="45" t="str">
        <x:v>Empty</x:v>
      </x:c>
      <x:c r="Q17" s="44" t="str">
        <x:v>Exact training-supported relation × candidate-category baseline</x:v>
      </x:c>
      <x:c r="R17" s="45" t="n">
        <x:v>1</x:v>
      </x:c>
      <x:c r="S17" s="44" t="str">
        <x:v>Recreate the listed four-object scene with the bowl empty.</x:v>
      </x:c>
      <x:c r="T17" s="44" t="str">
        <x:v>The relation, candidate category, target identity, and object membership occur together in the cited training episode.</x:v>
      </x:c>
      <x:c r="U17" s="44" t="str"/>
    </x:row>
    <x:row r="18" ht="51" customHeight="1">
      <x:c r="A18" s="41" t="str">
        <x:v>Not collected</x:v>
      </x:c>
      <x:c r="B18" s="42" t="n">
        <x:v>16</x:v>
      </x:c>
      <x:c r="C18" s="41" t="str">
        <x:v>Put the pen closest to the red pencil sharpener in the bowl.</x:v>
      </x:c>
      <x:c r="D18" s="41" t="str">
        <x:v>Reference: red pencil sharpener at table centre; yellow pen: 10 cm toward robot-left from the reference; green pen: 24 cm away toward robot-right from the reference; airplane toy without propellers: at the far robot-left corner, outside the distance comparison; Bowl: empty</x:v>
      </x:c>
      <x:c r="E18" s="42" t="str"/>
      <x:c r="F18" s="42" t="str">
        <x:v>501</x:v>
      </x:c>
      <x:c r="G18" s="41" t="str">
        <x:v>Exact manifest cell: prompt, relation × candidate-category combination, target identity, and object membership are explicitly represented in training; physical positions are manually recreated with a clear margin.</x:v>
      </x:c>
      <x:c r="H18" s="41" t="str">
        <x:v>yellow pen</x:v>
      </x:c>
      <x:c r="I18" s="41" t="str"/>
      <x:c r="J18" s="43" t="str">
        <x:v>In-distribution concept baseline</x:v>
      </x:c>
      <x:c r="K18" s="42" t="str">
        <x:v>RD-ID17</x:v>
      </x:c>
      <x:c r="L18" s="42" t="str">
        <x:v>closest</x:v>
      </x:c>
      <x:c r="M18" s="42" t="str">
        <x:v>pen</x:v>
      </x:c>
      <x:c r="N18" s="42" t="n">
        <x:v>4</x:v>
      </x:c>
      <x:c r="O18" s="42" t="n">
        <x:v>1</x:v>
      </x:c>
      <x:c r="P18" s="42" t="str">
        <x:v>Empty</x:v>
      </x:c>
      <x:c r="Q18" s="41" t="str">
        <x:v>Exact training-supported relation × candidate-category baseline</x:v>
      </x:c>
      <x:c r="R18" s="42" t="n">
        <x:v>1</x:v>
      </x:c>
      <x:c r="S18" s="41" t="str">
        <x:v>Recreate the listed four-object scene with the bowl empty.</x:v>
      </x:c>
      <x:c r="T18" s="41" t="str">
        <x:v>The relation, candidate category, target identity, and object membership occur together in the cited training episode.</x:v>
      </x:c>
      <x:c r="U18" s="41" t="str"/>
    </x:row>
    <x:row r="19" ht="51" customHeight="1">
      <x:c r="A19" s="44" t="str">
        <x:v>Not collected</x:v>
      </x:c>
      <x:c r="B19" s="45" t="n">
        <x:v>17</x:v>
      </x:c>
      <x:c r="C19" s="44" t="str">
        <x:v>Pick up the pen furthest from the crushed Pepsi can and place it in the bowl.</x:v>
      </x:c>
      <x:c r="D19" s="44" t="str">
        <x:v>Reference: crushed Pepsi can at table centre; yellow pen: 10 cm toward robot-right from the reference; green pen: 24 cm away toward robot-left from the reference; green pencil sharpener: at the far robot-left corner, outside the distance comparison; Bowl: empty</x:v>
      </x:c>
      <x:c r="E19" s="45" t="str"/>
      <x:c r="F19" s="45" t="str">
        <x:v>516</x:v>
      </x:c>
      <x:c r="G19" s="44" t="str">
        <x:v>Exact manifest cell: prompt, relation × candidate-category combination, target identity, and object membership are explicitly represented in training; physical positions are manually recreated with a clear margin.</x:v>
      </x:c>
      <x:c r="H19" s="44" t="str">
        <x:v>green pen</x:v>
      </x:c>
      <x:c r="I19" s="44" t="str"/>
      <x:c r="J19" s="43" t="str">
        <x:v>In-distribution concept baseline</x:v>
      </x:c>
      <x:c r="K19" s="45" t="str">
        <x:v>RD-ID18</x:v>
      </x:c>
      <x:c r="L19" s="45" t="str">
        <x:v>furthest</x:v>
      </x:c>
      <x:c r="M19" s="45" t="str">
        <x:v>pen</x:v>
      </x:c>
      <x:c r="N19" s="45" t="n">
        <x:v>4</x:v>
      </x:c>
      <x:c r="O19" s="45" t="n">
        <x:v>1</x:v>
      </x:c>
      <x:c r="P19" s="45" t="str">
        <x:v>Empty</x:v>
      </x:c>
      <x:c r="Q19" s="44" t="str">
        <x:v>Exact training-supported relation × candidate-category baseline</x:v>
      </x:c>
      <x:c r="R19" s="45" t="n">
        <x:v>1</x:v>
      </x:c>
      <x:c r="S19" s="44" t="str">
        <x:v>Recreate the listed four-object scene with the bowl empty.</x:v>
      </x:c>
      <x:c r="T19" s="44" t="str">
        <x:v>The relation, candidate category, target identity, and object membership occur together in the cited training episode.</x:v>
      </x:c>
      <x:c r="U19" s="44" t="str"/>
    </x:row>
    <x:row r="20" ht="51" customHeight="1">
      <x:c r="A20" s="41" t="str">
        <x:v>Not collected</x:v>
      </x:c>
      <x:c r="B20" s="42" t="n">
        <x:v>18</x:v>
      </x:c>
      <x:c r="C20" s="41" t="str">
        <x:v>Pick up the pen furthest from the airplane toy without propellers and place it in the bowl.</x:v>
      </x:c>
      <x:c r="D20" s="41" t="str">
        <x:v>Reference: airplane toy without propellers at table centre; yellow pen: 10 cm to robot-left of the reference; green pen: 24 cm to robot-right of the reference; crushed Coke can: at the far robot-left corner, outside the distance comparison; Bowl: empty</x:v>
      </x:c>
      <x:c r="E20" s="42" t="str"/>
      <x:c r="F20" s="42" t="str">
        <x:v>518</x:v>
      </x:c>
      <x:c r="G20" s="41" t="str">
        <x:v>Exact manifest cell: prompt, relation × candidate-category combination, target identity, and object membership are explicitly represented in training; physical positions are manually recreated with a clear margin.</x:v>
      </x:c>
      <x:c r="H20" s="41" t="str">
        <x:v>green pen</x:v>
      </x:c>
      <x:c r="I20" s="41" t="str"/>
      <x:c r="J20" s="43" t="str">
        <x:v>In-distribution concept baseline</x:v>
      </x:c>
      <x:c r="K20" s="42" t="str">
        <x:v>RD-ID19</x:v>
      </x:c>
      <x:c r="L20" s="42" t="str">
        <x:v>furthest</x:v>
      </x:c>
      <x:c r="M20" s="42" t="str">
        <x:v>pen</x:v>
      </x:c>
      <x:c r="N20" s="42" t="n">
        <x:v>4</x:v>
      </x:c>
      <x:c r="O20" s="42" t="n">
        <x:v>1</x:v>
      </x:c>
      <x:c r="P20" s="42" t="str">
        <x:v>Empty</x:v>
      </x:c>
      <x:c r="Q20" s="41" t="str">
        <x:v>Exact training-supported relation × candidate-category baseline</x:v>
      </x:c>
      <x:c r="R20" s="42" t="n">
        <x:v>1</x:v>
      </x:c>
      <x:c r="S20" s="41" t="str">
        <x:v>Recreate the listed four-object scene with the bowl empty.</x:v>
      </x:c>
      <x:c r="T20" s="41" t="str">
        <x:v>The relation, candidate category, target identity, and object membership occur together in the cited training episode.</x:v>
      </x:c>
      <x:c r="U20" s="41" t="str"/>
    </x:row>
    <x:row r="21" ht="51" customHeight="1">
      <x:c r="A21" s="44" t="str">
        <x:v>Not collected</x:v>
      </x:c>
      <x:c r="B21" s="45" t="n">
        <x:v>19</x:v>
      </x:c>
      <x:c r="C21" s="44" t="str">
        <x:v>Pick up the pen furthest from the red pencil sharpener and place it in the bowl.</x:v>
      </x:c>
      <x:c r="D21" s="44" t="str">
        <x:v>Reference: red pencil sharpener at table centre; yellow pen: 10 cm to robot-right of the reference; green pen: 24 cm to robot-left of the reference; green pencil sharpener: at the far robot-left corner, outside the distance comparison; Bowl: empty</x:v>
      </x:c>
      <x:c r="E21" s="45" t="str"/>
      <x:c r="F21" s="45" t="str">
        <x:v>520</x:v>
      </x:c>
      <x:c r="G21" s="44" t="str">
        <x:v>Exact manifest cell: prompt, relation × candidate-category combination, target identity, and object membership are explicitly represented in training; physical positions are manually recreated with a clear margin.</x:v>
      </x:c>
      <x:c r="H21" s="44" t="str">
        <x:v>green pen</x:v>
      </x:c>
      <x:c r="I21" s="44" t="str"/>
      <x:c r="J21" s="43" t="str">
        <x:v>In-distribution concept baseline</x:v>
      </x:c>
      <x:c r="K21" s="45" t="str">
        <x:v>RD-ID20</x:v>
      </x:c>
      <x:c r="L21" s="45" t="str">
        <x:v>furthest</x:v>
      </x:c>
      <x:c r="M21" s="45" t="str">
        <x:v>pen</x:v>
      </x:c>
      <x:c r="N21" s="45" t="n">
        <x:v>4</x:v>
      </x:c>
      <x:c r="O21" s="45" t="n">
        <x:v>1</x:v>
      </x:c>
      <x:c r="P21" s="45" t="str">
        <x:v>Empty</x:v>
      </x:c>
      <x:c r="Q21" s="44" t="str">
        <x:v>Exact training-supported relation × candidate-category baseline</x:v>
      </x:c>
      <x:c r="R21" s="45" t="n">
        <x:v>1</x:v>
      </x:c>
      <x:c r="S21" s="44" t="str">
        <x:v>Recreate the listed four-object scene with the bowl empty.</x:v>
      </x:c>
      <x:c r="T21" s="44" t="str">
        <x:v>The relation, candidate category, target identity, and object membership occur together in the cited training episode.</x:v>
      </x:c>
      <x:c r="U21" s="44" t="str"/>
    </x:row>
    <x:row r="22" ht="51" customHeight="1">
      <x:c r="A22" s="41" t="str">
        <x:v>Not collected</x:v>
      </x:c>
      <x:c r="B22" s="42" t="n">
        <x:v>20</x:v>
      </x:c>
      <x:c r="C22" s="41" t="str">
        <x:v>Pick up the airplane toy furthest from the green pen and place it in the bowl.</x:v>
      </x:c>
      <x:c r="D22" s="41" t="str">
        <x:v>Reference: green pen at table centre; airplane toy without propellers: 10 cm to robot-left of the reference; airplane toy with propellers: 24 cm to robot-right of the reference; crushed Coke can: at the far robot-left corner, outside the distance comparison; Bowl: empty</x:v>
      </x:c>
      <x:c r="E22" s="42" t="str"/>
      <x:c r="F22" s="42" t="str">
        <x:v>566</x:v>
      </x:c>
      <x:c r="G22" s="41" t="str">
        <x:v>Masked source trajectory: the target identity and physical manipulation are trained under a direct-name prompt, while this relation × candidate-category composition is intentionally absent.</x:v>
      </x:c>
      <x:c r="H22" s="41" t="str">
        <x:v>airplane toy with propellers</x:v>
      </x:c>
      <x:c r="I22" s="41" t="str"/>
      <x:c r="J22" s="46" t="str">
        <x:v>Concept/compositional transfer</x:v>
      </x:c>
      <x:c r="K22" s="42" t="str">
        <x:v>RD-CT01</x:v>
      </x:c>
      <x:c r="L22" s="42" t="str">
        <x:v>furthest</x:v>
      </x:c>
      <x:c r="M22" s="42" t="str">
        <x:v>airplane toy</x:v>
      </x:c>
      <x:c r="N22" s="42" t="n">
        <x:v>4</x:v>
      </x:c>
      <x:c r="O22" s="42" t="n">
        <x:v>1</x:v>
      </x:c>
      <x:c r="P22" s="42" t="str">
        <x:v>Empty</x:v>
      </x:c>
      <x:c r="Q22" s="41" t="str">
        <x:v>Primary held-out relation × candidate-category composition — Pick up</x:v>
      </x:c>
      <x:c r="R22" s="42" t="n">
        <x:v>2</x:v>
      </x:c>
      <x:c r="S22" s="41" t="str">
        <x:v>Build the listed relation scene with the bowl empty.</x:v>
      </x:c>
      <x:c r="T22" s="41" t="str">
        <x:v>Both candidates are present. The held-out relation is the only information that identifies the target.</x:v>
      </x:c>
      <x:c r="U22" s="41" t="str"/>
    </x:row>
    <x:row r="23" ht="51" customHeight="1">
      <x:c r="A23" s="32" t="str">
        <x:v>Not collected</x:v>
      </x:c>
      <x:c r="B23" s="34" t="n">
        <x:v>21</x:v>
      </x:c>
      <x:c r="C23" s="32" t="str">
        <x:v>Put the airplane toy with propellers in the bowl.</x:v>
      </x:c>
      <x:c r="D23" s="32" t="str">
        <x:v>Reference: green pen at table centre; airplane toy without propellers: 10 cm to robot-left of the reference; airplane toy with propellers: 24 cm to robot-right of the reference; crushed Coke can: at the far robot-left corner, outside the distance comparison; Bowl: empty</x:v>
      </x:c>
      <x:c r="E23" s="34" t="n">
        <x:v>20</x:v>
      </x:c>
      <x:c r="F23" s="34" t="str">
        <x:v>566</x:v>
      </x:c>
      <x:c r="G23" s="32" t="str">
        <x:v>Exact masked-cell training prompt for the same target identity. The evaluation scene and physical endpoint are identical to the paired transfer row.</x:v>
      </x:c>
      <x:c r="H23" s="32" t="str">
        <x:v>airplane toy with propellers</x:v>
      </x:c>
      <x:c r="I23" s="32" t="str"/>
      <x:c r="J23" s="37" t="str">
        <x:v>Matched manipulation control</x:v>
      </x:c>
      <x:c r="K23" s="34" t="str">
        <x:v>RD-CT01</x:v>
      </x:c>
      <x:c r="L23" s="34" t="str">
        <x:v>direct name</x:v>
      </x:c>
      <x:c r="M23" s="34" t="str">
        <x:v>airplane toy</x:v>
      </x:c>
      <x:c r="N23" s="34" t="n">
        <x:v>4</x:v>
      </x:c>
      <x:c r="O23" s="34" t="n">
        <x:v>1</x:v>
      </x:c>
      <x:c r="P23" s="34" t="str">
        <x:v>Empty</x:v>
      </x:c>
      <x:c r="Q23" s="32" t="str">
        <x:v>Exact-scene direct-identity manipulation control</x:v>
      </x:c>
      <x:c r="R23" s="34" t="n">
        <x:v>2</x:v>
      </x:c>
      <x:c r="S23" s="32" t="str">
        <x:v>Reset the moved object exactly; preserve the scene; change only the instruction.</x:v>
      </x:c>
      <x:c r="T23" s="32" t="str">
        <x:v>Controls recognition and manipulation of the same target without requiring referential reasoning.</x:v>
      </x:c>
      <x:c r="U23" s="32" t="str"/>
    </x:row>
    <x:row r="24" ht="51" customHeight="1">
      <x:c r="A24" s="31" t="str">
        <x:v>Not collected</x:v>
      </x:c>
      <x:c r="B24" s="33" t="n">
        <x:v>22</x:v>
      </x:c>
      <x:c r="C24" s="31" t="str">
        <x:v>Choose the airplane toy farthest from the green pen and put it in the bowl.</x:v>
      </x:c>
      <x:c r="D24" s="31" t="str">
        <x:v>Reference: green pen at table centre; airplane toy without propellers: 10 cm to robot-left of the reference; airplane toy with propellers: 24 cm to robot-right of the reference; crushed Coke can: at the far robot-left corner, outside the distance comparison; Bowl: empty</x:v>
      </x:c>
      <x:c r="E24" s="33" t="n">
        <x:v>20</x:v>
      </x:c>
      <x:c r="F24" s="33" t="str">
        <x:v>566</x:v>
      </x:c>
      <x:c r="G24" s="31" t="str">
        <x:v>Exact canonical transfer scene and masked trajectory reference; only the instruction wording changes. This remains a separate language diagnostic.</x:v>
      </x:c>
      <x:c r="H24" s="31" t="str">
        <x:v>airplane toy with propellers</x:v>
      </x:c>
      <x:c r="I24" s="31" t="str"/>
      <x:c r="J24" s="38" t="str">
        <x:v>Language robustness</x:v>
      </x:c>
      <x:c r="K24" s="33" t="str">
        <x:v>RD-CT01</x:v>
      </x:c>
      <x:c r="L24" s="33" t="str">
        <x:v>furthest</x:v>
      </x:c>
      <x:c r="M24" s="33" t="str">
        <x:v>airplane toy</x:v>
      </x:c>
      <x:c r="N24" s="33" t="n">
        <x:v>4</x:v>
      </x:c>
      <x:c r="O24" s="33" t="n">
        <x:v>1</x:v>
      </x:c>
      <x:c r="P24" s="33" t="str">
        <x:v>Empty</x:v>
      </x:c>
      <x:c r="Q24" s="31" t="str">
        <x:v>Primary compositional-transfer prompt paraphrase</x:v>
      </x:c>
      <x:c r="R24" s="33" t="n">
        <x:v>2</x:v>
      </x:c>
      <x:c r="S24" s="31" t="str">
        <x:v>Reset the moved object exactly; preserve the scene; change only the wording.</x:v>
      </x:c>
      <x:c r="T24" s="31" t="str">
        <x:v>One of 10 exact-scene paraphrases of canonical transfer trials.</x:v>
      </x:c>
      <x:c r="U24" s="31" t="str"/>
    </x:row>
    <x:row r="25" ht="51" customHeight="1">
      <x:c r="A25" s="32" t="str">
        <x:v>Not collected</x:v>
      </x:c>
      <x:c r="B25" s="34" t="n">
        <x:v>23</x:v>
      </x:c>
      <x:c r="C25" s="32" t="str">
        <x:v>Take the airplane toy with propellers and set it in the bowl.</x:v>
      </x:c>
      <x:c r="D25" s="32" t="str">
        <x:v>Reference: green pen at table centre; airplane toy without propellers: 10 cm to robot-left of the reference; airplane toy with propellers: 24 cm to robot-right of the reference; crushed Coke can: at the far robot-left corner, outside the distance comparison; Bowl: empty</x:v>
      </x:c>
      <x:c r="E25" s="34" t="n">
        <x:v>21</x:v>
      </x:c>
      <x:c r="F25" s="34" t="str">
        <x:v>566</x:v>
      </x:c>
      <x:c r="G25" s="32" t="str">
        <x:v>Exact matched-control scene and target; only the direct-name instruction wording changes.</x:v>
      </x:c>
      <x:c r="H25" s="32" t="str">
        <x:v>airplane toy with propellers</x:v>
      </x:c>
      <x:c r="I25" s="32" t="str"/>
      <x:c r="J25" s="38" t="str">
        <x:v>Language robustness</x:v>
      </x:c>
      <x:c r="K25" s="34" t="str">
        <x:v>RD-CT01</x:v>
      </x:c>
      <x:c r="L25" s="34" t="str">
        <x:v>direct-name paraphrase</x:v>
      </x:c>
      <x:c r="M25" s="34" t="str">
        <x:v>airplane toy</x:v>
      </x:c>
      <x:c r="N25" s="34" t="n">
        <x:v>4</x:v>
      </x:c>
      <x:c r="O25" s="34" t="n">
        <x:v>1</x:v>
      </x:c>
      <x:c r="P25" s="34" t="str">
        <x:v>Empty</x:v>
      </x:c>
      <x:c r="Q25" s="32" t="str">
        <x:v>Matched-control direct-name prompt paraphrase</x:v>
      </x:c>
      <x:c r="R25" s="34" t="n">
        <x:v>2</x:v>
      </x:c>
      <x:c r="S25" s="32" t="str">
        <x:v>Reset the moved object exactly; preserve the scene; change only the wording.</x:v>
      </x:c>
      <x:c r="T25" s="32" t="str">
        <x:v>One of 10 exact-scene paraphrases of matched manipulation controls.</x:v>
      </x:c>
      <x:c r="U25" s="32" t="str"/>
    </x:row>
    <x:row r="26" ht="51" customHeight="1">
      <x:c r="A26" s="41" t="str">
        <x:v>Not collected</x:v>
      </x:c>
      <x:c r="B26" s="42" t="n">
        <x:v>24</x:v>
      </x:c>
      <x:c r="C26" s="41" t="str">
        <x:v>Pick up the crushed soda can closest to the green pen and place it in the bowl.</x:v>
      </x:c>
      <x:c r="D26" s="41" t="str">
        <x:v>Reference: green pen at table centre; crushed Coke can: 10 cm to robot-left of the reference; crushed Pepsi can: 24 cm to robot-right of the reference; yellow pen: at the far robot-left corner, outside the distance comparison; Bowl: empty</x:v>
      </x:c>
      <x:c r="E26" s="42" t="str"/>
      <x:c r="F26" s="42" t="str">
        <x:v>400</x:v>
      </x:c>
      <x:c r="G26" s="41" t="str">
        <x:v>Masked source trajectory: the target identity and physical manipulation are trained under a direct-name prompt, while this relation × candidate-category composition is intentionally absent.</x:v>
      </x:c>
      <x:c r="H26" s="41" t="str">
        <x:v>crushed Coke can</x:v>
      </x:c>
      <x:c r="I26" s="41" t="str"/>
      <x:c r="J26" s="46" t="str">
        <x:v>Concept/compositional transfer</x:v>
      </x:c>
      <x:c r="K26" s="42" t="str">
        <x:v>RD-CT02</x:v>
      </x:c>
      <x:c r="L26" s="42" t="str">
        <x:v>closest</x:v>
      </x:c>
      <x:c r="M26" s="42" t="str">
        <x:v>crushed soda can</x:v>
      </x:c>
      <x:c r="N26" s="42" t="n">
        <x:v>4</x:v>
      </x:c>
      <x:c r="O26" s="42" t="n">
        <x:v>1</x:v>
      </x:c>
      <x:c r="P26" s="42" t="str">
        <x:v>Empty</x:v>
      </x:c>
      <x:c r="Q26" s="41" t="str">
        <x:v>Primary held-out relation × candidate-category composition — Pick up</x:v>
      </x:c>
      <x:c r="R26" s="42" t="n">
        <x:v>2</x:v>
      </x:c>
      <x:c r="S26" s="41" t="str">
        <x:v>Build the listed relation scene with the bowl empty.</x:v>
      </x:c>
      <x:c r="T26" s="41" t="str">
        <x:v>Both candidates are present. The held-out relation is the only information that identifies the target.</x:v>
      </x:c>
      <x:c r="U26" s="41" t="str"/>
    </x:row>
    <x:row r="27" ht="51" customHeight="1">
      <x:c r="A27" s="32" t="str">
        <x:v>Not collected</x:v>
      </x:c>
      <x:c r="B27" s="34" t="n">
        <x:v>25</x:v>
      </x:c>
      <x:c r="C27" s="32" t="str">
        <x:v>Put the crushed Coke can in the bowl.</x:v>
      </x:c>
      <x:c r="D27" s="32" t="str">
        <x:v>Reference: green pen at table centre; crushed Coke can: 10 cm to robot-left of the reference; crushed Pepsi can: 24 cm to robot-right of the reference; yellow pen: at the far robot-left corner, outside the distance comparison; Bowl: empty</x:v>
      </x:c>
      <x:c r="E27" s="34" t="n">
        <x:v>24</x:v>
      </x:c>
      <x:c r="F27" s="34" t="str">
        <x:v>400</x:v>
      </x:c>
      <x:c r="G27" s="32" t="str">
        <x:v>Exact masked-cell training prompt for the same target identity. The evaluation scene and physical endpoint are identical to the paired transfer row.</x:v>
      </x:c>
      <x:c r="H27" s="32" t="str">
        <x:v>crushed Coke can</x:v>
      </x:c>
      <x:c r="I27" s="32" t="str"/>
      <x:c r="J27" s="37" t="str">
        <x:v>Matched manipulation control</x:v>
      </x:c>
      <x:c r="K27" s="34" t="str">
        <x:v>RD-CT02</x:v>
      </x:c>
      <x:c r="L27" s="34" t="str">
        <x:v>direct name</x:v>
      </x:c>
      <x:c r="M27" s="34" t="str">
        <x:v>crushed soda can</x:v>
      </x:c>
      <x:c r="N27" s="34" t="n">
        <x:v>4</x:v>
      </x:c>
      <x:c r="O27" s="34" t="n">
        <x:v>1</x:v>
      </x:c>
      <x:c r="P27" s="34" t="str">
        <x:v>Empty</x:v>
      </x:c>
      <x:c r="Q27" s="32" t="str">
        <x:v>Exact-scene direct-identity manipulation control</x:v>
      </x:c>
      <x:c r="R27" s="34" t="n">
        <x:v>2</x:v>
      </x:c>
      <x:c r="S27" s="32" t="str">
        <x:v>Reset the moved object exactly; preserve the scene; change only the instruction.</x:v>
      </x:c>
      <x:c r="T27" s="32" t="str">
        <x:v>Controls recognition and manipulation of the same target without requiring referential reasoning.</x:v>
      </x:c>
      <x:c r="U27" s="32" t="str"/>
    </x:row>
    <x:row r="28" ht="51" customHeight="1">
      <x:c r="A28" s="31" t="str">
        <x:v>Not collected</x:v>
      </x:c>
      <x:c r="B28" s="33" t="n">
        <x:v>26</x:v>
      </x:c>
      <x:c r="C28" s="31" t="str">
        <x:v>Choose the crushed soda can nearest to the green pen and put it in the bowl.</x:v>
      </x:c>
      <x:c r="D28" s="31" t="str">
        <x:v>Reference: green pen at table centre; crushed Coke can: 10 cm to robot-left of the reference; crushed Pepsi can: 24 cm to robot-right of the reference; yellow pen: at the far robot-left corner, outside the distance comparison; Bowl: empty</x:v>
      </x:c>
      <x:c r="E28" s="33" t="n">
        <x:v>24</x:v>
      </x:c>
      <x:c r="F28" s="33" t="str">
        <x:v>400</x:v>
      </x:c>
      <x:c r="G28" s="31" t="str">
        <x:v>Exact canonical transfer scene and masked trajectory reference; only the instruction wording changes. This remains a separate language diagnostic.</x:v>
      </x:c>
      <x:c r="H28" s="31" t="str">
        <x:v>crushed Coke can</x:v>
      </x:c>
      <x:c r="I28" s="31" t="str"/>
      <x:c r="J28" s="38" t="str">
        <x:v>Language robustness</x:v>
      </x:c>
      <x:c r="K28" s="33" t="str">
        <x:v>RD-CT02</x:v>
      </x:c>
      <x:c r="L28" s="33" t="str">
        <x:v>closest</x:v>
      </x:c>
      <x:c r="M28" s="33" t="str">
        <x:v>crushed soda can</x:v>
      </x:c>
      <x:c r="N28" s="33" t="n">
        <x:v>4</x:v>
      </x:c>
      <x:c r="O28" s="33" t="n">
        <x:v>1</x:v>
      </x:c>
      <x:c r="P28" s="33" t="str">
        <x:v>Empty</x:v>
      </x:c>
      <x:c r="Q28" s="31" t="str">
        <x:v>Primary compositional-transfer prompt paraphrase</x:v>
      </x:c>
      <x:c r="R28" s="33" t="n">
        <x:v>2</x:v>
      </x:c>
      <x:c r="S28" s="31" t="str">
        <x:v>Reset the moved object exactly; preserve the scene; change only the wording.</x:v>
      </x:c>
      <x:c r="T28" s="31" t="str">
        <x:v>One of 10 exact-scene paraphrases of canonical transfer trials.</x:v>
      </x:c>
      <x:c r="U28" s="31" t="str"/>
    </x:row>
    <x:row r="29" ht="51" customHeight="1">
      <x:c r="A29" s="32" t="str">
        <x:v>Not collected</x:v>
      </x:c>
      <x:c r="B29" s="34" t="n">
        <x:v>27</x:v>
      </x:c>
      <x:c r="C29" s="32" t="str">
        <x:v>Take the crushed Coke can and set it in the bowl.</x:v>
      </x:c>
      <x:c r="D29" s="32" t="str">
        <x:v>Reference: green pen at table centre; crushed Coke can: 10 cm to robot-left of the reference; crushed Pepsi can: 24 cm to robot-right of the reference; yellow pen: at the far robot-left corner, outside the distance comparison; Bowl: empty</x:v>
      </x:c>
      <x:c r="E29" s="34" t="n">
        <x:v>25</x:v>
      </x:c>
      <x:c r="F29" s="34" t="str">
        <x:v>400</x:v>
      </x:c>
      <x:c r="G29" s="32" t="str">
        <x:v>Exact matched-control scene and target; only the direct-name instruction wording changes.</x:v>
      </x:c>
      <x:c r="H29" s="32" t="str">
        <x:v>crushed Coke can</x:v>
      </x:c>
      <x:c r="I29" s="32" t="str"/>
      <x:c r="J29" s="38" t="str">
        <x:v>Language robustness</x:v>
      </x:c>
      <x:c r="K29" s="34" t="str">
        <x:v>RD-CT02</x:v>
      </x:c>
      <x:c r="L29" s="34" t="str">
        <x:v>direct-name paraphrase</x:v>
      </x:c>
      <x:c r="M29" s="34" t="str">
        <x:v>crushed soda can</x:v>
      </x:c>
      <x:c r="N29" s="34" t="n">
        <x:v>4</x:v>
      </x:c>
      <x:c r="O29" s="34" t="n">
        <x:v>1</x:v>
      </x:c>
      <x:c r="P29" s="34" t="str">
        <x:v>Empty</x:v>
      </x:c>
      <x:c r="Q29" s="32" t="str">
        <x:v>Matched-control direct-name prompt paraphrase</x:v>
      </x:c>
      <x:c r="R29" s="34" t="n">
        <x:v>2</x:v>
      </x:c>
      <x:c r="S29" s="32" t="str">
        <x:v>Reset the moved object exactly; preserve the scene; change only the wording.</x:v>
      </x:c>
      <x:c r="T29" s="32" t="str">
        <x:v>One of 10 exact-scene paraphrases of matched manipulation controls.</x:v>
      </x:c>
      <x:c r="U29" s="32" t="str"/>
    </x:row>
    <x:row r="30" ht="51" customHeight="1">
      <x:c r="A30" s="41" t="str">
        <x:v>Not collected</x:v>
      </x:c>
      <x:c r="B30" s="42" t="n">
        <x:v>28</x:v>
      </x:c>
      <x:c r="C30" s="41" t="str">
        <x:v>Pick up the pencil sharpener between the green pen and the crushed Coke can and place it in the bowl.</x:v>
      </x:c>
      <x:c r="D30" s="41" t="str">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0" s="42" t="str"/>
      <x:c r="F30" s="42" t="str">
        <x:v>482</x:v>
      </x:c>
      <x:c r="G30" s="41" t="str">
        <x:v>Masked source trajectory: the target identity and physical manipulation are trained under a direct-name prompt, while this relation × candidate-category composition is intentionally absent.</x:v>
      </x:c>
      <x:c r="H30" s="41" t="str">
        <x:v>green pencil sharpener</x:v>
      </x:c>
      <x:c r="I30" s="41" t="str"/>
      <x:c r="J30" s="46" t="str">
        <x:v>Concept/compositional transfer</x:v>
      </x:c>
      <x:c r="K30" s="42" t="str">
        <x:v>RD-CT03</x:v>
      </x:c>
      <x:c r="L30" s="42" t="str">
        <x:v>between</x:v>
      </x:c>
      <x:c r="M30" s="42" t="str">
        <x:v>pencil sharpener</x:v>
      </x:c>
      <x:c r="N30" s="42" t="n">
        <x:v>4</x:v>
      </x:c>
      <x:c r="O30" s="42" t="n">
        <x:v>1</x:v>
      </x:c>
      <x:c r="P30" s="42" t="str">
        <x:v>Empty</x:v>
      </x:c>
      <x:c r="Q30" s="41" t="str">
        <x:v>Primary held-out relation × candidate-category composition — Pick up</x:v>
      </x:c>
      <x:c r="R30" s="42" t="n">
        <x:v>2</x:v>
      </x:c>
      <x:c r="S30" s="41" t="str">
        <x:v>Build the listed relation scene with the bowl empty.</x:v>
      </x:c>
      <x:c r="T30" s="41" t="str">
        <x:v>Both candidates are present. The held-out relation is the only information that identifies the target.</x:v>
      </x:c>
      <x:c r="U30" s="41" t="str"/>
    </x:row>
    <x:row r="31" ht="51" customHeight="1">
      <x:c r="A31" s="32" t="str">
        <x:v>Not collected</x:v>
      </x:c>
      <x:c r="B31" s="34" t="n">
        <x:v>29</x:v>
      </x:c>
      <x:c r="C31" s="32" t="str">
        <x:v>Pick up the green pencil sharpener and place it in the bowl.</x:v>
      </x:c>
      <x:c r="D31" s="32" t="str">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1" s="34" t="n">
        <x:v>28</x:v>
      </x:c>
      <x:c r="F31" s="34" t="str">
        <x:v>482</x:v>
      </x:c>
      <x:c r="G31" s="32" t="str">
        <x:v>Exact masked-cell training prompt for the same target identity. The evaluation scene and physical endpoint are identical to the paired transfer row.</x:v>
      </x:c>
      <x:c r="H31" s="32" t="str">
        <x:v>green pencil sharpener</x:v>
      </x:c>
      <x:c r="I31" s="32" t="str"/>
      <x:c r="J31" s="37" t="str">
        <x:v>Matched manipulation control</x:v>
      </x:c>
      <x:c r="K31" s="34" t="str">
        <x:v>RD-CT03</x:v>
      </x:c>
      <x:c r="L31" s="34" t="str">
        <x:v>direct name</x:v>
      </x:c>
      <x:c r="M31" s="34" t="str">
        <x:v>pencil sharpener</x:v>
      </x:c>
      <x:c r="N31" s="34" t="n">
        <x:v>4</x:v>
      </x:c>
      <x:c r="O31" s="34" t="n">
        <x:v>1</x:v>
      </x:c>
      <x:c r="P31" s="34" t="str">
        <x:v>Empty</x:v>
      </x:c>
      <x:c r="Q31" s="32" t="str">
        <x:v>Exact-scene direct-identity manipulation control</x:v>
      </x:c>
      <x:c r="R31" s="34" t="n">
        <x:v>2</x:v>
      </x:c>
      <x:c r="S31" s="32" t="str">
        <x:v>Reset the moved object exactly; preserve the scene; change only the instruction.</x:v>
      </x:c>
      <x:c r="T31" s="32" t="str">
        <x:v>Controls recognition and manipulation of the same target without requiring referential reasoning.</x:v>
      </x:c>
      <x:c r="U31" s="32" t="str"/>
    </x:row>
    <x:row r="32" ht="51" customHeight="1">
      <x:c r="A32" s="31" t="str">
        <x:v>Not collected</x:v>
      </x:c>
      <x:c r="B32" s="33" t="n">
        <x:v>30</x:v>
      </x:c>
      <x:c r="C32" s="31" t="str">
        <x:v>Choose the pencil sharpener located in the middle of the green pen and the crushed Coke can, then put it in the bowl.</x:v>
      </x:c>
      <x:c r="D32" s="31" t="str">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2" s="33" t="n">
        <x:v>28</x:v>
      </x:c>
      <x:c r="F32" s="33" t="str">
        <x:v>482</x:v>
      </x:c>
      <x:c r="G32" s="31" t="str">
        <x:v>Exact canonical transfer scene and masked trajectory reference; only the instruction wording changes. This remains a separate language diagnostic.</x:v>
      </x:c>
      <x:c r="H32" s="31" t="str">
        <x:v>green pencil sharpener</x:v>
      </x:c>
      <x:c r="I32" s="31" t="str"/>
      <x:c r="J32" s="38" t="str">
        <x:v>Language robustness</x:v>
      </x:c>
      <x:c r="K32" s="33" t="str">
        <x:v>RD-CT03</x:v>
      </x:c>
      <x:c r="L32" s="33" t="str">
        <x:v>between</x:v>
      </x:c>
      <x:c r="M32" s="33" t="str">
        <x:v>pencil sharpener</x:v>
      </x:c>
      <x:c r="N32" s="33" t="n">
        <x:v>4</x:v>
      </x:c>
      <x:c r="O32" s="33" t="n">
        <x:v>1</x:v>
      </x:c>
      <x:c r="P32" s="33" t="str">
        <x:v>Empty</x:v>
      </x:c>
      <x:c r="Q32" s="31" t="str">
        <x:v>Primary compositional-transfer prompt paraphrase</x:v>
      </x:c>
      <x:c r="R32" s="33" t="n">
        <x:v>2</x:v>
      </x:c>
      <x:c r="S32" s="31" t="str">
        <x:v>Reset the moved object exactly; preserve the scene; change only the wording.</x:v>
      </x:c>
      <x:c r="T32" s="31" t="str">
        <x:v>One of 10 exact-scene paraphrases of canonical transfer trials.</x:v>
      </x:c>
      <x:c r="U32" s="31" t="str"/>
    </x:row>
    <x:row r="33" ht="51" customHeight="1">
      <x:c r="A33" s="32" t="str">
        <x:v>Not collected</x:v>
      </x:c>
      <x:c r="B33" s="34" t="n">
        <x:v>31</x:v>
      </x:c>
      <x:c r="C33" s="32" t="str">
        <x:v>Take the green pencil sharpener and set it in the bowl.</x:v>
      </x:c>
      <x:c r="D33" s="32" t="str">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3" s="34" t="n">
        <x:v>29</x:v>
      </x:c>
      <x:c r="F33" s="34" t="str">
        <x:v>482</x:v>
      </x:c>
      <x:c r="G33" s="32" t="str">
        <x:v>Exact matched-control scene and target; only the direct-name instruction wording changes.</x:v>
      </x:c>
      <x:c r="H33" s="32" t="str">
        <x:v>green pencil sharpener</x:v>
      </x:c>
      <x:c r="I33" s="32" t="str"/>
      <x:c r="J33" s="38" t="str">
        <x:v>Language robustness</x:v>
      </x:c>
      <x:c r="K33" s="34" t="str">
        <x:v>RD-CT03</x:v>
      </x:c>
      <x:c r="L33" s="34" t="str">
        <x:v>direct-name paraphrase</x:v>
      </x:c>
      <x:c r="M33" s="34" t="str">
        <x:v>pencil sharpener</x:v>
      </x:c>
      <x:c r="N33" s="34" t="n">
        <x:v>4</x:v>
      </x:c>
      <x:c r="O33" s="34" t="n">
        <x:v>1</x:v>
      </x:c>
      <x:c r="P33" s="34" t="str">
        <x:v>Empty</x:v>
      </x:c>
      <x:c r="Q33" s="32" t="str">
        <x:v>Matched-control direct-name prompt paraphrase</x:v>
      </x:c>
      <x:c r="R33" s="34" t="n">
        <x:v>2</x:v>
      </x:c>
      <x:c r="S33" s="32" t="str">
        <x:v>Reset the moved object exactly; preserve the scene; change only the wording.</x:v>
      </x:c>
      <x:c r="T33" s="32" t="str">
        <x:v>One of 10 exact-scene paraphrases of matched manipulation controls.</x:v>
      </x:c>
      <x:c r="U33" s="32" t="str"/>
    </x:row>
    <x:row r="34" ht="51" customHeight="1">
      <x:c r="A34" s="41" t="str">
        <x:v>Not collected</x:v>
      </x:c>
      <x:c r="B34" s="42" t="n">
        <x:v>32</x:v>
      </x:c>
      <x:c r="C34" s="41" t="str">
        <x:v>Put the airplane toy furthest from the crushed Coke can in the bowl.</x:v>
      </x:c>
      <x:c r="D34" s="41" t="str">
        <x:v>Reference: crushed Coke can at table centre; airplane toy without propellers: 10 cm to robot-right of the reference; airplane toy with propellers: 24 cm to robot-left of the reference; green pen: at the far robot-left corner, outside the distance comparison; Bowl: empty</x:v>
      </x:c>
      <x:c r="E34" s="42" t="str"/>
      <x:c r="F34" s="42" t="str">
        <x:v>568</x:v>
      </x:c>
      <x:c r="G34" s="41" t="str">
        <x:v>Masked source trajectory: the target identity and physical manipulation are trained under a direct-name prompt, while this relation × candidate-category composition is intentionally absent.</x:v>
      </x:c>
      <x:c r="H34" s="41" t="str">
        <x:v>airplane toy with propellers</x:v>
      </x:c>
      <x:c r="I34" s="41" t="str"/>
      <x:c r="J34" s="46" t="str">
        <x:v>Concept/compositional transfer</x:v>
      </x:c>
      <x:c r="K34" s="42" t="str">
        <x:v>RD-CT04</x:v>
      </x:c>
      <x:c r="L34" s="42" t="str">
        <x:v>furthest</x:v>
      </x:c>
      <x:c r="M34" s="42" t="str">
        <x:v>airplane toy</x:v>
      </x:c>
      <x:c r="N34" s="42" t="n">
        <x:v>4</x:v>
      </x:c>
      <x:c r="O34" s="42" t="n">
        <x:v>1</x:v>
      </x:c>
      <x:c r="P34" s="42" t="str">
        <x:v>Empty</x:v>
      </x:c>
      <x:c r="Q34" s="41" t="str">
        <x:v>Primary held-out relation × candidate-category composition — Put</x:v>
      </x:c>
      <x:c r="R34" s="42" t="n">
        <x:v>2</x:v>
      </x:c>
      <x:c r="S34" s="41" t="str">
        <x:v>Build the listed relation scene with the bowl empty.</x:v>
      </x:c>
      <x:c r="T34" s="41" t="str">
        <x:v>Both candidates are present. The held-out relation is the only information that identifies the target.</x:v>
      </x:c>
      <x:c r="U34" s="41" t="str"/>
    </x:row>
    <x:row r="35" ht="51" customHeight="1">
      <x:c r="A35" s="32" t="str">
        <x:v>Not collected</x:v>
      </x:c>
      <x:c r="B35" s="34" t="n">
        <x:v>33</x:v>
      </x:c>
      <x:c r="C35" s="32" t="str">
        <x:v>Move the airplane toy with propellers into the bowl.</x:v>
      </x:c>
      <x:c r="D35" s="32" t="str">
        <x:v>Reference: crushed Coke can at table centre; airplane toy without propellers: 10 cm to robot-right of the reference; airplane toy with propellers: 24 cm to robot-left of the reference; green pen: at the far robot-left corner, outside the distance comparison; Bowl: empty</x:v>
      </x:c>
      <x:c r="E35" s="34" t="n">
        <x:v>32</x:v>
      </x:c>
      <x:c r="F35" s="34" t="str">
        <x:v>568</x:v>
      </x:c>
      <x:c r="G35" s="32" t="str">
        <x:v>Exact masked-cell training prompt for the same target identity. The evaluation scene and physical endpoint are identical to the paired transfer row.</x:v>
      </x:c>
      <x:c r="H35" s="32" t="str">
        <x:v>airplane toy with propellers</x:v>
      </x:c>
      <x:c r="I35" s="32" t="str"/>
      <x:c r="J35" s="37" t="str">
        <x:v>Matched manipulation control</x:v>
      </x:c>
      <x:c r="K35" s="34" t="str">
        <x:v>RD-CT04</x:v>
      </x:c>
      <x:c r="L35" s="34" t="str">
        <x:v>direct name</x:v>
      </x:c>
      <x:c r="M35" s="34" t="str">
        <x:v>airplane toy</x:v>
      </x:c>
      <x:c r="N35" s="34" t="n">
        <x:v>4</x:v>
      </x:c>
      <x:c r="O35" s="34" t="n">
        <x:v>1</x:v>
      </x:c>
      <x:c r="P35" s="34" t="str">
        <x:v>Empty</x:v>
      </x:c>
      <x:c r="Q35" s="32" t="str">
        <x:v>Exact-scene direct-identity manipulation control</x:v>
      </x:c>
      <x:c r="R35" s="34" t="n">
        <x:v>2</x:v>
      </x:c>
      <x:c r="S35" s="32" t="str">
        <x:v>Reset the moved object exactly; preserve the scene; change only the instruction.</x:v>
      </x:c>
      <x:c r="T35" s="32" t="str">
        <x:v>Controls recognition and manipulation of the same target without requiring referential reasoning.</x:v>
      </x:c>
      <x:c r="U35" s="32" t="str"/>
    </x:row>
    <x:row r="36" ht="51" customHeight="1">
      <x:c r="A36" s="31" t="str">
        <x:v>Not collected</x:v>
      </x:c>
      <x:c r="B36" s="33" t="n">
        <x:v>34</x:v>
      </x:c>
      <x:c r="C36" s="31" t="str">
        <x:v>Place the airplane toy with the greatest distance from the crushed Coke can in the bowl.</x:v>
      </x:c>
      <x:c r="D36" s="31" t="str">
        <x:v>Reference: crushed Coke can at table centre; airplane toy without propellers: 10 cm to robot-right of the reference; airplane toy with propellers: 24 cm to robot-left of the reference; green pen: at the far robot-left corner, outside the distance comparison; Bowl: empty</x:v>
      </x:c>
      <x:c r="E36" s="33" t="n">
        <x:v>32</x:v>
      </x:c>
      <x:c r="F36" s="33" t="str">
        <x:v>568</x:v>
      </x:c>
      <x:c r="G36" s="31" t="str">
        <x:v>Exact canonical transfer scene and masked trajectory reference; only the instruction wording changes. This remains a separate language diagnostic.</x:v>
      </x:c>
      <x:c r="H36" s="31" t="str">
        <x:v>airplane toy with propellers</x:v>
      </x:c>
      <x:c r="I36" s="31" t="str"/>
      <x:c r="J36" s="38" t="str">
        <x:v>Language robustness</x:v>
      </x:c>
      <x:c r="K36" s="33" t="str">
        <x:v>RD-CT04</x:v>
      </x:c>
      <x:c r="L36" s="33" t="str">
        <x:v>furthest</x:v>
      </x:c>
      <x:c r="M36" s="33" t="str">
        <x:v>airplane toy</x:v>
      </x:c>
      <x:c r="N36" s="33" t="n">
        <x:v>4</x:v>
      </x:c>
      <x:c r="O36" s="33" t="n">
        <x:v>1</x:v>
      </x:c>
      <x:c r="P36" s="33" t="str">
        <x:v>Empty</x:v>
      </x:c>
      <x:c r="Q36" s="31" t="str">
        <x:v>Primary compositional-transfer prompt paraphrase</x:v>
      </x:c>
      <x:c r="R36" s="33" t="n">
        <x:v>2</x:v>
      </x:c>
      <x:c r="S36" s="31" t="str">
        <x:v>Reset the moved object exactly; preserve the scene; change only the wording.</x:v>
      </x:c>
      <x:c r="T36" s="31" t="str">
        <x:v>One of 10 exact-scene paraphrases of canonical transfer trials.</x:v>
      </x:c>
      <x:c r="U36" s="31" t="str"/>
    </x:row>
    <x:row r="37" ht="51" customHeight="1">
      <x:c r="A37" s="32" t="str">
        <x:v>Not collected</x:v>
      </x:c>
      <x:c r="B37" s="34" t="n">
        <x:v>35</x:v>
      </x:c>
      <x:c r="C37" s="32" t="str">
        <x:v>Transfer the airplane toy with propellers into the bowl.</x:v>
      </x:c>
      <x:c r="D37" s="32" t="str">
        <x:v>Reference: crushed Coke can at table centre; airplane toy without propellers: 10 cm to robot-right of the reference; airplane toy with propellers: 24 cm to robot-left of the reference; green pen: at the far robot-left corner, outside the distance comparison; Bowl: empty</x:v>
      </x:c>
      <x:c r="E37" s="34" t="n">
        <x:v>33</x:v>
      </x:c>
      <x:c r="F37" s="34" t="str">
        <x:v>568</x:v>
      </x:c>
      <x:c r="G37" s="32" t="str">
        <x:v>Exact matched-control scene and target; only the direct-name instruction wording changes.</x:v>
      </x:c>
      <x:c r="H37" s="32" t="str">
        <x:v>airplane toy with propellers</x:v>
      </x:c>
      <x:c r="I37" s="32" t="str"/>
      <x:c r="J37" s="38" t="str">
        <x:v>Language robustness</x:v>
      </x:c>
      <x:c r="K37" s="34" t="str">
        <x:v>RD-CT04</x:v>
      </x:c>
      <x:c r="L37" s="34" t="str">
        <x:v>direct-name paraphrase</x:v>
      </x:c>
      <x:c r="M37" s="34" t="str">
        <x:v>airplane toy</x:v>
      </x:c>
      <x:c r="N37" s="34" t="n">
        <x:v>4</x:v>
      </x:c>
      <x:c r="O37" s="34" t="n">
        <x:v>1</x:v>
      </x:c>
      <x:c r="P37" s="34" t="str">
        <x:v>Empty</x:v>
      </x:c>
      <x:c r="Q37" s="32" t="str">
        <x:v>Matched-control direct-name prompt paraphrase</x:v>
      </x:c>
      <x:c r="R37" s="34" t="n">
        <x:v>2</x:v>
      </x:c>
      <x:c r="S37" s="32" t="str">
        <x:v>Reset the moved object exactly; preserve the scene; change only the wording.</x:v>
      </x:c>
      <x:c r="T37" s="32" t="str">
        <x:v>One of 10 exact-scene paraphrases of matched manipulation controls.</x:v>
      </x:c>
      <x:c r="U37" s="32" t="str"/>
    </x:row>
    <x:row r="38" ht="51" customHeight="1">
      <x:c r="A38" s="41" t="str">
        <x:v>Not collected</x:v>
      </x:c>
      <x:c r="B38" s="42" t="n">
        <x:v>36</x:v>
      </x:c>
      <x:c r="C38" s="41" t="str">
        <x:v>Put the crushed soda can closest to the airplane toy with propellers in the bowl.</x:v>
      </x:c>
      <x:c r="D38" s="41" t="str">
        <x:v>Reference: airplane toy with propellers at table centre; crushed Coke can: 10 cm to robot-right of the reference; crushed Pepsi can: 24 cm to robot-left of the reference; green pencil sharpener: at the far robot-left corner, outside the distance comparison; Bowl: empty</x:v>
      </x:c>
      <x:c r="E38" s="42" t="str"/>
      <x:c r="F38" s="42" t="str">
        <x:v>402</x:v>
      </x:c>
      <x:c r="G38" s="41" t="str">
        <x:v>Masked source trajectory: the target identity and physical manipulation are trained under a direct-name prompt, while this relation × candidate-category composition is intentionally absent.</x:v>
      </x:c>
      <x:c r="H38" s="41" t="str">
        <x:v>crushed Coke can</x:v>
      </x:c>
      <x:c r="I38" s="41" t="str"/>
      <x:c r="J38" s="46" t="str">
        <x:v>Concept/compositional transfer</x:v>
      </x:c>
      <x:c r="K38" s="42" t="str">
        <x:v>RD-CT05</x:v>
      </x:c>
      <x:c r="L38" s="42" t="str">
        <x:v>closest</x:v>
      </x:c>
      <x:c r="M38" s="42" t="str">
        <x:v>crushed soda can</x:v>
      </x:c>
      <x:c r="N38" s="42" t="n">
        <x:v>4</x:v>
      </x:c>
      <x:c r="O38" s="42" t="n">
        <x:v>1</x:v>
      </x:c>
      <x:c r="P38" s="42" t="str">
        <x:v>Empty</x:v>
      </x:c>
      <x:c r="Q38" s="41" t="str">
        <x:v>Primary held-out relation × candidate-category composition — Put</x:v>
      </x:c>
      <x:c r="R38" s="42" t="n">
        <x:v>2</x:v>
      </x:c>
      <x:c r="S38" s="41" t="str">
        <x:v>Build the listed relation scene with the bowl empty.</x:v>
      </x:c>
      <x:c r="T38" s="41" t="str">
        <x:v>Both candidates are present. The held-out relation is the only information that identifies the target.</x:v>
      </x:c>
      <x:c r="U38" s="41" t="str"/>
    </x:row>
    <x:row r="39" ht="51" customHeight="1">
      <x:c r="A39" s="32" t="str">
        <x:v>Not collected</x:v>
      </x:c>
      <x:c r="B39" s="34" t="n">
        <x:v>37</x:v>
      </x:c>
      <x:c r="C39" s="32" t="str">
        <x:v>Move the crushed Coke can into the bowl.</x:v>
      </x:c>
      <x:c r="D39" s="32" t="str">
        <x:v>Reference: airplane toy with propellers at table centre; crushed Coke can: 10 cm to robot-right of the reference; crushed Pepsi can: 24 cm to robot-left of the reference; green pencil sharpener: at the far robot-left corner, outside the distance comparison; Bowl: empty</x:v>
      </x:c>
      <x:c r="E39" s="34" t="n">
        <x:v>36</x:v>
      </x:c>
      <x:c r="F39" s="34" t="str">
        <x:v>402</x:v>
      </x:c>
      <x:c r="G39" s="32" t="str">
        <x:v>Exact masked-cell training prompt for the same target identity. The evaluation scene and physical endpoint are identical to the paired transfer row.</x:v>
      </x:c>
      <x:c r="H39" s="32" t="str">
        <x:v>crushed Coke can</x:v>
      </x:c>
      <x:c r="I39" s="32" t="str"/>
      <x:c r="J39" s="37" t="str">
        <x:v>Matched manipulation control</x:v>
      </x:c>
      <x:c r="K39" s="34" t="str">
        <x:v>RD-CT05</x:v>
      </x:c>
      <x:c r="L39" s="34" t="str">
        <x:v>direct name</x:v>
      </x:c>
      <x:c r="M39" s="34" t="str">
        <x:v>crushed soda can</x:v>
      </x:c>
      <x:c r="N39" s="34" t="n">
        <x:v>4</x:v>
      </x:c>
      <x:c r="O39" s="34" t="n">
        <x:v>1</x:v>
      </x:c>
      <x:c r="P39" s="34" t="str">
        <x:v>Empty</x:v>
      </x:c>
      <x:c r="Q39" s="32" t="str">
        <x:v>Exact-scene direct-identity manipulation control</x:v>
      </x:c>
      <x:c r="R39" s="34" t="n">
        <x:v>2</x:v>
      </x:c>
      <x:c r="S39" s="32" t="str">
        <x:v>Reset the moved object exactly; preserve the scene; change only the instruction.</x:v>
      </x:c>
      <x:c r="T39" s="32" t="str">
        <x:v>Controls recognition and manipulation of the same target without requiring referential reasoning.</x:v>
      </x:c>
      <x:c r="U39" s="32" t="str"/>
    </x:row>
    <x:row r="40" ht="51" customHeight="1">
      <x:c r="A40" s="31" t="str">
        <x:v>Not collected</x:v>
      </x:c>
      <x:c r="B40" s="33" t="n">
        <x:v>38</x:v>
      </x:c>
      <x:c r="C40" s="31" t="str">
        <x:v>Place the crushed soda can with the shortest distance to the airplane toy with propellers in the bowl.</x:v>
      </x:c>
      <x:c r="D40" s="31" t="str">
        <x:v>Reference: airplane toy with propellers at table centre; crushed Coke can: 10 cm to robot-right of the reference; crushed Pepsi can: 24 cm to robot-left of the reference; green pencil sharpener: at the far robot-left corner, outside the distance comparison; Bowl: empty</x:v>
      </x:c>
      <x:c r="E40" s="33" t="n">
        <x:v>36</x:v>
      </x:c>
      <x:c r="F40" s="33" t="str">
        <x:v>402</x:v>
      </x:c>
      <x:c r="G40" s="31" t="str">
        <x:v>Exact canonical transfer scene and masked trajectory reference; only the instruction wording changes. This remains a separate language diagnostic.</x:v>
      </x:c>
      <x:c r="H40" s="31" t="str">
        <x:v>crushed Coke can</x:v>
      </x:c>
      <x:c r="I40" s="31" t="str"/>
      <x:c r="J40" s="38" t="str">
        <x:v>Language robustness</x:v>
      </x:c>
      <x:c r="K40" s="33" t="str">
        <x:v>RD-CT05</x:v>
      </x:c>
      <x:c r="L40" s="33" t="str">
        <x:v>closest</x:v>
      </x:c>
      <x:c r="M40" s="33" t="str">
        <x:v>crushed soda can</x:v>
      </x:c>
      <x:c r="N40" s="33" t="n">
        <x:v>4</x:v>
      </x:c>
      <x:c r="O40" s="33" t="n">
        <x:v>1</x:v>
      </x:c>
      <x:c r="P40" s="33" t="str">
        <x:v>Empty</x:v>
      </x:c>
      <x:c r="Q40" s="31" t="str">
        <x:v>Primary compositional-transfer prompt paraphrase</x:v>
      </x:c>
      <x:c r="R40" s="33" t="n">
        <x:v>2</x:v>
      </x:c>
      <x:c r="S40" s="31" t="str">
        <x:v>Reset the moved object exactly; preserve the scene; change only the wording.</x:v>
      </x:c>
      <x:c r="T40" s="31" t="str">
        <x:v>One of 10 exact-scene paraphrases of canonical transfer trials.</x:v>
      </x:c>
      <x:c r="U40" s="31" t="str"/>
    </x:row>
    <x:row r="41" ht="51" customHeight="1">
      <x:c r="A41" s="32" t="str">
        <x:v>Not collected</x:v>
      </x:c>
      <x:c r="B41" s="34" t="n">
        <x:v>39</x:v>
      </x:c>
      <x:c r="C41" s="32" t="str">
        <x:v>Transfer the crushed Coke can into the bowl.</x:v>
      </x:c>
      <x:c r="D41" s="32" t="str">
        <x:v>Reference: airplane toy with propellers at table centre; crushed Coke can: 10 cm to robot-right of the reference; crushed Pepsi can: 24 cm to robot-left of the reference; green pencil sharpener: at the far robot-left corner, outside the distance comparison; Bowl: empty</x:v>
      </x:c>
      <x:c r="E41" s="34" t="n">
        <x:v>37</x:v>
      </x:c>
      <x:c r="F41" s="34" t="str">
        <x:v>402</x:v>
      </x:c>
      <x:c r="G41" s="32" t="str">
        <x:v>Exact matched-control scene and target; only the direct-name instruction wording changes.</x:v>
      </x:c>
      <x:c r="H41" s="32" t="str">
        <x:v>crushed Coke can</x:v>
      </x:c>
      <x:c r="I41" s="32" t="str"/>
      <x:c r="J41" s="38" t="str">
        <x:v>Language robustness</x:v>
      </x:c>
      <x:c r="K41" s="34" t="str">
        <x:v>RD-CT05</x:v>
      </x:c>
      <x:c r="L41" s="34" t="str">
        <x:v>direct-name paraphrase</x:v>
      </x:c>
      <x:c r="M41" s="34" t="str">
        <x:v>crushed soda can</x:v>
      </x:c>
      <x:c r="N41" s="34" t="n">
        <x:v>4</x:v>
      </x:c>
      <x:c r="O41" s="34" t="n">
        <x:v>1</x:v>
      </x:c>
      <x:c r="P41" s="34" t="str">
        <x:v>Empty</x:v>
      </x:c>
      <x:c r="Q41" s="32" t="str">
        <x:v>Matched-control direct-name prompt paraphrase</x:v>
      </x:c>
      <x:c r="R41" s="34" t="n">
        <x:v>2</x:v>
      </x:c>
      <x:c r="S41" s="32" t="str">
        <x:v>Reset the moved object exactly; preserve the scene; change only the wording.</x:v>
      </x:c>
      <x:c r="T41" s="32" t="str">
        <x:v>One of 10 exact-scene paraphrases of matched manipulation controls.</x:v>
      </x:c>
      <x:c r="U41" s="32" t="str"/>
    </x:row>
    <x:row r="42" ht="51" customHeight="1">
      <x:c r="A42" s="41" t="str">
        <x:v>Not collected</x:v>
      </x:c>
      <x:c r="B42" s="42" t="n">
        <x:v>40</x:v>
      </x:c>
      <x:c r="C42" s="41" t="str">
        <x:v>Put the pencil sharpener between the airplane toy with propellers and the yellow pen in the bowl.</x:v>
      </x:c>
      <x:c r="D42" s="41" t="str">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2" s="42" t="str"/>
      <x:c r="F42" s="42" t="str">
        <x:v>483</x:v>
      </x:c>
      <x:c r="G42" s="41" t="str">
        <x:v>Masked source trajectory: the target identity and physical manipulation are trained under a direct-name prompt, while this relation × candidate-category composition is intentionally absent.</x:v>
      </x:c>
      <x:c r="H42" s="41" t="str">
        <x:v>green pencil sharpener</x:v>
      </x:c>
      <x:c r="I42" s="41" t="str"/>
      <x:c r="J42" s="46" t="str">
        <x:v>Concept/compositional transfer</x:v>
      </x:c>
      <x:c r="K42" s="42" t="str">
        <x:v>RD-CT06</x:v>
      </x:c>
      <x:c r="L42" s="42" t="str">
        <x:v>between</x:v>
      </x:c>
      <x:c r="M42" s="42" t="str">
        <x:v>pencil sharpener</x:v>
      </x:c>
      <x:c r="N42" s="42" t="n">
        <x:v>4</x:v>
      </x:c>
      <x:c r="O42" s="42" t="n">
        <x:v>1</x:v>
      </x:c>
      <x:c r="P42" s="42" t="str">
        <x:v>Empty</x:v>
      </x:c>
      <x:c r="Q42" s="41" t="str">
        <x:v>Primary held-out relation × candidate-category composition — Put</x:v>
      </x:c>
      <x:c r="R42" s="42" t="n">
        <x:v>2</x:v>
      </x:c>
      <x:c r="S42" s="41" t="str">
        <x:v>Build the listed relation scene with the bowl empty.</x:v>
      </x:c>
      <x:c r="T42" s="41" t="str">
        <x:v>Both candidates are present. The held-out relation is the only information that identifies the target.</x:v>
      </x:c>
      <x:c r="U42" s="41" t="str"/>
    </x:row>
    <x:row r="43" ht="51" customHeight="1">
      <x:c r="A43" s="32" t="str">
        <x:v>Not collected</x:v>
      </x:c>
      <x:c r="B43" s="34" t="n">
        <x:v>41</x:v>
      </x:c>
      <x:c r="C43" s="32" t="str">
        <x:v>Move the green pencil sharpener into the bowl.</x:v>
      </x:c>
      <x:c r="D43" s="32" t="str">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3" s="34" t="n">
        <x:v>40</x:v>
      </x:c>
      <x:c r="F43" s="34" t="str">
        <x:v>483</x:v>
      </x:c>
      <x:c r="G43" s="32" t="str">
        <x:v>Exact masked-cell training prompt for the same target identity. The evaluation scene and physical endpoint are identical to the paired transfer row.</x:v>
      </x:c>
      <x:c r="H43" s="32" t="str">
        <x:v>green pencil sharpener</x:v>
      </x:c>
      <x:c r="I43" s="32" t="str"/>
      <x:c r="J43" s="37" t="str">
        <x:v>Matched manipulation control</x:v>
      </x:c>
      <x:c r="K43" s="34" t="str">
        <x:v>RD-CT06</x:v>
      </x:c>
      <x:c r="L43" s="34" t="str">
        <x:v>direct name</x:v>
      </x:c>
      <x:c r="M43" s="34" t="str">
        <x:v>pencil sharpener</x:v>
      </x:c>
      <x:c r="N43" s="34" t="n">
        <x:v>4</x:v>
      </x:c>
      <x:c r="O43" s="34" t="n">
        <x:v>1</x:v>
      </x:c>
      <x:c r="P43" s="34" t="str">
        <x:v>Empty</x:v>
      </x:c>
      <x:c r="Q43" s="32" t="str">
        <x:v>Exact-scene direct-identity manipulation control</x:v>
      </x:c>
      <x:c r="R43" s="34" t="n">
        <x:v>2</x:v>
      </x:c>
      <x:c r="S43" s="32" t="str">
        <x:v>Reset the moved object exactly; preserve the scene; change only the instruction.</x:v>
      </x:c>
      <x:c r="T43" s="32" t="str">
        <x:v>Controls recognition and manipulation of the same target without requiring referential reasoning.</x:v>
      </x:c>
      <x:c r="U43" s="32" t="str"/>
    </x:row>
    <x:row r="44" ht="51" customHeight="1">
      <x:c r="A44" s="31" t="str">
        <x:v>Not collected</x:v>
      </x:c>
      <x:c r="B44" s="33" t="n">
        <x:v>42</x:v>
      </x:c>
      <x:c r="C44" s="31" t="str">
        <x:v>Place the pencil sharpener sitting between the airplane toy with propellers and the yellow pen in the bowl.</x:v>
      </x:c>
      <x:c r="D44" s="31" t="str">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4" s="33" t="n">
        <x:v>40</x:v>
      </x:c>
      <x:c r="F44" s="33" t="str">
        <x:v>483</x:v>
      </x:c>
      <x:c r="G44" s="31" t="str">
        <x:v>Exact canonical transfer scene and masked trajectory reference; only the instruction wording changes. This remains a separate language diagnostic.</x:v>
      </x:c>
      <x:c r="H44" s="31" t="str">
        <x:v>green pencil sharpener</x:v>
      </x:c>
      <x:c r="I44" s="31" t="str"/>
      <x:c r="J44" s="38" t="str">
        <x:v>Language robustness</x:v>
      </x:c>
      <x:c r="K44" s="33" t="str">
        <x:v>RD-CT06</x:v>
      </x:c>
      <x:c r="L44" s="33" t="str">
        <x:v>between</x:v>
      </x:c>
      <x:c r="M44" s="33" t="str">
        <x:v>pencil sharpener</x:v>
      </x:c>
      <x:c r="N44" s="33" t="n">
        <x:v>4</x:v>
      </x:c>
      <x:c r="O44" s="33" t="n">
        <x:v>1</x:v>
      </x:c>
      <x:c r="P44" s="33" t="str">
        <x:v>Empty</x:v>
      </x:c>
      <x:c r="Q44" s="31" t="str">
        <x:v>Primary compositional-transfer prompt paraphrase</x:v>
      </x:c>
      <x:c r="R44" s="33" t="n">
        <x:v>2</x:v>
      </x:c>
      <x:c r="S44" s="31" t="str">
        <x:v>Reset the moved object exactly; preserve the scene; change only the wording.</x:v>
      </x:c>
      <x:c r="T44" s="31" t="str">
        <x:v>One of 10 exact-scene paraphrases of canonical transfer trials.</x:v>
      </x:c>
      <x:c r="U44" s="31" t="str"/>
    </x:row>
    <x:row r="45" ht="51" customHeight="1">
      <x:c r="A45" s="32" t="str">
        <x:v>Not collected</x:v>
      </x:c>
      <x:c r="B45" s="34" t="n">
        <x:v>43</x:v>
      </x:c>
      <x:c r="C45" s="32" t="str">
        <x:v>Transfer the green pencil sharpener into the bowl.</x:v>
      </x:c>
      <x:c r="D45" s="32" t="str">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5" s="34" t="n">
        <x:v>41</x:v>
      </x:c>
      <x:c r="F45" s="34" t="str">
        <x:v>483</x:v>
      </x:c>
      <x:c r="G45" s="32" t="str">
        <x:v>Exact matched-control scene and target; only the direct-name instruction wording changes.</x:v>
      </x:c>
      <x:c r="H45" s="32" t="str">
        <x:v>green pencil sharpener</x:v>
      </x:c>
      <x:c r="I45" s="32" t="str"/>
      <x:c r="J45" s="38" t="str">
        <x:v>Language robustness</x:v>
      </x:c>
      <x:c r="K45" s="34" t="str">
        <x:v>RD-CT06</x:v>
      </x:c>
      <x:c r="L45" s="34" t="str">
        <x:v>direct-name paraphrase</x:v>
      </x:c>
      <x:c r="M45" s="34" t="str">
        <x:v>pencil sharpener</x:v>
      </x:c>
      <x:c r="N45" s="34" t="n">
        <x:v>4</x:v>
      </x:c>
      <x:c r="O45" s="34" t="n">
        <x:v>1</x:v>
      </x:c>
      <x:c r="P45" s="34" t="str">
        <x:v>Empty</x:v>
      </x:c>
      <x:c r="Q45" s="32" t="str">
        <x:v>Matched-control direct-name prompt paraphrase</x:v>
      </x:c>
      <x:c r="R45" s="34" t="n">
        <x:v>2</x:v>
      </x:c>
      <x:c r="S45" s="32" t="str">
        <x:v>Reset the moved object exactly; preserve the scene; change only the wording.</x:v>
      </x:c>
      <x:c r="T45" s="32" t="str">
        <x:v>One of 10 exact-scene paraphrases of matched manipulation controls.</x:v>
      </x:c>
      <x:c r="U45" s="32" t="str"/>
    </x:row>
    <x:row r="46" ht="51" customHeight="1">
      <x:c r="A46" s="41" t="str">
        <x:v>Not collected</x:v>
      </x:c>
      <x:c r="B46" s="42" t="n">
        <x:v>44</x:v>
      </x:c>
      <x:c r="C46" s="41" t="str">
        <x:v>Move the airplane toy furthest from the green pencil sharpener into the bowl.</x:v>
      </x:c>
      <x:c r="D46" s="41" t="str">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6" s="42" t="str"/>
      <x:c r="F46" s="42" t="str">
        <x:v>565</x:v>
      </x:c>
      <x:c r="G46" s="41" t="str">
        <x:v>Masked source trajectory: the target identity and physical manipulation are trained under a direct-name prompt, while this relation × candidate-category composition is intentionally absent.</x:v>
      </x:c>
      <x:c r="H46" s="41" t="str">
        <x:v>airplane toy without propellers</x:v>
      </x:c>
      <x:c r="I46" s="41" t="str"/>
      <x:c r="J46" s="46" t="str">
        <x:v>Concept/compositional transfer</x:v>
      </x:c>
      <x:c r="K46" s="42" t="str">
        <x:v>RD-CT07</x:v>
      </x:c>
      <x:c r="L46" s="42" t="str">
        <x:v>furthest</x:v>
      </x:c>
      <x:c r="M46" s="42" t="str">
        <x:v>airplane toy</x:v>
      </x:c>
      <x:c r="N46" s="42" t="n">
        <x:v>4</x:v>
      </x:c>
      <x:c r="O46" s="42" t="n">
        <x:v>1</x:v>
      </x:c>
      <x:c r="P46" s="42" t="str">
        <x:v>Empty</x:v>
      </x:c>
      <x:c r="Q46" s="41" t="str">
        <x:v>Primary held-out relation × candidate-category composition — Move</x:v>
      </x:c>
      <x:c r="R46" s="42" t="n">
        <x:v>2</x:v>
      </x:c>
      <x:c r="S46" s="41" t="str">
        <x:v>Build the listed relation scene with the bowl empty.</x:v>
      </x:c>
      <x:c r="T46" s="41" t="str">
        <x:v>Both candidates are present. The held-out relation is the only information that identifies the target.</x:v>
      </x:c>
      <x:c r="U46" s="41" t="str"/>
    </x:row>
    <x:row r="47" ht="51" customHeight="1">
      <x:c r="A47" s="32" t="str">
        <x:v>Not collected</x:v>
      </x:c>
      <x:c r="B47" s="34" t="n">
        <x:v>45</x:v>
      </x:c>
      <x:c r="C47" s="32" t="str">
        <x:v>Pick up the airplane toy without propellers and place it in the bowl.</x:v>
      </x:c>
      <x:c r="D47" s="32" t="str">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7" s="34" t="n">
        <x:v>44</x:v>
      </x:c>
      <x:c r="F47" s="34" t="str">
        <x:v>565</x:v>
      </x:c>
      <x:c r="G47" s="32" t="str">
        <x:v>Exact masked-cell training prompt for the same target identity. The evaluation scene and physical endpoint are identical to the paired transfer row.</x:v>
      </x:c>
      <x:c r="H47" s="32" t="str">
        <x:v>airplane toy without propellers</x:v>
      </x:c>
      <x:c r="I47" s="32" t="str"/>
      <x:c r="J47" s="37" t="str">
        <x:v>Matched manipulation control</x:v>
      </x:c>
      <x:c r="K47" s="34" t="str">
        <x:v>RD-CT07</x:v>
      </x:c>
      <x:c r="L47" s="34" t="str">
        <x:v>direct name</x:v>
      </x:c>
      <x:c r="M47" s="34" t="str">
        <x:v>airplane toy</x:v>
      </x:c>
      <x:c r="N47" s="34" t="n">
        <x:v>4</x:v>
      </x:c>
      <x:c r="O47" s="34" t="n">
        <x:v>1</x:v>
      </x:c>
      <x:c r="P47" s="34" t="str">
        <x:v>Empty</x:v>
      </x:c>
      <x:c r="Q47" s="32" t="str">
        <x:v>Exact-scene direct-identity manipulation control</x:v>
      </x:c>
      <x:c r="R47" s="34" t="n">
        <x:v>2</x:v>
      </x:c>
      <x:c r="S47" s="32" t="str">
        <x:v>Reset the moved object exactly; preserve the scene; change only the instruction.</x:v>
      </x:c>
      <x:c r="T47" s="32" t="str">
        <x:v>Controls recognition and manipulation of the same target without requiring referential reasoning.</x:v>
      </x:c>
      <x:c r="U47" s="32" t="str"/>
    </x:row>
    <x:row r="48" ht="51" customHeight="1">
      <x:c r="A48" s="31" t="str">
        <x:v>Not collected</x:v>
      </x:c>
      <x:c r="B48" s="33" t="n">
        <x:v>46</x:v>
      </x:c>
      <x:c r="C48" s="31" t="str">
        <x:v>Move whichever airplane toy is most distant from the green pencil sharpener into the bowl.</x:v>
      </x:c>
      <x:c r="D48" s="31" t="str">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8" s="33" t="n">
        <x:v>44</x:v>
      </x:c>
      <x:c r="F48" s="33" t="str">
        <x:v>565</x:v>
      </x:c>
      <x:c r="G48" s="31" t="str">
        <x:v>Exact canonical transfer scene and masked trajectory reference; only the instruction wording changes. This remains a separate language diagnostic.</x:v>
      </x:c>
      <x:c r="H48" s="31" t="str">
        <x:v>airplane toy without propellers</x:v>
      </x:c>
      <x:c r="I48" s="31" t="str"/>
      <x:c r="J48" s="38" t="str">
        <x:v>Language robustness</x:v>
      </x:c>
      <x:c r="K48" s="33" t="str">
        <x:v>RD-CT07</x:v>
      </x:c>
      <x:c r="L48" s="33" t="str">
        <x:v>furthest</x:v>
      </x:c>
      <x:c r="M48" s="33" t="str">
        <x:v>airplane toy</x:v>
      </x:c>
      <x:c r="N48" s="33" t="n">
        <x:v>4</x:v>
      </x:c>
      <x:c r="O48" s="33" t="n">
        <x:v>1</x:v>
      </x:c>
      <x:c r="P48" s="33" t="str">
        <x:v>Empty</x:v>
      </x:c>
      <x:c r="Q48" s="31" t="str">
        <x:v>Primary compositional-transfer prompt paraphrase</x:v>
      </x:c>
      <x:c r="R48" s="33" t="n">
        <x:v>2</x:v>
      </x:c>
      <x:c r="S48" s="31" t="str">
        <x:v>Reset the moved object exactly; preserve the scene; change only the wording.</x:v>
      </x:c>
      <x:c r="T48" s="31" t="str">
        <x:v>One of 10 exact-scene paraphrases of canonical transfer trials.</x:v>
      </x:c>
      <x:c r="U48" s="31" t="str"/>
    </x:row>
    <x:row r="49" ht="51" customHeight="1">
      <x:c r="A49" s="32" t="str">
        <x:v>Not collected</x:v>
      </x:c>
      <x:c r="B49" s="34" t="n">
        <x:v>47</x:v>
      </x:c>
      <x:c r="C49" s="32" t="str">
        <x:v>Set the airplane toy without propellers inside the bowl.</x:v>
      </x:c>
      <x:c r="D49" s="32" t="str">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9" s="34" t="n">
        <x:v>45</x:v>
      </x:c>
      <x:c r="F49" s="34" t="str">
        <x:v>565</x:v>
      </x:c>
      <x:c r="G49" s="32" t="str">
        <x:v>Exact matched-control scene and target; only the direct-name instruction wording changes.</x:v>
      </x:c>
      <x:c r="H49" s="32" t="str">
        <x:v>airplane toy without propellers</x:v>
      </x:c>
      <x:c r="I49" s="32" t="str"/>
      <x:c r="J49" s="38" t="str">
        <x:v>Language robustness</x:v>
      </x:c>
      <x:c r="K49" s="34" t="str">
        <x:v>RD-CT07</x:v>
      </x:c>
      <x:c r="L49" s="34" t="str">
        <x:v>direct-name paraphrase</x:v>
      </x:c>
      <x:c r="M49" s="34" t="str">
        <x:v>airplane toy</x:v>
      </x:c>
      <x:c r="N49" s="34" t="n">
        <x:v>4</x:v>
      </x:c>
      <x:c r="O49" s="34" t="n">
        <x:v>1</x:v>
      </x:c>
      <x:c r="P49" s="34" t="str">
        <x:v>Empty</x:v>
      </x:c>
      <x:c r="Q49" s="32" t="str">
        <x:v>Matched-control direct-name prompt paraphrase</x:v>
      </x:c>
      <x:c r="R49" s="34" t="n">
        <x:v>2</x:v>
      </x:c>
      <x:c r="S49" s="32" t="str">
        <x:v>Reset the moved object exactly; preserve the scene; change only the wording.</x:v>
      </x:c>
      <x:c r="T49" s="32" t="str">
        <x:v>One of 10 exact-scene paraphrases of matched manipulation controls.</x:v>
      </x:c>
      <x:c r="U49" s="32" t="str"/>
    </x:row>
    <x:row r="50" ht="51" customHeight="1">
      <x:c r="A50" s="41" t="str">
        <x:v>Not collected</x:v>
      </x:c>
      <x:c r="B50" s="42" t="n">
        <x:v>48</x:v>
      </x:c>
      <x:c r="C50" s="41" t="str">
        <x:v>Move the crushed soda can closest to the green pencil sharpener into the bowl.</x:v>
      </x:c>
      <x:c r="D50" s="41" t="str">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0" s="42" t="str"/>
      <x:c r="F50" s="42" t="str">
        <x:v>401</x:v>
      </x:c>
      <x:c r="G50" s="41" t="str">
        <x:v>Masked source trajectory: the target identity and physical manipulation are trained under a direct-name prompt, while this relation × candidate-category composition is intentionally absent.</x:v>
      </x:c>
      <x:c r="H50" s="41" t="str">
        <x:v>crushed Pepsi can</x:v>
      </x:c>
      <x:c r="I50" s="41" t="str"/>
      <x:c r="J50" s="46" t="str">
        <x:v>Concept/compositional transfer</x:v>
      </x:c>
      <x:c r="K50" s="42" t="str">
        <x:v>RD-CT08</x:v>
      </x:c>
      <x:c r="L50" s="42" t="str">
        <x:v>closest</x:v>
      </x:c>
      <x:c r="M50" s="42" t="str">
        <x:v>crushed soda can</x:v>
      </x:c>
      <x:c r="N50" s="42" t="n">
        <x:v>4</x:v>
      </x:c>
      <x:c r="O50" s="42" t="n">
        <x:v>1</x:v>
      </x:c>
      <x:c r="P50" s="42" t="str">
        <x:v>Empty</x:v>
      </x:c>
      <x:c r="Q50" s="41" t="str">
        <x:v>Primary held-out relation × candidate-category composition — Move</x:v>
      </x:c>
      <x:c r="R50" s="42" t="n">
        <x:v>2</x:v>
      </x:c>
      <x:c r="S50" s="41" t="str">
        <x:v>Build the listed relation scene with the bowl empty.</x:v>
      </x:c>
      <x:c r="T50" s="41" t="str">
        <x:v>Both candidates are present. The held-out relation is the only information that identifies the target.</x:v>
      </x:c>
      <x:c r="U50" s="41" t="str"/>
    </x:row>
    <x:row r="51" ht="51" customHeight="1">
      <x:c r="A51" s="32" t="str">
        <x:v>Not collected</x:v>
      </x:c>
      <x:c r="B51" s="34" t="n">
        <x:v>49</x:v>
      </x:c>
      <x:c r="C51" s="32" t="str">
        <x:v>Pick up the crushed Pepsi can and place it in the bowl.</x:v>
      </x:c>
      <x:c r="D51" s="32" t="str">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1" s="34" t="n">
        <x:v>48</x:v>
      </x:c>
      <x:c r="F51" s="34" t="str">
        <x:v>401</x:v>
      </x:c>
      <x:c r="G51" s="32" t="str">
        <x:v>Exact masked-cell training prompt for the same target identity. The evaluation scene and physical endpoint are identical to the paired transfer row.</x:v>
      </x:c>
      <x:c r="H51" s="32" t="str">
        <x:v>crushed Pepsi can</x:v>
      </x:c>
      <x:c r="I51" s="32" t="str"/>
      <x:c r="J51" s="37" t="str">
        <x:v>Matched manipulation control</x:v>
      </x:c>
      <x:c r="K51" s="34" t="str">
        <x:v>RD-CT08</x:v>
      </x:c>
      <x:c r="L51" s="34" t="str">
        <x:v>direct name</x:v>
      </x:c>
      <x:c r="M51" s="34" t="str">
        <x:v>crushed soda can</x:v>
      </x:c>
      <x:c r="N51" s="34" t="n">
        <x:v>4</x:v>
      </x:c>
      <x:c r="O51" s="34" t="n">
        <x:v>1</x:v>
      </x:c>
      <x:c r="P51" s="34" t="str">
        <x:v>Empty</x:v>
      </x:c>
      <x:c r="Q51" s="32" t="str">
        <x:v>Exact-scene direct-identity manipulation control</x:v>
      </x:c>
      <x:c r="R51" s="34" t="n">
        <x:v>2</x:v>
      </x:c>
      <x:c r="S51" s="32" t="str">
        <x:v>Reset the moved object exactly; preserve the scene; change only the instruction.</x:v>
      </x:c>
      <x:c r="T51" s="32" t="str">
        <x:v>Controls recognition and manipulation of the same target without requiring referential reasoning.</x:v>
      </x:c>
      <x:c r="U51" s="32" t="str"/>
    </x:row>
    <x:row r="52" ht="51" customHeight="1">
      <x:c r="A52" s="31" t="str">
        <x:v>Not collected</x:v>
      </x:c>
      <x:c r="B52" s="33" t="n">
        <x:v>50</x:v>
      </x:c>
      <x:c r="C52" s="31" t="str">
        <x:v>Move whichever crushed soda can is nearer to the green pencil sharpener into the bowl.</x:v>
      </x:c>
      <x:c r="D52" s="31" t="str">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2" s="33" t="n">
        <x:v>48</x:v>
      </x:c>
      <x:c r="F52" s="33" t="str">
        <x:v>401</x:v>
      </x:c>
      <x:c r="G52" s="31" t="str">
        <x:v>Exact canonical transfer scene and masked trajectory reference; only the instruction wording changes. This remains a separate language diagnostic.</x:v>
      </x:c>
      <x:c r="H52" s="31" t="str">
        <x:v>crushed Pepsi can</x:v>
      </x:c>
      <x:c r="I52" s="31" t="str"/>
      <x:c r="J52" s="38" t="str">
        <x:v>Language robustness</x:v>
      </x:c>
      <x:c r="K52" s="33" t="str">
        <x:v>RD-CT08</x:v>
      </x:c>
      <x:c r="L52" s="33" t="str">
        <x:v>closest</x:v>
      </x:c>
      <x:c r="M52" s="33" t="str">
        <x:v>crushed soda can</x:v>
      </x:c>
      <x:c r="N52" s="33" t="n">
        <x:v>4</x:v>
      </x:c>
      <x:c r="O52" s="33" t="n">
        <x:v>1</x:v>
      </x:c>
      <x:c r="P52" s="33" t="str">
        <x:v>Empty</x:v>
      </x:c>
      <x:c r="Q52" s="31" t="str">
        <x:v>Primary compositional-transfer prompt paraphrase</x:v>
      </x:c>
      <x:c r="R52" s="33" t="n">
        <x:v>2</x:v>
      </x:c>
      <x:c r="S52" s="31" t="str">
        <x:v>Reset the moved object exactly; preserve the scene; change only the wording.</x:v>
      </x:c>
      <x:c r="T52" s="31" t="str">
        <x:v>One of 10 exact-scene paraphrases of canonical transfer trials.</x:v>
      </x:c>
      <x:c r="U52" s="31" t="str"/>
    </x:row>
    <x:row r="53" ht="51" customHeight="1">
      <x:c r="A53" s="32" t="str">
        <x:v>Not collected</x:v>
      </x:c>
      <x:c r="B53" s="34" t="n">
        <x:v>51</x:v>
      </x:c>
      <x:c r="C53" s="32" t="str">
        <x:v>Set the crushed Pepsi can inside the bowl.</x:v>
      </x:c>
      <x:c r="D53" s="32" t="str">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3" s="34" t="n">
        <x:v>49</x:v>
      </x:c>
      <x:c r="F53" s="34" t="str">
        <x:v>401</x:v>
      </x:c>
      <x:c r="G53" s="32" t="str">
        <x:v>Exact matched-control scene and target; only the direct-name instruction wording changes.</x:v>
      </x:c>
      <x:c r="H53" s="32" t="str">
        <x:v>crushed Pepsi can</x:v>
      </x:c>
      <x:c r="I53" s="32" t="str"/>
      <x:c r="J53" s="38" t="str">
        <x:v>Language robustness</x:v>
      </x:c>
      <x:c r="K53" s="34" t="str">
        <x:v>RD-CT08</x:v>
      </x:c>
      <x:c r="L53" s="34" t="str">
        <x:v>direct-name paraphrase</x:v>
      </x:c>
      <x:c r="M53" s="34" t="str">
        <x:v>crushed soda can</x:v>
      </x:c>
      <x:c r="N53" s="34" t="n">
        <x:v>4</x:v>
      </x:c>
      <x:c r="O53" s="34" t="n">
        <x:v>1</x:v>
      </x:c>
      <x:c r="P53" s="34" t="str">
        <x:v>Empty</x:v>
      </x:c>
      <x:c r="Q53" s="32" t="str">
        <x:v>Matched-control direct-name prompt paraphrase</x:v>
      </x:c>
      <x:c r="R53" s="34" t="n">
        <x:v>2</x:v>
      </x:c>
      <x:c r="S53" s="32" t="str">
        <x:v>Reset the moved object exactly; preserve the scene; change only the wording.</x:v>
      </x:c>
      <x:c r="T53" s="32" t="str">
        <x:v>One of 10 exact-scene paraphrases of matched manipulation controls.</x:v>
      </x:c>
      <x:c r="U53" s="32" t="str"/>
    </x:row>
    <x:row r="54" ht="51" customHeight="1">
      <x:c r="A54" s="41" t="str">
        <x:v>Not collected</x:v>
      </x:c>
      <x:c r="B54" s="42" t="n">
        <x:v>52</x:v>
      </x:c>
      <x:c r="C54" s="41" t="str">
        <x:v>Move the pencil sharpener between the crushed Pepsi can and the airplane toy without propellers into the bowl.</x:v>
      </x:c>
      <x:c r="D54" s="41" t="str">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4" s="42" t="str"/>
      <x:c r="F54" s="42" t="str">
        <x:v>480</x:v>
      </x:c>
      <x:c r="G54" s="41" t="str">
        <x:v>Masked source trajectory: the target identity and physical manipulation are trained under a direct-name prompt, while this relation × candidate-category composition is intentionally absent.</x:v>
      </x:c>
      <x:c r="H54" s="41" t="str">
        <x:v>red pencil sharpener</x:v>
      </x:c>
      <x:c r="I54" s="41" t="str"/>
      <x:c r="J54" s="46" t="str">
        <x:v>Concept/compositional transfer</x:v>
      </x:c>
      <x:c r="K54" s="42" t="str">
        <x:v>RD-CT09</x:v>
      </x:c>
      <x:c r="L54" s="42" t="str">
        <x:v>between</x:v>
      </x:c>
      <x:c r="M54" s="42" t="str">
        <x:v>pencil sharpener</x:v>
      </x:c>
      <x:c r="N54" s="42" t="n">
        <x:v>4</x:v>
      </x:c>
      <x:c r="O54" s="42" t="n">
        <x:v>1</x:v>
      </x:c>
      <x:c r="P54" s="42" t="str">
        <x:v>Empty</x:v>
      </x:c>
      <x:c r="Q54" s="41" t="str">
        <x:v>Primary held-out relation × candidate-category composition — Move</x:v>
      </x:c>
      <x:c r="R54" s="42" t="n">
        <x:v>2</x:v>
      </x:c>
      <x:c r="S54" s="41" t="str">
        <x:v>Build the listed relation scene with the bowl empty.</x:v>
      </x:c>
      <x:c r="T54" s="41" t="str">
        <x:v>Both candidates are present. The held-out relation is the only information that identifies the target.</x:v>
      </x:c>
      <x:c r="U54" s="41" t="str"/>
    </x:row>
    <x:row r="55" ht="51" customHeight="1">
      <x:c r="A55" s="32" t="str">
        <x:v>Not collected</x:v>
      </x:c>
      <x:c r="B55" s="34" t="n">
        <x:v>53</x:v>
      </x:c>
      <x:c r="C55" s="32" t="str">
        <x:v>Move the red pencil sharpener into the bowl.</x:v>
      </x:c>
      <x:c r="D55" s="32" t="str">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5" s="34" t="n">
        <x:v>52</x:v>
      </x:c>
      <x:c r="F55" s="34" t="str">
        <x:v>480</x:v>
      </x:c>
      <x:c r="G55" s="32" t="str">
        <x:v>Exact masked-cell training prompt for the same target identity. The evaluation scene and physical endpoint are identical to the paired transfer row.</x:v>
      </x:c>
      <x:c r="H55" s="32" t="str">
        <x:v>red pencil sharpener</x:v>
      </x:c>
      <x:c r="I55" s="32" t="str"/>
      <x:c r="J55" s="37" t="str">
        <x:v>Matched manipulation control</x:v>
      </x:c>
      <x:c r="K55" s="34" t="str">
        <x:v>RD-CT09</x:v>
      </x:c>
      <x:c r="L55" s="34" t="str">
        <x:v>direct name</x:v>
      </x:c>
      <x:c r="M55" s="34" t="str">
        <x:v>pencil sharpener</x:v>
      </x:c>
      <x:c r="N55" s="34" t="n">
        <x:v>4</x:v>
      </x:c>
      <x:c r="O55" s="34" t="n">
        <x:v>1</x:v>
      </x:c>
      <x:c r="P55" s="34" t="str">
        <x:v>Empty</x:v>
      </x:c>
      <x:c r="Q55" s="32" t="str">
        <x:v>Exact-scene direct-identity manipulation control</x:v>
      </x:c>
      <x:c r="R55" s="34" t="n">
        <x:v>2</x:v>
      </x:c>
      <x:c r="S55" s="32" t="str">
        <x:v>Reset the moved object exactly; preserve the scene; change only the instruction.</x:v>
      </x:c>
      <x:c r="T55" s="32" t="str">
        <x:v>Controls recognition and manipulation of the same target without requiring referential reasoning.</x:v>
      </x:c>
      <x:c r="U55" s="32" t="str"/>
    </x:row>
    <x:row r="56" ht="51" customHeight="1">
      <x:c r="A56" s="31" t="str">
        <x:v>Not collected</x:v>
      </x:c>
      <x:c r="B56" s="33" t="n">
        <x:v>54</x:v>
      </x:c>
      <x:c r="C56" s="31" t="str">
        <x:v>Move the pencil sharpener that lies on the segment joining the crushed Pepsi can and the airplane toy without propellers into the bowl.</x:v>
      </x:c>
      <x:c r="D56" s="31" t="str">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6" s="33" t="n">
        <x:v>52</x:v>
      </x:c>
      <x:c r="F56" s="33" t="str">
        <x:v>480</x:v>
      </x:c>
      <x:c r="G56" s="31" t="str">
        <x:v>Exact canonical transfer scene and masked trajectory reference; only the instruction wording changes. This remains a separate language diagnostic.</x:v>
      </x:c>
      <x:c r="H56" s="31" t="str">
        <x:v>red pencil sharpener</x:v>
      </x:c>
      <x:c r="I56" s="31" t="str"/>
      <x:c r="J56" s="38" t="str">
        <x:v>Language robustness</x:v>
      </x:c>
      <x:c r="K56" s="33" t="str">
        <x:v>RD-CT09</x:v>
      </x:c>
      <x:c r="L56" s="33" t="str">
        <x:v>between</x:v>
      </x:c>
      <x:c r="M56" s="33" t="str">
        <x:v>pencil sharpener</x:v>
      </x:c>
      <x:c r="N56" s="33" t="n">
        <x:v>4</x:v>
      </x:c>
      <x:c r="O56" s="33" t="n">
        <x:v>1</x:v>
      </x:c>
      <x:c r="P56" s="33" t="str">
        <x:v>Empty</x:v>
      </x:c>
      <x:c r="Q56" s="31" t="str">
        <x:v>Primary compositional-transfer prompt paraphrase</x:v>
      </x:c>
      <x:c r="R56" s="33" t="n">
        <x:v>2</x:v>
      </x:c>
      <x:c r="S56" s="31" t="str">
        <x:v>Reset the moved object exactly; preserve the scene; change only the wording.</x:v>
      </x:c>
      <x:c r="T56" s="31" t="str">
        <x:v>One of 10 exact-scene paraphrases of canonical transfer trials.</x:v>
      </x:c>
      <x:c r="U56" s="31" t="str"/>
    </x:row>
    <x:row r="57" ht="51" customHeight="1">
      <x:c r="A57" s="32" t="str">
        <x:v>Not collected</x:v>
      </x:c>
      <x:c r="B57" s="34" t="n">
        <x:v>55</x:v>
      </x:c>
      <x:c r="C57" s="32" t="str">
        <x:v>Set the red pencil sharpener inside the bowl.</x:v>
      </x:c>
      <x:c r="D57" s="32" t="str">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7" s="34" t="n">
        <x:v>53</x:v>
      </x:c>
      <x:c r="F57" s="34" t="str">
        <x:v>480</x:v>
      </x:c>
      <x:c r="G57" s="32" t="str">
        <x:v>Exact matched-control scene and target; only the direct-name instruction wording changes.</x:v>
      </x:c>
      <x:c r="H57" s="32" t="str">
        <x:v>red pencil sharpener</x:v>
      </x:c>
      <x:c r="I57" s="32" t="str"/>
      <x:c r="J57" s="38" t="str">
        <x:v>Language robustness</x:v>
      </x:c>
      <x:c r="K57" s="34" t="str">
        <x:v>RD-CT09</x:v>
      </x:c>
      <x:c r="L57" s="34" t="str">
        <x:v>direct-name paraphrase</x:v>
      </x:c>
      <x:c r="M57" s="34" t="str">
        <x:v>pencil sharpener</x:v>
      </x:c>
      <x:c r="N57" s="34" t="n">
        <x:v>4</x:v>
      </x:c>
      <x:c r="O57" s="34" t="n">
        <x:v>1</x:v>
      </x:c>
      <x:c r="P57" s="34" t="str">
        <x:v>Empty</x:v>
      </x:c>
      <x:c r="Q57" s="32" t="str">
        <x:v>Matched-control direct-name prompt paraphrase</x:v>
      </x:c>
      <x:c r="R57" s="34" t="n">
        <x:v>2</x:v>
      </x:c>
      <x:c r="S57" s="32" t="str">
        <x:v>Reset the moved object exactly; preserve the scene; change only the wording.</x:v>
      </x:c>
      <x:c r="T57" s="32" t="str">
        <x:v>One of 10 exact-scene paraphrases of matched manipulation controls.</x:v>
      </x:c>
      <x:c r="U57" s="32" t="str"/>
    </x:row>
    <x:row r="58" ht="51" customHeight="1">
      <x:c r="A58" s="41" t="str">
        <x:v>Not collected</x:v>
      </x:c>
      <x:c r="B58" s="42" t="n">
        <x:v>56</x:v>
      </x:c>
      <x:c r="C58" s="41" t="str">
        <x:v>Pick up the airplane toy furthest from the yellow pen and place it in the bowl.</x:v>
      </x:c>
      <x:c r="D58" s="41" t="str">
        <x:v>Reference: yellow pen at table centre; airplane toy with propellers: 10 cm away from the robot from the reference; airplane toy without propellers: 24 cm toward the robot from the reference; green pen: at the far robot-left corner, outside the distance comparison; Bowl: empty</x:v>
      </x:c>
      <x:c r="E58" s="42" t="str"/>
      <x:c r="F58" s="42" t="str">
        <x:v>567</x:v>
      </x:c>
      <x:c r="G58" s="41" t="str">
        <x:v>Masked source trajectory: the target identity and physical manipulation are trained under a direct-name prompt, while this relation × candidate-category composition is intentionally absent.</x:v>
      </x:c>
      <x:c r="H58" s="41" t="str">
        <x:v>airplane toy without propellers</x:v>
      </x:c>
      <x:c r="I58" s="41" t="str"/>
      <x:c r="J58" s="46" t="str">
        <x:v>Concept/compositional transfer</x:v>
      </x:c>
      <x:c r="K58" s="42" t="str">
        <x:v>RD-CT10</x:v>
      </x:c>
      <x:c r="L58" s="42" t="str">
        <x:v>furthest</x:v>
      </x:c>
      <x:c r="M58" s="42" t="str">
        <x:v>airplane toy</x:v>
      </x:c>
      <x:c r="N58" s="42" t="n">
        <x:v>4</x:v>
      </x:c>
      <x:c r="O58" s="42" t="n">
        <x:v>1</x:v>
      </x:c>
      <x:c r="P58" s="42" t="str">
        <x:v>Empty</x:v>
      </x:c>
      <x:c r="Q58" s="41" t="str">
        <x:v>Primary held-out relation × candidate-category composition — Pick up</x:v>
      </x:c>
      <x:c r="R58" s="42" t="n">
        <x:v>2</x:v>
      </x:c>
      <x:c r="S58" s="41" t="str">
        <x:v>Build the listed relation scene with the bowl empty.</x:v>
      </x:c>
      <x:c r="T58" s="41" t="str">
        <x:v>Both candidates are present. The held-out relation is the only information that identifies the target.</x:v>
      </x:c>
      <x:c r="U58" s="41" t="str"/>
    </x:row>
    <x:row r="59" ht="51" customHeight="1">
      <x:c r="A59" s="32" t="str">
        <x:v>Not collected</x:v>
      </x:c>
      <x:c r="B59" s="34" t="n">
        <x:v>57</x:v>
      </x:c>
      <x:c r="C59" s="32" t="str">
        <x:v>Put the airplane toy without propellers in the bowl.</x:v>
      </x:c>
      <x:c r="D59" s="32" t="str">
        <x:v>Reference: yellow pen at table centre; airplane toy with propellers: 10 cm away from the robot from the reference; airplane toy without propellers: 24 cm toward the robot from the reference; green pen: at the far robot-left corner, outside the distance comparison; Bowl: empty</x:v>
      </x:c>
      <x:c r="E59" s="34" t="n">
        <x:v>56</x:v>
      </x:c>
      <x:c r="F59" s="34" t="str">
        <x:v>567</x:v>
      </x:c>
      <x:c r="G59" s="32" t="str">
        <x:v>Exact masked-cell training prompt for the same target identity. The evaluation scene and physical endpoint are identical to the paired transfer row.</x:v>
      </x:c>
      <x:c r="H59" s="32" t="str">
        <x:v>airplane toy without propellers</x:v>
      </x:c>
      <x:c r="I59" s="32" t="str"/>
      <x:c r="J59" s="37" t="str">
        <x:v>Matched manipulation control</x:v>
      </x:c>
      <x:c r="K59" s="34" t="str">
        <x:v>RD-CT10</x:v>
      </x:c>
      <x:c r="L59" s="34" t="str">
        <x:v>direct name</x:v>
      </x:c>
      <x:c r="M59" s="34" t="str">
        <x:v>airplane toy</x:v>
      </x:c>
      <x:c r="N59" s="34" t="n">
        <x:v>4</x:v>
      </x:c>
      <x:c r="O59" s="34" t="n">
        <x:v>1</x:v>
      </x:c>
      <x:c r="P59" s="34" t="str">
        <x:v>Empty</x:v>
      </x:c>
      <x:c r="Q59" s="32" t="str">
        <x:v>Exact-scene direct-identity manipulation control</x:v>
      </x:c>
      <x:c r="R59" s="34" t="n">
        <x:v>2</x:v>
      </x:c>
      <x:c r="S59" s="32" t="str">
        <x:v>Reset the moved object exactly; preserve the scene; change only the instruction.</x:v>
      </x:c>
      <x:c r="T59" s="32" t="str">
        <x:v>Controls recognition and manipulation of the same target without requiring referential reasoning.</x:v>
      </x:c>
      <x:c r="U59" s="32" t="str"/>
    </x:row>
    <x:row r="60" ht="51" customHeight="1">
      <x:c r="A60" s="31" t="str">
        <x:v>Not collected</x:v>
      </x:c>
      <x:c r="B60" s="33" t="n">
        <x:v>58</x:v>
      </x:c>
      <x:c r="C60" s="31" t="str">
        <x:v>Choose the airplane toy farthest from the yellow pen and put it in the bowl.</x:v>
      </x:c>
      <x:c r="D60" s="31" t="str">
        <x:v>Reference: yellow pen at table centre; airplane toy with propellers: 10 cm away from the robot from the reference; airplane toy without propellers: 24 cm toward the robot from the reference; green pen: at the far robot-left corner, outside the distance comparison; Bowl: empty</x:v>
      </x:c>
      <x:c r="E60" s="33" t="n">
        <x:v>56</x:v>
      </x:c>
      <x:c r="F60" s="33" t="str">
        <x:v>567</x:v>
      </x:c>
      <x:c r="G60" s="31" t="str">
        <x:v>Exact canonical transfer scene and masked trajectory reference; only the instruction wording changes. This remains a separate language diagnostic.</x:v>
      </x:c>
      <x:c r="H60" s="31" t="str">
        <x:v>airplane toy without propellers</x:v>
      </x:c>
      <x:c r="I60" s="31" t="str"/>
      <x:c r="J60" s="38" t="str">
        <x:v>Language robustness</x:v>
      </x:c>
      <x:c r="K60" s="33" t="str">
        <x:v>RD-CT10</x:v>
      </x:c>
      <x:c r="L60" s="33" t="str">
        <x:v>furthest</x:v>
      </x:c>
      <x:c r="M60" s="33" t="str">
        <x:v>airplane toy</x:v>
      </x:c>
      <x:c r="N60" s="33" t="n">
        <x:v>4</x:v>
      </x:c>
      <x:c r="O60" s="33" t="n">
        <x:v>1</x:v>
      </x:c>
      <x:c r="P60" s="33" t="str">
        <x:v>Empty</x:v>
      </x:c>
      <x:c r="Q60" s="31" t="str">
        <x:v>Primary compositional-transfer prompt paraphrase</x:v>
      </x:c>
      <x:c r="R60" s="33" t="n">
        <x:v>2</x:v>
      </x:c>
      <x:c r="S60" s="31" t="str">
        <x:v>Reset the moved object exactly; preserve the scene; change only the wording.</x:v>
      </x:c>
      <x:c r="T60" s="31" t="str">
        <x:v>One of 10 exact-scene paraphrases of canonical transfer trials.</x:v>
      </x:c>
      <x:c r="U60" s="31" t="str"/>
    </x:row>
    <x:row r="61" ht="51" customHeight="1">
      <x:c r="A61" s="32" t="str">
        <x:v>Not collected</x:v>
      </x:c>
      <x:c r="B61" s="34" t="n">
        <x:v>59</x:v>
      </x:c>
      <x:c r="C61" s="32" t="str">
        <x:v>Take the airplane toy without propellers and set it in the bowl.</x:v>
      </x:c>
      <x:c r="D61" s="32" t="str">
        <x:v>Reference: yellow pen at table centre; airplane toy with propellers: 10 cm away from the robot from the reference; airplane toy without propellers: 24 cm toward the robot from the reference; green pen: at the far robot-left corner, outside the distance comparison; Bowl: empty</x:v>
      </x:c>
      <x:c r="E61" s="34" t="n">
        <x:v>57</x:v>
      </x:c>
      <x:c r="F61" s="34" t="str">
        <x:v>567</x:v>
      </x:c>
      <x:c r="G61" s="32" t="str">
        <x:v>Exact matched-control scene and target; only the direct-name instruction wording changes.</x:v>
      </x:c>
      <x:c r="H61" s="32" t="str">
        <x:v>airplane toy without propellers</x:v>
      </x:c>
      <x:c r="I61" s="32" t="str"/>
      <x:c r="J61" s="38" t="str">
        <x:v>Language robustness</x:v>
      </x:c>
      <x:c r="K61" s="34" t="str">
        <x:v>RD-CT10</x:v>
      </x:c>
      <x:c r="L61" s="34" t="str">
        <x:v>direct-name paraphrase</x:v>
      </x:c>
      <x:c r="M61" s="34" t="str">
        <x:v>airplane toy</x:v>
      </x:c>
      <x:c r="N61" s="34" t="n">
        <x:v>4</x:v>
      </x:c>
      <x:c r="O61" s="34" t="n">
        <x:v>1</x:v>
      </x:c>
      <x:c r="P61" s="34" t="str">
        <x:v>Empty</x:v>
      </x:c>
      <x:c r="Q61" s="32" t="str">
        <x:v>Matched-control direct-name prompt paraphrase</x:v>
      </x:c>
      <x:c r="R61" s="34" t="n">
        <x:v>2</x:v>
      </x:c>
      <x:c r="S61" s="32" t="str">
        <x:v>Reset the moved object exactly; preserve the scene; change only the wording.</x:v>
      </x:c>
      <x:c r="T61" s="32" t="str">
        <x:v>One of 10 exact-scene paraphrases of matched manipulation controls.</x:v>
      </x:c>
      <x:c r="U61" s="32" t="str"/>
    </x:row>
    <x:row r="62" ht="51" customHeight="1">
      <x:c r="A62" s="41" t="str">
        <x:v>Not collected</x:v>
      </x:c>
      <x:c r="B62" s="42" t="n">
        <x:v>60</x:v>
      </x:c>
      <x:c r="C62" s="41" t="str">
        <x:v>Pick up the crushed soda can closest to the yellow pen and place it in the bowl.</x:v>
      </x:c>
      <x:c r="D62" s="41" t="str">
        <x:v>Reference: yellow pen at table centre; crushed Pepsi can: 10 cm away from the robot from the reference; crushed Coke can: 24 cm toward the robot from the reference; red pencil sharpener: at the far robot-left corner, outside the distance comparison; Bowl: empty</x:v>
      </x:c>
      <x:c r="E62" s="42" t="str"/>
      <x:c r="F62" s="42" t="str">
        <x:v>403</x:v>
      </x:c>
      <x:c r="G62" s="41" t="str">
        <x:v>Masked source trajectory: the target identity and physical manipulation are trained under a direct-name prompt, while this relation × candidate-category composition is intentionally absent.</x:v>
      </x:c>
      <x:c r="H62" s="41" t="str">
        <x:v>crushed Pepsi can</x:v>
      </x:c>
      <x:c r="I62" s="41" t="str"/>
      <x:c r="J62" s="46" t="str">
        <x:v>Concept/compositional transfer</x:v>
      </x:c>
      <x:c r="K62" s="42" t="str">
        <x:v>RD-CT11</x:v>
      </x:c>
      <x:c r="L62" s="42" t="str">
        <x:v>closest</x:v>
      </x:c>
      <x:c r="M62" s="42" t="str">
        <x:v>crushed soda can</x:v>
      </x:c>
      <x:c r="N62" s="42" t="n">
        <x:v>4</x:v>
      </x:c>
      <x:c r="O62" s="42" t="n">
        <x:v>1</x:v>
      </x:c>
      <x:c r="P62" s="42" t="str">
        <x:v>Empty</x:v>
      </x:c>
      <x:c r="Q62" s="41" t="str">
        <x:v>Primary held-out relation × candidate-category composition — Pick up</x:v>
      </x:c>
      <x:c r="R62" s="42" t="n">
        <x:v>3</x:v>
      </x:c>
      <x:c r="S62" s="41" t="str">
        <x:v>Build the listed relation scene with the bowl empty.</x:v>
      </x:c>
      <x:c r="T62" s="41" t="str">
        <x:v>Both candidates are present. The held-out relation is the only information that identifies the target.</x:v>
      </x:c>
      <x:c r="U62" s="41" t="str"/>
    </x:row>
    <x:row r="63" ht="51" customHeight="1">
      <x:c r="A63" s="32" t="str">
        <x:v>Not collected</x:v>
      </x:c>
      <x:c r="B63" s="34" t="n">
        <x:v>61</x:v>
      </x:c>
      <x:c r="C63" s="32" t="str">
        <x:v>Put the crushed Pepsi can in the bowl.</x:v>
      </x:c>
      <x:c r="D63" s="32" t="str">
        <x:v>Reference: yellow pen at table centre; crushed Pepsi can: 10 cm away from the robot from the reference; crushed Coke can: 24 cm toward the robot from the reference; red pencil sharpener: at the far robot-left corner, outside the distance comparison; Bowl: empty</x:v>
      </x:c>
      <x:c r="E63" s="34" t="n">
        <x:v>60</x:v>
      </x:c>
      <x:c r="F63" s="34" t="str">
        <x:v>403</x:v>
      </x:c>
      <x:c r="G63" s="32" t="str">
        <x:v>Exact masked-cell training prompt for the same target identity. The evaluation scene and physical endpoint are identical to the paired transfer row.</x:v>
      </x:c>
      <x:c r="H63" s="32" t="str">
        <x:v>crushed Pepsi can</x:v>
      </x:c>
      <x:c r="I63" s="32" t="str"/>
      <x:c r="J63" s="37" t="str">
        <x:v>Matched manipulation control</x:v>
      </x:c>
      <x:c r="K63" s="34" t="str">
        <x:v>RD-CT11</x:v>
      </x:c>
      <x:c r="L63" s="34" t="str">
        <x:v>direct name</x:v>
      </x:c>
      <x:c r="M63" s="34" t="str">
        <x:v>crushed soda can</x:v>
      </x:c>
      <x:c r="N63" s="34" t="n">
        <x:v>4</x:v>
      </x:c>
      <x:c r="O63" s="34" t="n">
        <x:v>1</x:v>
      </x:c>
      <x:c r="P63" s="34" t="str">
        <x:v>Empty</x:v>
      </x:c>
      <x:c r="Q63" s="32" t="str">
        <x:v>Exact-scene direct-identity manipulation control</x:v>
      </x:c>
      <x:c r="R63" s="34" t="n">
        <x:v>3</x:v>
      </x:c>
      <x:c r="S63" s="32" t="str">
        <x:v>Reset the moved object exactly; preserve the scene; change only the instruction.</x:v>
      </x:c>
      <x:c r="T63" s="32" t="str">
        <x:v>Controls recognition and manipulation of the same target without requiring referential reasoning.</x:v>
      </x:c>
      <x:c r="U63" s="32" t="str"/>
    </x:row>
    <x:row r="64" ht="51" customHeight="1">
      <x:c r="A64" s="41" t="str">
        <x:v>Not collected</x:v>
      </x:c>
      <x:c r="B64" s="42" t="n">
        <x:v>62</x:v>
      </x:c>
      <x:c r="C64" s="41" t="str">
        <x:v>Pick up the pencil sharpener between the green pen and the crushed Coke can and place it in the bowl.</x:v>
      </x:c>
      <x:c r="D64" s="41" t="str">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Bowl: empty</x:v>
      </x:c>
      <x:c r="E64" s="42" t="str"/>
      <x:c r="F64" s="42" t="str">
        <x:v>481</x:v>
      </x:c>
      <x:c r="G64" s="41" t="str">
        <x:v>Masked source trajectory: the target identity and physical manipulation are trained under a direct-name prompt, while this relation × candidate-category composition is intentionally absent.</x:v>
      </x:c>
      <x:c r="H64" s="41" t="str">
        <x:v>red pencil sharpener</x:v>
      </x:c>
      <x:c r="I64" s="41" t="str"/>
      <x:c r="J64" s="46" t="str">
        <x:v>Concept/compositional transfer</x:v>
      </x:c>
      <x:c r="K64" s="42" t="str">
        <x:v>RD-CT12</x:v>
      </x:c>
      <x:c r="L64" s="42" t="str">
        <x:v>between</x:v>
      </x:c>
      <x:c r="M64" s="42" t="str">
        <x:v>pencil sharpener</x:v>
      </x:c>
      <x:c r="N64" s="42" t="n">
        <x:v>4</x:v>
      </x:c>
      <x:c r="O64" s="42" t="n">
        <x:v>1</x:v>
      </x:c>
      <x:c r="P64" s="42" t="str">
        <x:v>Empty</x:v>
      </x:c>
      <x:c r="Q64" s="41" t="str">
        <x:v>Primary held-out relation × candidate-category composition — Pick up</x:v>
      </x:c>
      <x:c r="R64" s="42" t="n">
        <x:v>3</x:v>
      </x:c>
      <x:c r="S64" s="41" t="str">
        <x:v>Build the listed relation scene with the bowl empty.</x:v>
      </x:c>
      <x:c r="T64" s="41" t="str">
        <x:v>Both candidates are present. The held-out relation is the only information that identifies the target.</x:v>
      </x:c>
      <x:c r="U64" s="41" t="str"/>
    </x:row>
    <x:row r="65" ht="51" customHeight="1">
      <x:c r="A65" s="32" t="str">
        <x:v>Not collected</x:v>
      </x:c>
      <x:c r="B65" s="34" t="n">
        <x:v>63</x:v>
      </x:c>
      <x:c r="C65" s="32" t="str">
        <x:v>Put the red pencil sharpener in the bowl.</x:v>
      </x:c>
      <x:c r="D65" s="32" t="str">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Bowl: empty</x:v>
      </x:c>
      <x:c r="E65" s="34" t="n">
        <x:v>62</x:v>
      </x:c>
      <x:c r="F65" s="34" t="str">
        <x:v>481</x:v>
      </x:c>
      <x:c r="G65" s="32" t="str">
        <x:v>Exact masked-cell training prompt for the same target identity. The evaluation scene and physical endpoint are identical to the paired transfer row.</x:v>
      </x:c>
      <x:c r="H65" s="32" t="str">
        <x:v>red pencil sharpener</x:v>
      </x:c>
      <x:c r="I65" s="32" t="str"/>
      <x:c r="J65" s="37" t="str">
        <x:v>Matched manipulation control</x:v>
      </x:c>
      <x:c r="K65" s="34" t="str">
        <x:v>RD-CT12</x:v>
      </x:c>
      <x:c r="L65" s="34" t="str">
        <x:v>direct name</x:v>
      </x:c>
      <x:c r="M65" s="34" t="str">
        <x:v>pencil sharpener</x:v>
      </x:c>
      <x:c r="N65" s="34" t="n">
        <x:v>4</x:v>
      </x:c>
      <x:c r="O65" s="34" t="n">
        <x:v>1</x:v>
      </x:c>
      <x:c r="P65" s="34" t="str">
        <x:v>Empty</x:v>
      </x:c>
      <x:c r="Q65" s="32" t="str">
        <x:v>Exact-scene direct-identity manipulation control</x:v>
      </x:c>
      <x:c r="R65" s="34" t="n">
        <x:v>3</x:v>
      </x:c>
      <x:c r="S65" s="32" t="str">
        <x:v>Reset the moved object exactly; preserve the scene; change only the instruction.</x:v>
      </x:c>
      <x:c r="T65" s="32" t="str">
        <x:v>Controls recognition and manipulation of the same target without requiring referential reasoning.</x:v>
      </x:c>
      <x:c r="U65" s="32" t="str"/>
    </x:row>
    <x:row r="66" ht="51" customHeight="1">
      <x:c r="A66" s="41" t="str">
        <x:v>Not collected</x:v>
      </x:c>
      <x:c r="B66" s="42" t="n">
        <x:v>64</x:v>
      </x:c>
      <x:c r="C66" s="41" t="str">
        <x:v>Put the airplane toy furthest from the crushed Pepsi can in the bowl.</x:v>
      </x:c>
      <x:c r="D66" s="41" t="str">
        <x:v>Reference: crushed Pepsi can at table centre; airplane toy without propellers: 10 cm toward robot-left from the reference; airplane toy with propellers: 24 cm away toward robot-right from the reference; red pencil sharpener: at the far robot-left corner, outside the distance comparison; Bowl: empty</x:v>
      </x:c>
      <x:c r="E66" s="42" t="str"/>
      <x:c r="F66" s="42" t="str">
        <x:v>570</x:v>
      </x:c>
      <x:c r="G66" s="41" t="str">
        <x:v>Masked source trajectory: the target identity and physical manipulation are trained under a direct-name prompt, while this relation × candidate-category composition is intentionally absent.</x:v>
      </x:c>
      <x:c r="H66" s="41" t="str">
        <x:v>airplane toy with propellers</x:v>
      </x:c>
      <x:c r="I66" s="41" t="str"/>
      <x:c r="J66" s="46" t="str">
        <x:v>Concept/compositional transfer</x:v>
      </x:c>
      <x:c r="K66" s="42" t="str">
        <x:v>RD-CT13</x:v>
      </x:c>
      <x:c r="L66" s="42" t="str">
        <x:v>furthest</x:v>
      </x:c>
      <x:c r="M66" s="42" t="str">
        <x:v>airplane toy</x:v>
      </x:c>
      <x:c r="N66" s="42" t="n">
        <x:v>4</x:v>
      </x:c>
      <x:c r="O66" s="42" t="n">
        <x:v>1</x:v>
      </x:c>
      <x:c r="P66" s="42" t="str">
        <x:v>Empty</x:v>
      </x:c>
      <x:c r="Q66" s="41" t="str">
        <x:v>Primary held-out relation × candidate-category composition — Put</x:v>
      </x:c>
      <x:c r="R66" s="42" t="n">
        <x:v>3</x:v>
      </x:c>
      <x:c r="S66" s="41" t="str">
        <x:v>Build the listed relation scene with the bowl empty.</x:v>
      </x:c>
      <x:c r="T66" s="41" t="str">
        <x:v>Both candidates are present. The held-out relation is the only information that identifies the target.</x:v>
      </x:c>
      <x:c r="U66" s="41" t="str"/>
    </x:row>
    <x:row r="67" ht="51" customHeight="1">
      <x:c r="A67" s="32" t="str">
        <x:v>Not collected</x:v>
      </x:c>
      <x:c r="B67" s="34" t="n">
        <x:v>65</x:v>
      </x:c>
      <x:c r="C67" s="32" t="str">
        <x:v>Put the airplane toy with propellers in the bowl.</x:v>
      </x:c>
      <x:c r="D67" s="32" t="str">
        <x:v>Reference: crushed Pepsi can at table centre; airplane toy without propellers: 10 cm toward robot-left from the reference; airplane toy with propellers: 24 cm away toward robot-right from the reference; red pencil sharpener: at the far robot-left corner, outside the distance comparison; Bowl: empty</x:v>
      </x:c>
      <x:c r="E67" s="34" t="n">
        <x:v>64</x:v>
      </x:c>
      <x:c r="F67" s="34" t="str">
        <x:v>570</x:v>
      </x:c>
      <x:c r="G67" s="32" t="str">
        <x:v>Exact masked-cell training prompt for the same target identity. The evaluation scene and physical endpoint are identical to the paired transfer row.</x:v>
      </x:c>
      <x:c r="H67" s="32" t="str">
        <x:v>airplane toy with propellers</x:v>
      </x:c>
      <x:c r="I67" s="32" t="str"/>
      <x:c r="J67" s="37" t="str">
        <x:v>Matched manipulation control</x:v>
      </x:c>
      <x:c r="K67" s="34" t="str">
        <x:v>RD-CT13</x:v>
      </x:c>
      <x:c r="L67" s="34" t="str">
        <x:v>direct name</x:v>
      </x:c>
      <x:c r="M67" s="34" t="str">
        <x:v>airplane toy</x:v>
      </x:c>
      <x:c r="N67" s="34" t="n">
        <x:v>4</x:v>
      </x:c>
      <x:c r="O67" s="34" t="n">
        <x:v>1</x:v>
      </x:c>
      <x:c r="P67" s="34" t="str">
        <x:v>Empty</x:v>
      </x:c>
      <x:c r="Q67" s="32" t="str">
        <x:v>Exact-scene direct-identity manipulation control</x:v>
      </x:c>
      <x:c r="R67" s="34" t="n">
        <x:v>3</x:v>
      </x:c>
      <x:c r="S67" s="32" t="str">
        <x:v>Reset the moved object exactly; preserve the scene; change only the instruction.</x:v>
      </x:c>
      <x:c r="T67" s="32" t="str">
        <x:v>Controls recognition and manipulation of the same target without requiring referential reasoning.</x:v>
      </x:c>
      <x:c r="U67" s="32" t="str"/>
    </x:row>
    <x:row r="68" ht="51" customHeight="1">
      <x:c r="A68" s="41" t="str">
        <x:v>Not collected</x:v>
      </x:c>
      <x:c r="B68" s="42" t="n">
        <x:v>66</x:v>
      </x:c>
      <x:c r="C68" s="41" t="str">
        <x:v>Put the crushed soda can closest to the airplane toy without propellers in the bowl.</x:v>
      </x:c>
      <x:c r="D68" s="41" t="str">
        <x:v>Reference: airplane toy without propellers at table centre; crushed Coke can: 10 cm toward robot-left from the reference; crushed Pepsi can: 24 cm away toward robot-right from the reference; airplane toy with propellers: at the far robot-left corner, outside the distance comparison; Bowl: empty</x:v>
      </x:c>
      <x:c r="E68" s="42" t="str"/>
      <x:c r="F68" s="42" t="str">
        <x:v>404</x:v>
      </x:c>
      <x:c r="G68" s="41" t="str">
        <x:v>Masked source trajectory: the target identity and physical manipulation are trained under a direct-name prompt, while this relation × candidate-category composition is intentionally absent.</x:v>
      </x:c>
      <x:c r="H68" s="41" t="str">
        <x:v>crushed Coke can</x:v>
      </x:c>
      <x:c r="I68" s="41" t="str"/>
      <x:c r="J68" s="46" t="str">
        <x:v>Concept/compositional transfer</x:v>
      </x:c>
      <x:c r="K68" s="42" t="str">
        <x:v>RD-CT14</x:v>
      </x:c>
      <x:c r="L68" s="42" t="str">
        <x:v>closest</x:v>
      </x:c>
      <x:c r="M68" s="42" t="str">
        <x:v>crushed soda can</x:v>
      </x:c>
      <x:c r="N68" s="42" t="n">
        <x:v>4</x:v>
      </x:c>
      <x:c r="O68" s="42" t="n">
        <x:v>1</x:v>
      </x:c>
      <x:c r="P68" s="42" t="str">
        <x:v>Empty</x:v>
      </x:c>
      <x:c r="Q68" s="41" t="str">
        <x:v>Primary held-out relation × candidate-category composition — Put</x:v>
      </x:c>
      <x:c r="R68" s="42" t="n">
        <x:v>3</x:v>
      </x:c>
      <x:c r="S68" s="41" t="str">
        <x:v>Build the listed relation scene with the bowl empty.</x:v>
      </x:c>
      <x:c r="T68" s="41" t="str">
        <x:v>Both candidates are present. The held-out relation is the only information that identifies the target.</x:v>
      </x:c>
      <x:c r="U68" s="41" t="str"/>
    </x:row>
    <x:row r="69" ht="51" customHeight="1">
      <x:c r="A69" s="32" t="str">
        <x:v>Not collected</x:v>
      </x:c>
      <x:c r="B69" s="34" t="n">
        <x:v>67</x:v>
      </x:c>
      <x:c r="C69" s="32" t="str">
        <x:v>Pick up the crushed Coke can and place it in the bowl.</x:v>
      </x:c>
      <x:c r="D69" s="32" t="str">
        <x:v>Reference: airplane toy without propellers at table centre; crushed Coke can: 10 cm toward robot-left from the reference; crushed Pepsi can: 24 cm away toward robot-right from the reference; airplane toy with propellers: at the far robot-left corner, outside the distance comparison; Bowl: empty</x:v>
      </x:c>
      <x:c r="E69" s="34" t="n">
        <x:v>66</x:v>
      </x:c>
      <x:c r="F69" s="34" t="str">
        <x:v>404</x:v>
      </x:c>
      <x:c r="G69" s="32" t="str">
        <x:v>Exact masked-cell training prompt for the same target identity. The evaluation scene and physical endpoint are identical to the paired transfer row.</x:v>
      </x:c>
      <x:c r="H69" s="32" t="str">
        <x:v>crushed Coke can</x:v>
      </x:c>
      <x:c r="I69" s="32" t="str"/>
      <x:c r="J69" s="37" t="str">
        <x:v>Matched manipulation control</x:v>
      </x:c>
      <x:c r="K69" s="34" t="str">
        <x:v>RD-CT14</x:v>
      </x:c>
      <x:c r="L69" s="34" t="str">
        <x:v>direct name</x:v>
      </x:c>
      <x:c r="M69" s="34" t="str">
        <x:v>crushed soda can</x:v>
      </x:c>
      <x:c r="N69" s="34" t="n">
        <x:v>4</x:v>
      </x:c>
      <x:c r="O69" s="34" t="n">
        <x:v>1</x:v>
      </x:c>
      <x:c r="P69" s="34" t="str">
        <x:v>Empty</x:v>
      </x:c>
      <x:c r="Q69" s="32" t="str">
        <x:v>Exact-scene direct-identity manipulation control</x:v>
      </x:c>
      <x:c r="R69" s="34" t="n">
        <x:v>3</x:v>
      </x:c>
      <x:c r="S69" s="32" t="str">
        <x:v>Reset the moved object exactly; preserve the scene; change only the instruction.</x:v>
      </x:c>
      <x:c r="T69" s="32" t="str">
        <x:v>Controls recognition and manipulation of the same target without requiring referential reasoning.</x:v>
      </x:c>
      <x:c r="U69" s="32" t="str"/>
    </x:row>
    <x:row r="70" ht="51" customHeight="1">
      <x:c r="A70" s="41" t="str">
        <x:v>Not collected</x:v>
      </x:c>
      <x:c r="B70" s="42" t="n">
        <x:v>68</x:v>
      </x:c>
      <x:c r="C70" s="41" t="str">
        <x:v>Put the pencil sharpener between the airplane toy with propellers and the yellow pen in the bowl.</x:v>
      </x:c>
      <x:c r="D70" s="41" t="str">
        <x:v>Reference A: airplane toy with propellers at 14 cm to robot-left of table centre; Reference B: yellow pen at 14 cm to robot-right of table centre; green pencil sharpener: at table centre on the straight Reference A–B segment; red pencil sharpener: 12 cm toward the robot from table centre, off the Reference A–B segment; Bowl: empty</x:v>
      </x:c>
      <x:c r="E70" s="42" t="str"/>
      <x:c r="F70" s="42" t="str">
        <x:v>485</x:v>
      </x:c>
      <x:c r="G70" s="41" t="str">
        <x:v>Masked source trajectory: the target identity and physical manipulation are trained under a direct-name prompt, while this relation × candidate-category composition is intentionally absent.</x:v>
      </x:c>
      <x:c r="H70" s="41" t="str">
        <x:v>green pencil sharpener</x:v>
      </x:c>
      <x:c r="I70" s="41" t="str"/>
      <x:c r="J70" s="46" t="str">
        <x:v>Concept/compositional transfer</x:v>
      </x:c>
      <x:c r="K70" s="42" t="str">
        <x:v>RD-CT15</x:v>
      </x:c>
      <x:c r="L70" s="42" t="str">
        <x:v>between</x:v>
      </x:c>
      <x:c r="M70" s="42" t="str">
        <x:v>pencil sharpener</x:v>
      </x:c>
      <x:c r="N70" s="42" t="n">
        <x:v>4</x:v>
      </x:c>
      <x:c r="O70" s="42" t="n">
        <x:v>1</x:v>
      </x:c>
      <x:c r="P70" s="42" t="str">
        <x:v>Empty</x:v>
      </x:c>
      <x:c r="Q70" s="41" t="str">
        <x:v>Primary held-out relation × candidate-category composition — Put</x:v>
      </x:c>
      <x:c r="R70" s="42" t="n">
        <x:v>3</x:v>
      </x:c>
      <x:c r="S70" s="41" t="str">
        <x:v>Build the listed relation scene with the bowl empty.</x:v>
      </x:c>
      <x:c r="T70" s="41" t="str">
        <x:v>Both candidates are present. The held-out relation is the only information that identifies the target.</x:v>
      </x:c>
      <x:c r="U70" s="41" t="str"/>
    </x:row>
    <x:row r="71" ht="51" customHeight="1">
      <x:c r="A71" s="32" t="str">
        <x:v>Not collected</x:v>
      </x:c>
      <x:c r="B71" s="34" t="n">
        <x:v>69</x:v>
      </x:c>
      <x:c r="C71" s="32" t="str">
        <x:v>Pick up the green pencil sharpener and place it in the bowl.</x:v>
      </x:c>
      <x:c r="D71" s="32" t="str">
        <x:v>Reference A: airplane toy with propellers at 14 cm to robot-left of table centre; Reference B: yellow pen at 14 cm to robot-right of table centre; green pencil sharpener: at table centre on the straight Reference A–B segment; red pencil sharpener: 12 cm toward the robot from table centre, off the Reference A–B segment; Bowl: empty</x:v>
      </x:c>
      <x:c r="E71" s="34" t="n">
        <x:v>68</x:v>
      </x:c>
      <x:c r="F71" s="34" t="str">
        <x:v>485</x:v>
      </x:c>
      <x:c r="G71" s="32" t="str">
        <x:v>Exact masked-cell training prompt for the same target identity. The evaluation scene and physical endpoint are identical to the paired transfer row.</x:v>
      </x:c>
      <x:c r="H71" s="32" t="str">
        <x:v>green pencil sharpener</x:v>
      </x:c>
      <x:c r="I71" s="32" t="str"/>
      <x:c r="J71" s="37" t="str">
        <x:v>Matched manipulation control</x:v>
      </x:c>
      <x:c r="K71" s="34" t="str">
        <x:v>RD-CT15</x:v>
      </x:c>
      <x:c r="L71" s="34" t="str">
        <x:v>direct name</x:v>
      </x:c>
      <x:c r="M71" s="34" t="str">
        <x:v>pencil sharpener</x:v>
      </x:c>
      <x:c r="N71" s="34" t="n">
        <x:v>4</x:v>
      </x:c>
      <x:c r="O71" s="34" t="n">
        <x:v>1</x:v>
      </x:c>
      <x:c r="P71" s="34" t="str">
        <x:v>Empty</x:v>
      </x:c>
      <x:c r="Q71" s="32" t="str">
        <x:v>Exact-scene direct-identity manipulation control</x:v>
      </x:c>
      <x:c r="R71" s="34" t="n">
        <x:v>3</x:v>
      </x:c>
      <x:c r="S71" s="32" t="str">
        <x:v>Reset the moved object exactly; preserve the scene; change only the instruction.</x:v>
      </x:c>
      <x:c r="T71" s="32" t="str">
        <x:v>Controls recognition and manipulation of the same target without requiring referential reasoning.</x:v>
      </x:c>
      <x:c r="U71" s="32" t="str"/>
    </x:row>
    <x:row r="72" ht="51" customHeight="1">
      <x:c r="A72" s="41" t="str">
        <x:v>Not collected</x:v>
      </x:c>
      <x:c r="B72" s="42" t="n">
        <x:v>70</x:v>
      </x:c>
      <x:c r="C72" s="41" t="str">
        <x:v>Move the airplane toy furthest from the red pencil sharpener into the bowl.</x:v>
      </x:c>
      <x:c r="D72" s="41" t="str">
        <x:v>Reference: red pencil sharpener at table centre; airplane toy without propellers: 10 cm toward robot-right from the reference; airplane toy with propellers: 24 cm away toward robot-left from the reference; crushed Coke can: at the far robot-left corner, outside the distance comparison; Bowl: empty</x:v>
      </x:c>
      <x:c r="E72" s="42" t="str"/>
      <x:c r="F72" s="42" t="str">
        <x:v>572</x:v>
      </x:c>
      <x:c r="G72" s="41" t="str">
        <x:v>Masked source trajectory: the target identity and physical manipulation are trained under a direct-name prompt, while this relation × candidate-category composition is intentionally absent.</x:v>
      </x:c>
      <x:c r="H72" s="41" t="str">
        <x:v>airplane toy with propellers</x:v>
      </x:c>
      <x:c r="I72" s="41" t="str"/>
      <x:c r="J72" s="46" t="str">
        <x:v>Concept/compositional transfer</x:v>
      </x:c>
      <x:c r="K72" s="42" t="str">
        <x:v>RD-CT16</x:v>
      </x:c>
      <x:c r="L72" s="42" t="str">
        <x:v>furthest</x:v>
      </x:c>
      <x:c r="M72" s="42" t="str">
        <x:v>airplane toy</x:v>
      </x:c>
      <x:c r="N72" s="42" t="n">
        <x:v>4</x:v>
      </x:c>
      <x:c r="O72" s="42" t="n">
        <x:v>1</x:v>
      </x:c>
      <x:c r="P72" s="42" t="str">
        <x:v>Empty</x:v>
      </x:c>
      <x:c r="Q72" s="41" t="str">
        <x:v>Primary held-out relation × candidate-category composition — Move</x:v>
      </x:c>
      <x:c r="R72" s="42" t="n">
        <x:v>3</x:v>
      </x:c>
      <x:c r="S72" s="41" t="str">
        <x:v>Build the listed relation scene with the bowl empty.</x:v>
      </x:c>
      <x:c r="T72" s="41" t="str">
        <x:v>Both candidates are present. The held-out relation is the only information that identifies the target.</x:v>
      </x:c>
      <x:c r="U72" s="41" t="str"/>
    </x:row>
    <x:row r="73" ht="51" customHeight="1">
      <x:c r="A73" s="32" t="str">
        <x:v>Not collected</x:v>
      </x:c>
      <x:c r="B73" s="34" t="n">
        <x:v>71</x:v>
      </x:c>
      <x:c r="C73" s="32" t="str">
        <x:v>Move the airplane toy with propellers into the bowl.</x:v>
      </x:c>
      <x:c r="D73" s="32" t="str">
        <x:v>Reference: red pencil sharpener at table centre; airplane toy without propellers: 10 cm toward robot-right from the reference; airplane toy with propellers: 24 cm away toward robot-left from the reference; crushed Coke can: at the far robot-left corner, outside the distance comparison; Bowl: empty</x:v>
      </x:c>
      <x:c r="E73" s="34" t="n">
        <x:v>70</x:v>
      </x:c>
      <x:c r="F73" s="34" t="str">
        <x:v>572</x:v>
      </x:c>
      <x:c r="G73" s="32" t="str">
        <x:v>Exact masked-cell training prompt for the same target identity. The evaluation scene and physical endpoint are identical to the paired transfer row.</x:v>
      </x:c>
      <x:c r="H73" s="32" t="str">
        <x:v>airplane toy with propellers</x:v>
      </x:c>
      <x:c r="I73" s="32" t="str"/>
      <x:c r="J73" s="37" t="str">
        <x:v>Matched manipulation control</x:v>
      </x:c>
      <x:c r="K73" s="34" t="str">
        <x:v>RD-CT16</x:v>
      </x:c>
      <x:c r="L73" s="34" t="str">
        <x:v>direct name</x:v>
      </x:c>
      <x:c r="M73" s="34" t="str">
        <x:v>airplane toy</x:v>
      </x:c>
      <x:c r="N73" s="34" t="n">
        <x:v>4</x:v>
      </x:c>
      <x:c r="O73" s="34" t="n">
        <x:v>1</x:v>
      </x:c>
      <x:c r="P73" s="34" t="str">
        <x:v>Empty</x:v>
      </x:c>
      <x:c r="Q73" s="32" t="str">
        <x:v>Exact-scene direct-identity manipulation control</x:v>
      </x:c>
      <x:c r="R73" s="34" t="n">
        <x:v>3</x:v>
      </x:c>
      <x:c r="S73" s="32" t="str">
        <x:v>Reset the moved object exactly; preserve the scene; change only the instruction.</x:v>
      </x:c>
      <x:c r="T73" s="32" t="str">
        <x:v>Controls recognition and manipulation of the same target without requiring referential reasoning.</x:v>
      </x:c>
      <x:c r="U73" s="32" t="str"/>
    </x:row>
    <x:row r="74" ht="51" customHeight="1">
      <x:c r="A74" s="41" t="str">
        <x:v>Not collected</x:v>
      </x:c>
      <x:c r="B74" s="42" t="n">
        <x:v>72</x:v>
      </x:c>
      <x:c r="C74" s="41" t="str">
        <x:v>Move the crushed soda can closest to the red pencil sharpener into the bowl.</x:v>
      </x:c>
      <x:c r="D74" s="41" t="str">
        <x:v>Reference: red pencil sharpener at table centre; crushed Coke can: 10 cm toward robot-right from the reference; crushed Pepsi can: 24 cm away toward robot-left from the reference; yellow pen: at the far robot-left corner, outside the distance comparison; Bowl: empty</x:v>
      </x:c>
      <x:c r="E74" s="42" t="str"/>
      <x:c r="F74" s="42" t="str">
        <x:v>406</x:v>
      </x:c>
      <x:c r="G74" s="41" t="str">
        <x:v>Masked source trajectory: the target identity and physical manipulation are trained under a direct-name prompt, while this relation × candidate-category composition is intentionally absent.</x:v>
      </x:c>
      <x:c r="H74" s="41" t="str">
        <x:v>crushed Coke can</x:v>
      </x:c>
      <x:c r="I74" s="41" t="str"/>
      <x:c r="J74" s="46" t="str">
        <x:v>Concept/compositional transfer</x:v>
      </x:c>
      <x:c r="K74" s="42" t="str">
        <x:v>RD-CT17</x:v>
      </x:c>
      <x:c r="L74" s="42" t="str">
        <x:v>closest</x:v>
      </x:c>
      <x:c r="M74" s="42" t="str">
        <x:v>crushed soda can</x:v>
      </x:c>
      <x:c r="N74" s="42" t="n">
        <x:v>4</x:v>
      </x:c>
      <x:c r="O74" s="42" t="n">
        <x:v>1</x:v>
      </x:c>
      <x:c r="P74" s="42" t="str">
        <x:v>Empty</x:v>
      </x:c>
      <x:c r="Q74" s="41" t="str">
        <x:v>Primary held-out relation × candidate-category composition — Move</x:v>
      </x:c>
      <x:c r="R74" s="42" t="n">
        <x:v>3</x:v>
      </x:c>
      <x:c r="S74" s="41" t="str">
        <x:v>Build the listed relation scene with the bowl empty.</x:v>
      </x:c>
      <x:c r="T74" s="41" t="str">
        <x:v>Both candidates are present. The held-out relation is the only information that identifies the target.</x:v>
      </x:c>
      <x:c r="U74" s="41" t="str"/>
    </x:row>
    <x:row r="75" ht="51" customHeight="1">
      <x:c r="A75" s="32" t="str">
        <x:v>Not collected</x:v>
      </x:c>
      <x:c r="B75" s="34" t="n">
        <x:v>73</x:v>
      </x:c>
      <x:c r="C75" s="32" t="str">
        <x:v>Put the crushed Coke can in the bowl.</x:v>
      </x:c>
      <x:c r="D75" s="32" t="str">
        <x:v>Reference: red pencil sharpener at table centre; crushed Coke can: 10 cm toward robot-right from the reference; crushed Pepsi can: 24 cm away toward robot-left from the reference; yellow pen: at the far robot-left corner, outside the distance comparison; Bowl: empty</x:v>
      </x:c>
      <x:c r="E75" s="34" t="n">
        <x:v>72</x:v>
      </x:c>
      <x:c r="F75" s="34" t="str">
        <x:v>406</x:v>
      </x:c>
      <x:c r="G75" s="32" t="str">
        <x:v>Exact masked-cell training prompt for the same target identity. The evaluation scene and physical endpoint are identical to the paired transfer row.</x:v>
      </x:c>
      <x:c r="H75" s="32" t="str">
        <x:v>crushed Coke can</x:v>
      </x:c>
      <x:c r="I75" s="32" t="str"/>
      <x:c r="J75" s="37" t="str">
        <x:v>Matched manipulation control</x:v>
      </x:c>
      <x:c r="K75" s="34" t="str">
        <x:v>RD-CT17</x:v>
      </x:c>
      <x:c r="L75" s="34" t="str">
        <x:v>direct name</x:v>
      </x:c>
      <x:c r="M75" s="34" t="str">
        <x:v>crushed soda can</x:v>
      </x:c>
      <x:c r="N75" s="34" t="n">
        <x:v>4</x:v>
      </x:c>
      <x:c r="O75" s="34" t="n">
        <x:v>1</x:v>
      </x:c>
      <x:c r="P75" s="34" t="str">
        <x:v>Empty</x:v>
      </x:c>
      <x:c r="Q75" s="32" t="str">
        <x:v>Exact-scene direct-identity manipulation control</x:v>
      </x:c>
      <x:c r="R75" s="34" t="n">
        <x:v>3</x:v>
      </x:c>
      <x:c r="S75" s="32" t="str">
        <x:v>Reset the moved object exactly; preserve the scene; change only the instruction.</x:v>
      </x:c>
      <x:c r="T75" s="32" t="str">
        <x:v>Controls recognition and manipulation of the same target without requiring referential reasoning.</x:v>
      </x:c>
      <x:c r="U75" s="32" t="str"/>
    </x:row>
    <x:row r="76" ht="51" customHeight="1">
      <x:c r="A76" s="41" t="str">
        <x:v>Not collected</x:v>
      </x:c>
      <x:c r="B76" s="42" t="n">
        <x:v>74</x:v>
      </x:c>
      <x:c r="C76" s="41" t="str">
        <x:v>Move the pencil sharpener between the crushed Pepsi can and the airplane toy without propellers into the bowl.</x:v>
      </x:c>
      <x:c r="D76" s="41" t="str">
        <x:v>Reference A: crushed Pepsi can at 14 cm toward the robot from table centre; Reference B: airplane toy without propellers at 14 cm away from the robot from table centre; green pencil sharpener: at table centre on the straight Reference A–B segment; red pencil sharpener: 12 cm to robot-right of table centre, off the Reference A–B segment; Bowl: empty</x:v>
      </x:c>
      <x:c r="E76" s="42" t="str"/>
      <x:c r="F76" s="42" t="str">
        <x:v>487</x:v>
      </x:c>
      <x:c r="G76" s="41" t="str">
        <x:v>Masked source trajectory: the target identity and physical manipulation are trained under a direct-name prompt, while this relation × candidate-category composition is intentionally absent.</x:v>
      </x:c>
      <x:c r="H76" s="41" t="str">
        <x:v>green pencil sharpener</x:v>
      </x:c>
      <x:c r="I76" s="41" t="str"/>
      <x:c r="J76" s="46" t="str">
        <x:v>Concept/compositional transfer</x:v>
      </x:c>
      <x:c r="K76" s="42" t="str">
        <x:v>RD-CT18</x:v>
      </x:c>
      <x:c r="L76" s="42" t="str">
        <x:v>between</x:v>
      </x:c>
      <x:c r="M76" s="42" t="str">
        <x:v>pencil sharpener</x:v>
      </x:c>
      <x:c r="N76" s="42" t="n">
        <x:v>4</x:v>
      </x:c>
      <x:c r="O76" s="42" t="n">
        <x:v>1</x:v>
      </x:c>
      <x:c r="P76" s="42" t="str">
        <x:v>Empty</x:v>
      </x:c>
      <x:c r="Q76" s="41" t="str">
        <x:v>Primary held-out relation × candidate-category composition — Move</x:v>
      </x:c>
      <x:c r="R76" s="42" t="n">
        <x:v>3</x:v>
      </x:c>
      <x:c r="S76" s="41" t="str">
        <x:v>Build the listed relation scene with the bowl empty.</x:v>
      </x:c>
      <x:c r="T76" s="41" t="str">
        <x:v>Both candidates are present. The held-out relation is the only information that identifies the target.</x:v>
      </x:c>
      <x:c r="U76" s="41" t="str"/>
    </x:row>
    <x:row r="77" ht="51" customHeight="1">
      <x:c r="A77" s="32" t="str">
        <x:v>Not collected</x:v>
      </x:c>
      <x:c r="B77" s="34" t="n">
        <x:v>75</x:v>
      </x:c>
      <x:c r="C77" s="32" t="str">
        <x:v>Put the green pencil sharpener in the bowl.</x:v>
      </x:c>
      <x:c r="D77" s="32" t="str">
        <x:v>Reference A: crushed Pepsi can at 14 cm toward the robot from table centre; Reference B: airplane toy without propellers at 14 cm away from the robot from table centre; green pencil sharpener: at table centre on the straight Reference A–B segment; red pencil sharpener: 12 cm to robot-right of table centre, off the Reference A–B segment; Bowl: empty</x:v>
      </x:c>
      <x:c r="E77" s="34" t="n">
        <x:v>74</x:v>
      </x:c>
      <x:c r="F77" s="34" t="str">
        <x:v>487</x:v>
      </x:c>
      <x:c r="G77" s="32" t="str">
        <x:v>Exact masked-cell training prompt for the same target identity. The evaluation scene and physical endpoint are identical to the paired transfer row.</x:v>
      </x:c>
      <x:c r="H77" s="32" t="str">
        <x:v>green pencil sharpener</x:v>
      </x:c>
      <x:c r="I77" s="32" t="str"/>
      <x:c r="J77" s="37" t="str">
        <x:v>Matched manipulation control</x:v>
      </x:c>
      <x:c r="K77" s="34" t="str">
        <x:v>RD-CT18</x:v>
      </x:c>
      <x:c r="L77" s="34" t="str">
        <x:v>direct name</x:v>
      </x:c>
      <x:c r="M77" s="34" t="str">
        <x:v>pencil sharpener</x:v>
      </x:c>
      <x:c r="N77" s="34" t="n">
        <x:v>4</x:v>
      </x:c>
      <x:c r="O77" s="34" t="n">
        <x:v>1</x:v>
      </x:c>
      <x:c r="P77" s="34" t="str">
        <x:v>Empty</x:v>
      </x:c>
      <x:c r="Q77" s="32" t="str">
        <x:v>Exact-scene direct-identity manipulation control</x:v>
      </x:c>
      <x:c r="R77" s="34" t="n">
        <x:v>3</x:v>
      </x:c>
      <x:c r="S77" s="32" t="str">
        <x:v>Reset the moved object exactly; preserve the scene; change only the instruction.</x:v>
      </x:c>
      <x:c r="T77" s="32" t="str">
        <x:v>Controls recognition and manipulation of the same target without requiring referential reasoning.</x:v>
      </x:c>
      <x:c r="U77" s="32" t="str"/>
    </x:row>
    <x:row r="78" ht="51" customHeight="1">
      <x:c r="A78" s="41" t="str">
        <x:v>Not collected</x:v>
      </x:c>
      <x:c r="B78" s="42" t="n">
        <x:v>76</x:v>
      </x:c>
      <x:c r="C78" s="41" t="str">
        <x:v>Pick up the airplane toy furthest from the green pen and place it in the bowl.</x:v>
      </x:c>
      <x:c r="D78" s="41" t="str">
        <x:v>Reference: green pen at table centre; airplane toy with propellers: 10 cm to robot-left of the reference; airplane toy without propellers: 24 cm to robot-right of the reference; red pencil sharpener: at the far robot-left corner, outside the distance comparison; Bowl: empty</x:v>
      </x:c>
      <x:c r="E78" s="42" t="str"/>
      <x:c r="F78" s="42" t="str">
        <x:v>569</x:v>
      </x:c>
      <x:c r="G78" s="41" t="str">
        <x:v>Masked source trajectory: the target identity and physical manipulation are trained under a direct-name prompt, while this relation × candidate-category composition is intentionally absent.</x:v>
      </x:c>
      <x:c r="H78" s="41" t="str">
        <x:v>airplane toy without propellers</x:v>
      </x:c>
      <x:c r="I78" s="41" t="str"/>
      <x:c r="J78" s="46" t="str">
        <x:v>Concept/compositional transfer</x:v>
      </x:c>
      <x:c r="K78" s="42" t="str">
        <x:v>RD-CT19</x:v>
      </x:c>
      <x:c r="L78" s="42" t="str">
        <x:v>furthest</x:v>
      </x:c>
      <x:c r="M78" s="42" t="str">
        <x:v>airplane toy</x:v>
      </x:c>
      <x:c r="N78" s="42" t="n">
        <x:v>4</x:v>
      </x:c>
      <x:c r="O78" s="42" t="n">
        <x:v>1</x:v>
      </x:c>
      <x:c r="P78" s="42" t="str">
        <x:v>Empty</x:v>
      </x:c>
      <x:c r="Q78" s="41" t="str">
        <x:v>Primary held-out relation × candidate-category composition — Pick up</x:v>
      </x:c>
      <x:c r="R78" s="42" t="n">
        <x:v>3</x:v>
      </x:c>
      <x:c r="S78" s="41" t="str">
        <x:v>Build the listed relation scene with the bowl empty.</x:v>
      </x:c>
      <x:c r="T78" s="41" t="str">
        <x:v>Both candidates are present. The held-out relation is the only information that identifies the target.</x:v>
      </x:c>
      <x:c r="U78" s="41" t="str"/>
    </x:row>
    <x:row r="79" ht="51" customHeight="1">
      <x:c r="A79" s="32" t="str">
        <x:v>Not collected</x:v>
      </x:c>
      <x:c r="B79" s="34" t="n">
        <x:v>77</x:v>
      </x:c>
      <x:c r="C79" s="32" t="str">
        <x:v>Put the airplane toy without propellers in the bowl.</x:v>
      </x:c>
      <x:c r="D79" s="32" t="str">
        <x:v>Reference: green pen at table centre; airplane toy with propellers: 10 cm to robot-left of the reference; airplane toy without propellers: 24 cm to robot-right of the reference; red pencil sharpener: at the far robot-left corner, outside the distance comparison; Bowl: empty</x:v>
      </x:c>
      <x:c r="E79" s="34" t="n">
        <x:v>76</x:v>
      </x:c>
      <x:c r="F79" s="34" t="str">
        <x:v>569</x:v>
      </x:c>
      <x:c r="G79" s="32" t="str">
        <x:v>Exact masked-cell training prompt for the same target identity. The evaluation scene and physical endpoint are identical to the paired transfer row.</x:v>
      </x:c>
      <x:c r="H79" s="32" t="str">
        <x:v>airplane toy without propellers</x:v>
      </x:c>
      <x:c r="I79" s="32" t="str"/>
      <x:c r="J79" s="37" t="str">
        <x:v>Matched manipulation control</x:v>
      </x:c>
      <x:c r="K79" s="34" t="str">
        <x:v>RD-CT19</x:v>
      </x:c>
      <x:c r="L79" s="34" t="str">
        <x:v>direct name</x:v>
      </x:c>
      <x:c r="M79" s="34" t="str">
        <x:v>airplane toy</x:v>
      </x:c>
      <x:c r="N79" s="34" t="n">
        <x:v>4</x:v>
      </x:c>
      <x:c r="O79" s="34" t="n">
        <x:v>1</x:v>
      </x:c>
      <x:c r="P79" s="34" t="str">
        <x:v>Empty</x:v>
      </x:c>
      <x:c r="Q79" s="32" t="str">
        <x:v>Exact-scene direct-identity manipulation control</x:v>
      </x:c>
      <x:c r="R79" s="34" t="n">
        <x:v>3</x:v>
      </x:c>
      <x:c r="S79" s="32" t="str">
        <x:v>Reset the moved object exactly; preserve the scene; change only the instruction.</x:v>
      </x:c>
      <x:c r="T79" s="32" t="str">
        <x:v>Controls recognition and manipulation of the same target without requiring referential reasoning.</x:v>
      </x:c>
      <x:c r="U79" s="32" t="str"/>
    </x:row>
    <x:row r="80" ht="51" customHeight="1">
      <x:c r="A80" s="41" t="str">
        <x:v>Not collected</x:v>
      </x:c>
      <x:c r="B80" s="42" t="n">
        <x:v>78</x:v>
      </x:c>
      <x:c r="C80" s="41" t="str">
        <x:v>Pick up the crushed soda can closest to the green pen and place it in the bowl.</x:v>
      </x:c>
      <x:c r="D80" s="41" t="str">
        <x:v>Reference: green pen at table centre; crushed Pepsi can: 10 cm to robot-left of the reference; crushed Coke can: 24 cm to robot-right of the reference; green pencil sharpener: at the far robot-left corner, outside the distance comparison; Bowl: empty</x:v>
      </x:c>
      <x:c r="E80" s="42" t="str"/>
      <x:c r="F80" s="42" t="str">
        <x:v>405</x:v>
      </x:c>
      <x:c r="G80" s="41" t="str">
        <x:v>Masked source trajectory: the target identity and physical manipulation are trained under a direct-name prompt, while this relation × candidate-category composition is intentionally absent.</x:v>
      </x:c>
      <x:c r="H80" s="41" t="str">
        <x:v>crushed Pepsi can</x:v>
      </x:c>
      <x:c r="I80" s="41" t="str"/>
      <x:c r="J80" s="46" t="str">
        <x:v>Concept/compositional transfer</x:v>
      </x:c>
      <x:c r="K80" s="42" t="str">
        <x:v>RD-CT20</x:v>
      </x:c>
      <x:c r="L80" s="42" t="str">
        <x:v>closest</x:v>
      </x:c>
      <x:c r="M80" s="42" t="str">
        <x:v>crushed soda can</x:v>
      </x:c>
      <x:c r="N80" s="42" t="n">
        <x:v>4</x:v>
      </x:c>
      <x:c r="O80" s="42" t="n">
        <x:v>1</x:v>
      </x:c>
      <x:c r="P80" s="42" t="str">
        <x:v>Empty</x:v>
      </x:c>
      <x:c r="Q80" s="41" t="str">
        <x:v>Primary held-out relation × candidate-category composition — Pick up</x:v>
      </x:c>
      <x:c r="R80" s="42" t="n">
        <x:v>3</x:v>
      </x:c>
      <x:c r="S80" s="41" t="str">
        <x:v>Build the listed relation scene with the bowl empty.</x:v>
      </x:c>
      <x:c r="T80" s="41" t="str">
        <x:v>Both candidates are present. The held-out relation is the only information that identifies the target.</x:v>
      </x:c>
      <x:c r="U80" s="41" t="str"/>
    </x:row>
    <x:row r="81" ht="51" customHeight="1">
      <x:c r="A81" s="32" t="str">
        <x:v>Not collected</x:v>
      </x:c>
      <x:c r="B81" s="34" t="n">
        <x:v>79</x:v>
      </x:c>
      <x:c r="C81" s="32" t="str">
        <x:v>Move the crushed Pepsi can into the bowl.</x:v>
      </x:c>
      <x:c r="D81" s="32" t="str">
        <x:v>Reference: green pen at table centre; crushed Pepsi can: 10 cm to robot-left of the reference; crushed Coke can: 24 cm to robot-right of the reference; green pencil sharpener: at the far robot-left corner, outside the distance comparison; Bowl: empty</x:v>
      </x:c>
      <x:c r="E81" s="34" t="n">
        <x:v>78</x:v>
      </x:c>
      <x:c r="F81" s="34" t="str">
        <x:v>405</x:v>
      </x:c>
      <x:c r="G81" s="32" t="str">
        <x:v>Exact masked-cell training prompt for the same target identity. The evaluation scene and physical endpoint are identical to the paired transfer row.</x:v>
      </x:c>
      <x:c r="H81" s="32" t="str">
        <x:v>crushed Pepsi can</x:v>
      </x:c>
      <x:c r="I81" s="32" t="str"/>
      <x:c r="J81" s="37" t="str">
        <x:v>Matched manipulation control</x:v>
      </x:c>
      <x:c r="K81" s="34" t="str">
        <x:v>RD-CT20</x:v>
      </x:c>
      <x:c r="L81" s="34" t="str">
        <x:v>direct name</x:v>
      </x:c>
      <x:c r="M81" s="34" t="str">
        <x:v>crushed soda can</x:v>
      </x:c>
      <x:c r="N81" s="34" t="n">
        <x:v>4</x:v>
      </x:c>
      <x:c r="O81" s="34" t="n">
        <x:v>1</x:v>
      </x:c>
      <x:c r="P81" s="34" t="str">
        <x:v>Empty</x:v>
      </x:c>
      <x:c r="Q81" s="32" t="str">
        <x:v>Exact-scene direct-identity manipulation control</x:v>
      </x:c>
      <x:c r="R81" s="34" t="n">
        <x:v>3</x:v>
      </x:c>
      <x:c r="S81" s="32" t="str">
        <x:v>Reset the moved object exactly; preserve the scene; change only the instruction.</x:v>
      </x:c>
      <x:c r="T81" s="32" t="str">
        <x:v>Controls recognition and manipulation of the same target without requiring referential reasoning.</x:v>
      </x:c>
      <x:c r="U81" s="32" t="str"/>
    </x:row>
    <x:row r="82" ht="51" customHeight="1">
      <x:c r="A82" s="41" t="str">
        <x:v>Not collected</x:v>
      </x:c>
      <x:c r="B82" s="42" t="n">
        <x:v>80</x:v>
      </x:c>
      <x:c r="C82" s="41" t="str">
        <x:v>Pick up the pencil sharpener between the green pen and the crushed Coke can and place it in the bowl.</x:v>
      </x:c>
      <x:c r="D82" s="41" t="str">
        <x:v>Reference A: green pen at 14 cm toward robot-left from table centre; Reference B: crushed Coke can at 14 cm away toward robot-right from table centre; red pencil sharpener: at table centre on the straight Reference A–B segment; green pencil sharpener: 12 cm toward robot-right from table centre, off the Reference A–B segment; Bowl: empty</x:v>
      </x:c>
      <x:c r="E82" s="42" t="str"/>
      <x:c r="F82" s="42" t="str">
        <x:v>484</x:v>
      </x:c>
      <x:c r="G82" s="41" t="str">
        <x:v>Masked source trajectory: the target identity and physical manipulation are trained under a direct-name prompt, while this relation × candidate-category composition is intentionally absent.</x:v>
      </x:c>
      <x:c r="H82" s="41" t="str">
        <x:v>red pencil sharpener</x:v>
      </x:c>
      <x:c r="I82" s="41" t="str"/>
      <x:c r="J82" s="46" t="str">
        <x:v>Concept/compositional transfer</x:v>
      </x:c>
      <x:c r="K82" s="42" t="str">
        <x:v>RD-CT21</x:v>
      </x:c>
      <x:c r="L82" s="42" t="str">
        <x:v>between</x:v>
      </x:c>
      <x:c r="M82" s="42" t="str">
        <x:v>pencil sharpener</x:v>
      </x:c>
      <x:c r="N82" s="42" t="n">
        <x:v>4</x:v>
      </x:c>
      <x:c r="O82" s="42" t="n">
        <x:v>1</x:v>
      </x:c>
      <x:c r="P82" s="42" t="str">
        <x:v>Empty</x:v>
      </x:c>
      <x:c r="Q82" s="41" t="str">
        <x:v>Primary held-out relation × candidate-category composition — Pick up</x:v>
      </x:c>
      <x:c r="R82" s="42" t="n">
        <x:v>4</x:v>
      </x:c>
      <x:c r="S82" s="41" t="str">
        <x:v>Build the listed relation scene with the bowl empty.</x:v>
      </x:c>
      <x:c r="T82" s="41" t="str">
        <x:v>Both candidates are present. The held-out relation is the only information that identifies the target.</x:v>
      </x:c>
      <x:c r="U82" s="41" t="str"/>
    </x:row>
    <x:row r="83" ht="51" customHeight="1">
      <x:c r="A83" s="44" t="str">
        <x:v>Not collected</x:v>
      </x:c>
      <x:c r="B83" s="45" t="n">
        <x:v>81</x:v>
      </x:c>
      <x:c r="C83" s="44" t="str">
        <x:v>Put the airplane toy furthest from the crushed Coke can in the bowl.</x:v>
      </x:c>
      <x:c r="D83" s="44" t="str">
        <x:v>Reference: crushed Coke can at table centre; airplane toy with propellers: 10 cm to robot-right of the reference; airplane toy without propellers: 24 cm to robot-left of the reference; green pencil sharpener: at the far robot-left corner, outside the distance comparison; Bowl: empty</x:v>
      </x:c>
      <x:c r="E83" s="45" t="str"/>
      <x:c r="F83" s="45" t="str">
        <x:v>571</x:v>
      </x:c>
      <x:c r="G83" s="44" t="str">
        <x:v>Masked source trajectory: the target identity and physical manipulation are trained under a direct-name prompt, while this relation × candidate-category composition is intentionally absent.</x:v>
      </x:c>
      <x:c r="H83" s="44" t="str">
        <x:v>airplane toy without propellers</x:v>
      </x:c>
      <x:c r="I83" s="44" t="str"/>
      <x:c r="J83" s="46" t="str">
        <x:v>Concept/compositional transfer</x:v>
      </x:c>
      <x:c r="K83" s="45" t="str">
        <x:v>RD-CT22</x:v>
      </x:c>
      <x:c r="L83" s="45" t="str">
        <x:v>furthest</x:v>
      </x:c>
      <x:c r="M83" s="45" t="str">
        <x:v>airplane toy</x:v>
      </x:c>
      <x:c r="N83" s="45" t="n">
        <x:v>4</x:v>
      </x:c>
      <x:c r="O83" s="45" t="n">
        <x:v>1</x:v>
      </x:c>
      <x:c r="P83" s="45" t="str">
        <x:v>Empty</x:v>
      </x:c>
      <x:c r="Q83" s="44" t="str">
        <x:v>Primary held-out relation × candidate-category composition — Put</x:v>
      </x:c>
      <x:c r="R83" s="45" t="n">
        <x:v>4</x:v>
      </x:c>
      <x:c r="S83" s="44" t="str">
        <x:v>Build the listed relation scene with the bowl empty.</x:v>
      </x:c>
      <x:c r="T83" s="44" t="str">
        <x:v>Both candidates are present. The held-out relation is the only information that identifies the target.</x:v>
      </x:c>
      <x:c r="U83" s="44" t="str"/>
    </x:row>
    <x:row r="84" ht="51" customHeight="1">
      <x:c r="A84" s="41" t="str">
        <x:v>Not collected</x:v>
      </x:c>
      <x:c r="B84" s="42" t="n">
        <x:v>82</x:v>
      </x:c>
      <x:c r="C84" s="41" t="str">
        <x:v>Put the crushed soda can closest to the airplane toy with propellers in the bowl.</x:v>
      </x:c>
      <x:c r="D84" s="41" t="str">
        <x:v>Reference: airplane toy with propellers at table centre; crushed Pepsi can: 10 cm to robot-right of the reference; crushed Coke can: 24 cm to robot-left of the reference; yellow pen: at the far robot-left corner, outside the distance comparison; Bowl: empty</x:v>
      </x:c>
      <x:c r="E84" s="42" t="str"/>
      <x:c r="F84" s="42" t="str">
        <x:v>407</x:v>
      </x:c>
      <x:c r="G84" s="41" t="str">
        <x:v>Masked source trajectory: the target identity and physical manipulation are trained under a direct-name prompt, while this relation × candidate-category composition is intentionally absent.</x:v>
      </x:c>
      <x:c r="H84" s="41" t="str">
        <x:v>crushed Pepsi can</x:v>
      </x:c>
      <x:c r="I84" s="41" t="str"/>
      <x:c r="J84" s="46" t="str">
        <x:v>Concept/compositional transfer</x:v>
      </x:c>
      <x:c r="K84" s="42" t="str">
        <x:v>RD-CT23</x:v>
      </x:c>
      <x:c r="L84" s="42" t="str">
        <x:v>closest</x:v>
      </x:c>
      <x:c r="M84" s="42" t="str">
        <x:v>crushed soda can</x:v>
      </x:c>
      <x:c r="N84" s="42" t="n">
        <x:v>4</x:v>
      </x:c>
      <x:c r="O84" s="42" t="n">
        <x:v>1</x:v>
      </x:c>
      <x:c r="P84" s="42" t="str">
        <x:v>Empty</x:v>
      </x:c>
      <x:c r="Q84" s="41" t="str">
        <x:v>Primary held-out relation × candidate-category composition — Put</x:v>
      </x:c>
      <x:c r="R84" s="42" t="n">
        <x:v>4</x:v>
      </x:c>
      <x:c r="S84" s="41" t="str">
        <x:v>Build the listed relation scene with the bowl empty.</x:v>
      </x:c>
      <x:c r="T84" s="41" t="str">
        <x:v>Both candidates are present. The held-out relation is the only information that identifies the target.</x:v>
      </x:c>
      <x:c r="U84" s="41" t="str"/>
    </x:row>
    <x:row r="85" ht="51" customHeight="1">
      <x:c r="A85" s="44" t="str">
        <x:v>Not collected</x:v>
      </x:c>
      <x:c r="B85" s="45" t="n">
        <x:v>83</x:v>
      </x:c>
      <x:c r="C85" s="44" t="str">
        <x:v>Put the pencil sharpener between the airplane toy with propellers and the yellow pen in the bowl.</x:v>
      </x:c>
      <x:c r="D85" s="44" t="str">
        <x:v>Reference A: airplane toy with propellers at 14 cm toward robot-right from table centre; Reference B: yellow pen at 14 cm away toward robot-left from table centre; red pencil sharpener: at table centre on the straight Reference A–B segment; green pencil sharpener: 12 cm toward robot-left from table centre, off the Reference A–B segment; Bowl: empty</x:v>
      </x:c>
      <x:c r="E85" s="45" t="str"/>
      <x:c r="F85" s="45" t="str">
        <x:v>486</x:v>
      </x:c>
      <x:c r="G85" s="44" t="str">
        <x:v>Masked source trajectory: the target identity and physical manipulation are trained under a direct-name prompt, while this relation × candidate-category composition is intentionally absent.</x:v>
      </x:c>
      <x:c r="H85" s="44" t="str">
        <x:v>red pencil sharpener</x:v>
      </x:c>
      <x:c r="I85" s="44" t="str"/>
      <x:c r="J85" s="46" t="str">
        <x:v>Concept/compositional transfer</x:v>
      </x:c>
      <x:c r="K85" s="45" t="str">
        <x:v>RD-CT24</x:v>
      </x:c>
      <x:c r="L85" s="45" t="str">
        <x:v>between</x:v>
      </x:c>
      <x:c r="M85" s="45" t="str">
        <x:v>pencil sharpener</x:v>
      </x:c>
      <x:c r="N85" s="45" t="n">
        <x:v>4</x:v>
      </x:c>
      <x:c r="O85" s="45" t="n">
        <x:v>1</x:v>
      </x:c>
      <x:c r="P85" s="45" t="str">
        <x:v>Empty</x:v>
      </x:c>
      <x:c r="Q85" s="44" t="str">
        <x:v>Primary held-out relation × candidate-category composition — Put</x:v>
      </x:c>
      <x:c r="R85" s="45" t="n">
        <x:v>4</x:v>
      </x:c>
      <x:c r="S85" s="44" t="str">
        <x:v>Build the listed relation scene with the bowl empty.</x:v>
      </x:c>
      <x:c r="T85" s="44" t="str">
        <x:v>Both candidates are present. The held-out relation is the only information that identifies the target.</x:v>
      </x:c>
      <x:c r="U85" s="44" t="str"/>
    </x:row>
    <x:row r="86" ht="51" customHeight="1">
      <x:c r="A86" s="41" t="str">
        <x:v>Not collected</x:v>
      </x:c>
      <x:c r="B86" s="42" t="n">
        <x:v>84</x:v>
      </x:c>
      <x:c r="C86" s="41" t="str">
        <x:v>Move the airplane toy furthest from the green pencil sharpener into the bowl.</x:v>
      </x:c>
      <x:c r="D86" s="41" t="str">
        <x:v>Reference: green pencil sharpener at table centre; airplane toy without propellers: 10 cm toward the robot from the reference; airplane toy with propellers: 24 cm away from the robot from the reference; yellow pen: at the far robot-left corner, outside the distance comparison; Bowl: empty</x:v>
      </x:c>
      <x:c r="E86" s="42" t="str"/>
      <x:c r="F86" s="42" t="str">
        <x:v>574</x:v>
      </x:c>
      <x:c r="G86" s="41" t="str">
        <x:v>Masked source trajectory: the target identity and physical manipulation are trained under a direct-name prompt, while this relation × candidate-category composition is intentionally absent.</x:v>
      </x:c>
      <x:c r="H86" s="41" t="str">
        <x:v>airplane toy with propellers</x:v>
      </x:c>
      <x:c r="I86" s="41" t="str"/>
      <x:c r="J86" s="46" t="str">
        <x:v>Concept/compositional transfer</x:v>
      </x:c>
      <x:c r="K86" s="42" t="str">
        <x:v>RD-CT25</x:v>
      </x:c>
      <x:c r="L86" s="42" t="str">
        <x:v>furthest</x:v>
      </x:c>
      <x:c r="M86" s="42" t="str">
        <x:v>airplane toy</x:v>
      </x:c>
      <x:c r="N86" s="42" t="n">
        <x:v>4</x:v>
      </x:c>
      <x:c r="O86" s="42" t="n">
        <x:v>1</x:v>
      </x:c>
      <x:c r="P86" s="42" t="str">
        <x:v>Empty</x:v>
      </x:c>
      <x:c r="Q86" s="41" t="str">
        <x:v>Primary held-out relation × candidate-category composition — Move</x:v>
      </x:c>
      <x:c r="R86" s="42" t="n">
        <x:v>4</x:v>
      </x:c>
      <x:c r="S86" s="41" t="str">
        <x:v>Build the listed relation scene with the bowl empty.</x:v>
      </x:c>
      <x:c r="T86" s="41" t="str">
        <x:v>Both candidates are present. The held-out relation is the only information that identifies the target.</x:v>
      </x:c>
      <x:c r="U86" s="41" t="str"/>
    </x:row>
    <x:row r="87" ht="51" customHeight="1">
      <x:c r="A87" s="44" t="str">
        <x:v>Not collected</x:v>
      </x:c>
      <x:c r="B87" s="45" t="n">
        <x:v>85</x:v>
      </x:c>
      <x:c r="C87" s="44" t="str">
        <x:v>Move the crushed soda can closest to the green pencil sharpener into the bowl.</x:v>
      </x:c>
      <x:c r="D87" s="44" t="str">
        <x:v>Reference: green pencil sharpener at table centre; crushed Coke can: 10 cm toward the robot from the reference; crushed Pepsi can: 24 cm away from the robot from the reference; green pen: at the far robot-left corner, outside the distance comparison; Bowl: empty</x:v>
      </x:c>
      <x:c r="E87" s="45" t="str"/>
      <x:c r="F87" s="45" t="str">
        <x:v>408</x:v>
      </x:c>
      <x:c r="G87" s="44" t="str">
        <x:v>Masked source trajectory: the target identity and physical manipulation are trained under a direct-name prompt, while this relation × candidate-category composition is intentionally absent.</x:v>
      </x:c>
      <x:c r="H87" s="44" t="str">
        <x:v>crushed Coke can</x:v>
      </x:c>
      <x:c r="I87" s="44" t="str"/>
      <x:c r="J87" s="46" t="str">
        <x:v>Concept/compositional transfer</x:v>
      </x:c>
      <x:c r="K87" s="45" t="str">
        <x:v>RD-CT26</x:v>
      </x:c>
      <x:c r="L87" s="45" t="str">
        <x:v>closest</x:v>
      </x:c>
      <x:c r="M87" s="45" t="str">
        <x:v>crushed soda can</x:v>
      </x:c>
      <x:c r="N87" s="45" t="n">
        <x:v>4</x:v>
      </x:c>
      <x:c r="O87" s="45" t="n">
        <x:v>1</x:v>
      </x:c>
      <x:c r="P87" s="45" t="str">
        <x:v>Empty</x:v>
      </x:c>
      <x:c r="Q87" s="44" t="str">
        <x:v>Primary held-out relation × candidate-category composition — Move</x:v>
      </x:c>
      <x:c r="R87" s="45" t="n">
        <x:v>4</x:v>
      </x:c>
      <x:c r="S87" s="44" t="str">
        <x:v>Build the listed relation scene with the bowl empty.</x:v>
      </x:c>
      <x:c r="T87" s="44" t="str">
        <x:v>Both candidates are present. The held-out relation is the only information that identifies the target.</x:v>
      </x:c>
      <x:c r="U87" s="44" t="str"/>
    </x:row>
    <x:row r="88" ht="51" customHeight="1">
      <x:c r="A88" s="41" t="str">
        <x:v>Not collected</x:v>
      </x:c>
      <x:c r="B88" s="42" t="n">
        <x:v>86</x:v>
      </x:c>
      <x:c r="C88" s="41" t="str">
        <x:v>Move the pencil sharpener between the crushed Pepsi can and the airplane toy without propellers into the bowl.</x:v>
      </x:c>
      <x:c r="D88" s="41" t="str">
        <x:v>Reference A: crushed Pepsi can at 14 cm to robot-left of table centre; Reference B: airplane toy without propellers at 14 cm to robot-right of table centre; green pencil sharpener: at table centre on the straight Reference A–B segment; red pencil sharpener: 12 cm toward the robot from table centre, off the Reference A–B segment; crushed Coke can: at the far robot-left corner, outside the distance comparison; Bowl: empty</x:v>
      </x:c>
      <x:c r="E88" s="42" t="str"/>
      <x:c r="F88" s="42" t="str">
        <x:v>489</x:v>
      </x:c>
      <x:c r="G88" s="41" t="str">
        <x:v>Masked source trajectory: the target identity and physical manipulation are trained under a direct-name prompt, while this relation × candidate-category composition is intentionally absent.</x:v>
      </x:c>
      <x:c r="H88" s="41" t="str">
        <x:v>green pencil sharpener</x:v>
      </x:c>
      <x:c r="I88" s="41" t="str"/>
      <x:c r="J88" s="46" t="str">
        <x:v>Concept/compositional transfer</x:v>
      </x:c>
      <x:c r="K88" s="42" t="str">
        <x:v>RD-CT27</x:v>
      </x:c>
      <x:c r="L88" s="42" t="str">
        <x:v>between</x:v>
      </x:c>
      <x:c r="M88" s="42" t="str">
        <x:v>pencil sharpener</x:v>
      </x:c>
      <x:c r="N88" s="42" t="n">
        <x:v>5</x:v>
      </x:c>
      <x:c r="O88" s="42" t="n">
        <x:v>1</x:v>
      </x:c>
      <x:c r="P88" s="42" t="str">
        <x:v>Empty</x:v>
      </x:c>
      <x:c r="Q88" s="41" t="str">
        <x:v>Primary held-out relation × candidate-category composition — Move</x:v>
      </x:c>
      <x:c r="R88" s="42" t="n">
        <x:v>4</x:v>
      </x:c>
      <x:c r="S88" s="41" t="str">
        <x:v>Build the listed relation scene with the bowl empty.</x:v>
      </x:c>
      <x:c r="T88" s="41" t="str">
        <x:v>Both candidates are present. The held-out relation is the only information that identifies the target.</x:v>
      </x:c>
      <x:c r="U88" s="41" t="str"/>
    </x:row>
    <x:row r="89" ht="51" customHeight="1">
      <x:c r="A89" s="44" t="str">
        <x:v>Not collected</x:v>
      </x:c>
      <x:c r="B89" s="45" t="n">
        <x:v>87</x:v>
      </x:c>
      <x:c r="C89" s="44" t="str">
        <x:v>Pick up the airplane toy furthest from the yellow pen and place it in the bowl.</x:v>
      </x:c>
      <x:c r="D89" s="44" t="str">
        <x:v>Reference: yellow pen at table centre; airplane toy without propellers: 10 cm away from the robot from the reference; airplane toy with propellers: 24 cm toward the robot from the reference; green pencil sharpener: at the far robot-left corner, outside the distance comparison; red pencil sharpener: at the far robot-right corner, outside the distance comparison; Bowl: empty</x:v>
      </x:c>
      <x:c r="E89" s="45" t="str"/>
      <x:c r="F89" s="45" t="str">
        <x:v>576</x:v>
      </x:c>
      <x:c r="G89" s="44" t="str">
        <x:v>Masked source trajectory: the target identity and physical manipulation are trained under a direct-name prompt, while this relation × candidate-category composition is intentionally absent.</x:v>
      </x:c>
      <x:c r="H89" s="44" t="str">
        <x:v>airplane toy with propellers</x:v>
      </x:c>
      <x:c r="I89" s="44" t="str"/>
      <x:c r="J89" s="46" t="str">
        <x:v>Concept/compositional transfer</x:v>
      </x:c>
      <x:c r="K89" s="45" t="str">
        <x:v>RD-CT28</x:v>
      </x:c>
      <x:c r="L89" s="45" t="str">
        <x:v>furthest</x:v>
      </x:c>
      <x:c r="M89" s="45" t="str">
        <x:v>airplane toy</x:v>
      </x:c>
      <x:c r="N89" s="45" t="n">
        <x:v>5</x:v>
      </x:c>
      <x:c r="O89" s="45" t="n">
        <x:v>1</x:v>
      </x:c>
      <x:c r="P89" s="45" t="str">
        <x:v>Empty</x:v>
      </x:c>
      <x:c r="Q89" s="44" t="str">
        <x:v>Primary held-out relation × candidate-category composition — Pick up</x:v>
      </x:c>
      <x:c r="R89" s="45" t="n">
        <x:v>4</x:v>
      </x:c>
      <x:c r="S89" s="44" t="str">
        <x:v>Build the listed relation scene with the bowl empty.</x:v>
      </x:c>
      <x:c r="T89" s="44" t="str">
        <x:v>Both candidates are present. The held-out relation is the only information that identifies the target.</x:v>
      </x:c>
      <x:c r="U89" s="44" t="str"/>
    </x:row>
    <x:row r="90" ht="51" customHeight="1">
      <x:c r="A90" s="41" t="str">
        <x:v>Not collected</x:v>
      </x:c>
      <x:c r="B90" s="42" t="n">
        <x:v>88</x:v>
      </x:c>
      <x:c r="C90" s="41" t="str">
        <x:v>Pick up the crushed soda can closest to the yellow pen and place it in the bowl.</x:v>
      </x:c>
      <x:c r="D90" s="41" t="str">
        <x:v>Reference: yellow pen at table centre; crushed Coke can: 10 cm away from the robot from the reference; crushed Pepsi can: 24 cm toward the robot from the reference; airplane toy without propellers: at the far robot-left corner, outside the distance comparison; green pencil sharpener: at the far robot-right corner, outside the distance comparison; Bowl: empty</x:v>
      </x:c>
      <x:c r="E90" s="42" t="str"/>
      <x:c r="F90" s="42" t="str">
        <x:v>410</x:v>
      </x:c>
      <x:c r="G90" s="41" t="str">
        <x:v>Masked source trajectory: the target identity and physical manipulation are trained under a direct-name prompt, while this relation × candidate-category composition is intentionally absent.</x:v>
      </x:c>
      <x:c r="H90" s="41" t="str">
        <x:v>crushed Coke can</x:v>
      </x:c>
      <x:c r="I90" s="41" t="str"/>
      <x:c r="J90" s="46" t="str">
        <x:v>Concept/compositional transfer</x:v>
      </x:c>
      <x:c r="K90" s="42" t="str">
        <x:v>RD-CT29</x:v>
      </x:c>
      <x:c r="L90" s="42" t="str">
        <x:v>closest</x:v>
      </x:c>
      <x:c r="M90" s="42" t="str">
        <x:v>crushed soda can</x:v>
      </x:c>
      <x:c r="N90" s="42" t="n">
        <x:v>5</x:v>
      </x:c>
      <x:c r="O90" s="42" t="n">
        <x:v>1</x:v>
      </x:c>
      <x:c r="P90" s="42" t="str">
        <x:v>Empty</x:v>
      </x:c>
      <x:c r="Q90" s="41" t="str">
        <x:v>Primary held-out relation × candidate-category composition — Pick up</x:v>
      </x:c>
      <x:c r="R90" s="42" t="n">
        <x:v>4</x:v>
      </x:c>
      <x:c r="S90" s="41" t="str">
        <x:v>Build the listed relation scene with the bowl empty.</x:v>
      </x:c>
      <x:c r="T90" s="41" t="str">
        <x:v>Both candidates are present. The held-out relation is the only information that identifies the target.</x:v>
      </x:c>
      <x:c r="U90" s="41" t="str"/>
    </x:row>
    <x:row r="91" ht="51" customHeight="1">
      <x:c r="A91" s="44" t="str">
        <x:v>Not collected</x:v>
      </x:c>
      <x:c r="B91" s="45" t="n">
        <x:v>89</x:v>
      </x:c>
      <x:c r="C91" s="44" t="str">
        <x:v>Pick up the pencil sharpener between the green pen and the crushed Coke can and place it in the bowl.</x:v>
      </x:c>
      <x:c r="D91" s="44" t="str">
        <x:v>Reference A: green pen at 14 cm toward the robot from table centre; Reference B: crushed Coke can at 14 cm away from the robot from table centre; green pencil sharpener: at table centre on the straight Reference A–B segment; red pencil sharpener: 12 cm to robot-right of table centre, off the Reference A–B segment; airplane toy without propellers: at the far robot-left corner, outside the distance comparison; Bowl: empty</x:v>
      </x:c>
      <x:c r="E91" s="45" t="str"/>
      <x:c r="F91" s="45" t="str">
        <x:v>490</x:v>
      </x:c>
      <x:c r="G91" s="44" t="str">
        <x:v>Masked source trajectory: the target identity and physical manipulation are trained under a direct-name prompt, while this relation × candidate-category composition is intentionally absent.</x:v>
      </x:c>
      <x:c r="H91" s="44" t="str">
        <x:v>green pencil sharpener</x:v>
      </x:c>
      <x:c r="I91" s="44" t="str"/>
      <x:c r="J91" s="46" t="str">
        <x:v>Concept/compositional transfer</x:v>
      </x:c>
      <x:c r="K91" s="45" t="str">
        <x:v>RD-CT30</x:v>
      </x:c>
      <x:c r="L91" s="45" t="str">
        <x:v>between</x:v>
      </x:c>
      <x:c r="M91" s="45" t="str">
        <x:v>pencil sharpener</x:v>
      </x:c>
      <x:c r="N91" s="45" t="n">
        <x:v>5</x:v>
      </x:c>
      <x:c r="O91" s="45" t="n">
        <x:v>1</x:v>
      </x:c>
      <x:c r="P91" s="45" t="str">
        <x:v>Empty</x:v>
      </x:c>
      <x:c r="Q91" s="44" t="str">
        <x:v>Primary held-out relation × candidate-category composition — Pick up</x:v>
      </x:c>
      <x:c r="R91" s="45" t="n">
        <x:v>4</x:v>
      </x:c>
      <x:c r="S91" s="44" t="str">
        <x:v>Build the listed relation scene with the bowl empty.</x:v>
      </x:c>
      <x:c r="T91" s="44" t="str">
        <x:v>Both candidates are present. The held-out relation is the only information that identifies the target.</x:v>
      </x:c>
      <x:c r="U91" s="44" t="str"/>
    </x:row>
    <x:row r="92" ht="51" customHeight="1">
      <x:c r="A92" s="41" t="str">
        <x:v>Not collected</x:v>
      </x:c>
      <x:c r="B92" s="42" t="n">
        <x:v>90</x:v>
      </x:c>
      <x:c r="C92" s="41" t="str">
        <x:v>Put the airplane toy furthest from the crushed Pepsi can in the bowl.</x:v>
      </x:c>
      <x:c r="D92" s="41" t="str">
        <x:v>Reference: crushed Pepsi can at table centre; airplane toy with propellers: 10 cm toward robot-left from the reference; airplane toy without propellers: 24 cm away toward robot-right from the reference; crushed Coke can: at the far robot-left corner, outside the distance comparison; green pencil sharpener: at the far robot-right corner, outside the distance comparison; Bowl: empty</x:v>
      </x:c>
      <x:c r="E92" s="42" t="str"/>
      <x:c r="F92" s="42" t="str">
        <x:v>573</x:v>
      </x:c>
      <x:c r="G92" s="41" t="str">
        <x:v>Masked source trajectory: the target identity and physical manipulation are trained under a direct-name prompt, while this relation × candidate-category composition is intentionally absent.</x:v>
      </x:c>
      <x:c r="H92" s="41" t="str">
        <x:v>airplane toy without propellers</x:v>
      </x:c>
      <x:c r="I92" s="41" t="str"/>
      <x:c r="J92" s="46" t="str">
        <x:v>Concept/compositional transfer</x:v>
      </x:c>
      <x:c r="K92" s="42" t="str">
        <x:v>RD-CT31</x:v>
      </x:c>
      <x:c r="L92" s="42" t="str">
        <x:v>furthest</x:v>
      </x:c>
      <x:c r="M92" s="42" t="str">
        <x:v>airplane toy</x:v>
      </x:c>
      <x:c r="N92" s="42" t="n">
        <x:v>5</x:v>
      </x:c>
      <x:c r="O92" s="42" t="n">
        <x:v>1</x:v>
      </x:c>
      <x:c r="P92" s="42" t="str">
        <x:v>Empty</x:v>
      </x:c>
      <x:c r="Q92" s="41" t="str">
        <x:v>Primary held-out relation × candidate-category composition — Put</x:v>
      </x:c>
      <x:c r="R92" s="42" t="n">
        <x:v>4</x:v>
      </x:c>
      <x:c r="S92" s="41" t="str">
        <x:v>Build the listed relation scene with the bowl empty.</x:v>
      </x:c>
      <x:c r="T92" s="41" t="str">
        <x:v>Both candidates are present. The held-out relation is the only information that identifies the target.</x:v>
      </x:c>
      <x:c r="U92" s="41" t="str"/>
    </x:row>
    <x:row r="93" ht="51" customHeight="1">
      <x:c r="A93" s="44" t="str">
        <x:v>Not collected</x:v>
      </x:c>
      <x:c r="B93" s="45" t="n">
        <x:v>91</x:v>
      </x:c>
      <x:c r="C93" s="44" t="str">
        <x:v>Put the crushed soda can closest to the airplane toy without propellers in the bowl.</x:v>
      </x:c>
      <x:c r="D93" s="44" t="str">
        <x:v>Reference: airplane toy without propellers at table centre; crushed Pepsi can: 10 cm toward robot-left from the reference; crushed Coke can: 24 cm away toward robot-right from the reference; green pen: at the far robot-left corner, outside the distance comparison; yellow pen: at the far robot-right corner, outside the distance comparison; Bowl: empty</x:v>
      </x:c>
      <x:c r="E93" s="45" t="str"/>
      <x:c r="F93" s="45" t="str">
        <x:v>409</x:v>
      </x:c>
      <x:c r="G93" s="44" t="str">
        <x:v>Masked source trajectory: the target identity and physical manipulation are trained under a direct-name prompt, while this relation × candidate-category composition is intentionally absent.</x:v>
      </x:c>
      <x:c r="H93" s="44" t="str">
        <x:v>crushed Pepsi can</x:v>
      </x:c>
      <x:c r="I93" s="44" t="str"/>
      <x:c r="J93" s="46" t="str">
        <x:v>Concept/compositional transfer</x:v>
      </x:c>
      <x:c r="K93" s="45" t="str">
        <x:v>RD-CT32</x:v>
      </x:c>
      <x:c r="L93" s="45" t="str">
        <x:v>closest</x:v>
      </x:c>
      <x:c r="M93" s="45" t="str">
        <x:v>crushed soda can</x:v>
      </x:c>
      <x:c r="N93" s="45" t="n">
        <x:v>5</x:v>
      </x:c>
      <x:c r="O93" s="45" t="n">
        <x:v>1</x:v>
      </x:c>
      <x:c r="P93" s="45" t="str">
        <x:v>Empty</x:v>
      </x:c>
      <x:c r="Q93" s="44" t="str">
        <x:v>Primary held-out relation × candidate-category composition — Put</x:v>
      </x:c>
      <x:c r="R93" s="45" t="n">
        <x:v>4</x:v>
      </x:c>
      <x:c r="S93" s="44" t="str">
        <x:v>Build the listed relation scene with the bowl empty.</x:v>
      </x:c>
      <x:c r="T93" s="44" t="str">
        <x:v>Both candidates are present. The held-out relation is the only information that identifies the target.</x:v>
      </x:c>
      <x:c r="U93" s="44" t="str"/>
    </x:row>
    <x:row r="94" ht="51" customHeight="1">
      <x:c r="A94" s="41" t="str">
        <x:v>Not collected</x:v>
      </x:c>
      <x:c r="B94" s="42" t="n">
        <x:v>92</x:v>
      </x:c>
      <x:c r="C94" s="41" t="str">
        <x:v>Put the pencil sharpener between the airplane toy with propellers and the yellow pen in the bowl.</x:v>
      </x:c>
      <x:c r="D94" s="41" t="str">
        <x:v>Reference A: airplane toy with propellers at 14 cm toward robot-left from table centre; Reference B: yellow pen at 14 cm away toward robot-right from table centre; red pencil sharpener: at table centre on the straight Reference A–B segment; green pencil sharpener: 12 cm toward robot-right from table centre, off the Reference A–B segment; green pen: at the far robot-left corner, outside the distance comparison; Bowl: empty</x:v>
      </x:c>
      <x:c r="E94" s="42" t="str"/>
      <x:c r="F94" s="42" t="str">
        <x:v>488</x:v>
      </x:c>
      <x:c r="G94" s="41" t="str">
        <x:v>Masked source trajectory: the target identity and physical manipulation are trained under a direct-name prompt, while this relation × candidate-category composition is intentionally absent.</x:v>
      </x:c>
      <x:c r="H94" s="41" t="str">
        <x:v>red pencil sharpener</x:v>
      </x:c>
      <x:c r="I94" s="41" t="str"/>
      <x:c r="J94" s="46" t="str">
        <x:v>Concept/compositional transfer</x:v>
      </x:c>
      <x:c r="K94" s="42" t="str">
        <x:v>RD-CT33</x:v>
      </x:c>
      <x:c r="L94" s="42" t="str">
        <x:v>between</x:v>
      </x:c>
      <x:c r="M94" s="42" t="str">
        <x:v>pencil sharpener</x:v>
      </x:c>
      <x:c r="N94" s="42" t="n">
        <x:v>5</x:v>
      </x:c>
      <x:c r="O94" s="42" t="n">
        <x:v>1</x:v>
      </x:c>
      <x:c r="P94" s="42" t="str">
        <x:v>Empty</x:v>
      </x:c>
      <x:c r="Q94" s="41" t="str">
        <x:v>Primary held-out relation × candidate-category composition — Put</x:v>
      </x:c>
      <x:c r="R94" s="42" t="n">
        <x:v>4</x:v>
      </x:c>
      <x:c r="S94" s="41" t="str">
        <x:v>Build the listed relation scene with the bowl empty.</x:v>
      </x:c>
      <x:c r="T94" s="41" t="str">
        <x:v>Both candidates are present. The held-out relation is the only information that identifies the target.</x:v>
      </x:c>
      <x:c r="U94" s="41" t="str"/>
    </x:row>
    <x:row r="95" ht="51" customHeight="1">
      <x:c r="A95" s="44" t="str">
        <x:v>Not collected</x:v>
      </x:c>
      <x:c r="B95" s="45" t="n">
        <x:v>93</x:v>
      </x:c>
      <x:c r="C95" s="44" t="str">
        <x:v>Move the airplane toy furthest from the red pencil sharpener into the bowl.</x:v>
      </x:c>
      <x:c r="D95" s="44" t="str">
        <x:v>Reference: red pencil sharpener at table centre; airplane toy with propellers: 10 cm toward robot-right from the reference; airplane toy without propellers: 24 cm away toward robot-left from the reference; green pen: at the far robot-left corner, outside the distance comparison; yellow pen: at the far robot-right corner, outside the distance comparison; Bowl: empty</x:v>
      </x:c>
      <x:c r="E95" s="45" t="str"/>
      <x:c r="F95" s="45" t="str">
        <x:v>575</x:v>
      </x:c>
      <x:c r="G95" s="44" t="str">
        <x:v>Masked source trajectory: the target identity and physical manipulation are trained under a direct-name prompt, while this relation × candidate-category composition is intentionally absent.</x:v>
      </x:c>
      <x:c r="H95" s="44" t="str">
        <x:v>airplane toy without propellers</x:v>
      </x:c>
      <x:c r="I95" s="44" t="str"/>
      <x:c r="J95" s="46" t="str">
        <x:v>Concept/compositional transfer</x:v>
      </x:c>
      <x:c r="K95" s="45" t="str">
        <x:v>RD-CT34</x:v>
      </x:c>
      <x:c r="L95" s="45" t="str">
        <x:v>furthest</x:v>
      </x:c>
      <x:c r="M95" s="45" t="str">
        <x:v>airplane toy</x:v>
      </x:c>
      <x:c r="N95" s="45" t="n">
        <x:v>5</x:v>
      </x:c>
      <x:c r="O95" s="45" t="n">
        <x:v>1</x:v>
      </x:c>
      <x:c r="P95" s="45" t="str">
        <x:v>Empty</x:v>
      </x:c>
      <x:c r="Q95" s="44" t="str">
        <x:v>Primary held-out relation × candidate-category composition — Move</x:v>
      </x:c>
      <x:c r="R95" s="45" t="n">
        <x:v>4</x:v>
      </x:c>
      <x:c r="S95" s="44" t="str">
        <x:v>Build the listed relation scene with the bowl empty.</x:v>
      </x:c>
      <x:c r="T95" s="44" t="str">
        <x:v>Both candidates are present. The held-out relation is the only information that identifies the target.</x:v>
      </x:c>
      <x:c r="U95" s="44" t="str"/>
    </x:row>
    <x:row r="96" ht="51" customHeight="1">
      <x:c r="A96" s="41" t="str">
        <x:v>Not collected</x:v>
      </x:c>
      <x:c r="B96" s="42" t="n">
        <x:v>94</x:v>
      </x:c>
      <x:c r="C96" s="41" t="str">
        <x:v>Move the crushed soda can closest to the red pencil sharpener into the bowl.</x:v>
      </x:c>
      <x:c r="D96" s="41" t="str">
        <x:v>Reference: red pencil sharpener at table centre; crushed Pepsi can: 10 cm toward robot-right from the reference; crushed Coke can: 24 cm away toward robot-left from the reference; green pencil sharpener: at the far robot-left corner, outside the distance comparison; green pen: at the far robot-right corner, outside the distance comparison; Bowl: empty</x:v>
      </x:c>
      <x:c r="E96" s="42" t="str"/>
      <x:c r="F96" s="42" t="str">
        <x:v>411</x:v>
      </x:c>
      <x:c r="G96" s="41" t="str">
        <x:v>Masked source trajectory: the target identity and physical manipulation are trained under a direct-name prompt, while this relation × candidate-category composition is intentionally absent.</x:v>
      </x:c>
      <x:c r="H96" s="41" t="str">
        <x:v>crushed Pepsi can</x:v>
      </x:c>
      <x:c r="I96" s="41" t="str"/>
      <x:c r="J96" s="46" t="str">
        <x:v>Concept/compositional transfer</x:v>
      </x:c>
      <x:c r="K96" s="42" t="str">
        <x:v>RD-CT35</x:v>
      </x:c>
      <x:c r="L96" s="42" t="str">
        <x:v>closest</x:v>
      </x:c>
      <x:c r="M96" s="42" t="str">
        <x:v>crushed soda can</x:v>
      </x:c>
      <x:c r="N96" s="42" t="n">
        <x:v>5</x:v>
      </x:c>
      <x:c r="O96" s="42" t="n">
        <x:v>1</x:v>
      </x:c>
      <x:c r="P96" s="42" t="str">
        <x:v>Empty</x:v>
      </x:c>
      <x:c r="Q96" s="41" t="str">
        <x:v>Primary held-out relation × candidate-category composition — Move</x:v>
      </x:c>
      <x:c r="R96" s="42" t="n">
        <x:v>4</x:v>
      </x:c>
      <x:c r="S96" s="41" t="str">
        <x:v>Build the listed relation scene with the bowl empty.</x:v>
      </x:c>
      <x:c r="T96" s="41" t="str">
        <x:v>Both candidates are present. The held-out relation is the only information that identifies the target.</x:v>
      </x:c>
      <x:c r="U96" s="41" t="str"/>
    </x:row>
    <x:row r="97" ht="51" customHeight="1">
      <x:c r="A97" s="44" t="str">
        <x:v>Not collected</x:v>
      </x:c>
      <x:c r="B97" s="45" t="n">
        <x:v>95</x:v>
      </x:c>
      <x:c r="C97" s="44" t="str">
        <x:v>Move the pencil sharpener between the crushed Pepsi can and the airplane toy without propellers into the bowl.</x:v>
      </x:c>
      <x:c r="D97" s="44" t="str">
        <x:v>Reference A: crushed Pepsi can at 14 cm toward robot-right from table centre; Reference B: airplane toy without propellers at 14 cm away toward robot-left from table centre; red pencil sharpener: at table centre on the straight Reference A–B segment; green pencil sharpener: 12 cm toward robot-left from table centre, off the Reference A–B segment; green pen: at the far robot-left corner, outside the distance comparison; Bowl: empty</x:v>
      </x:c>
      <x:c r="E97" s="45" t="str"/>
      <x:c r="F97" s="45" t="str">
        <x:v>491</x:v>
      </x:c>
      <x:c r="G97" s="44" t="str">
        <x:v>Masked source trajectory: the target identity and physical manipulation are trained under a direct-name prompt, while this relation × candidate-category composition is intentionally absent.</x:v>
      </x:c>
      <x:c r="H97" s="44" t="str">
        <x:v>red pencil sharpener</x:v>
      </x:c>
      <x:c r="I97" s="44" t="str"/>
      <x:c r="J97" s="46" t="str">
        <x:v>Concept/compositional transfer</x:v>
      </x:c>
      <x:c r="K97" s="45" t="str">
        <x:v>RD-CT36</x:v>
      </x:c>
      <x:c r="L97" s="45" t="str">
        <x:v>between</x:v>
      </x:c>
      <x:c r="M97" s="45" t="str">
        <x:v>pencil sharpener</x:v>
      </x:c>
      <x:c r="N97" s="45" t="n">
        <x:v>5</x:v>
      </x:c>
      <x:c r="O97" s="45" t="n">
        <x:v>1</x:v>
      </x:c>
      <x:c r="P97" s="45" t="str">
        <x:v>Empty</x:v>
      </x:c>
      <x:c r="Q97" s="44" t="str">
        <x:v>Primary held-out relation × candidate-category composition — Move</x:v>
      </x:c>
      <x:c r="R97" s="45" t="n">
        <x:v>4</x:v>
      </x:c>
      <x:c r="S97" s="44" t="str">
        <x:v>Build the listed relation scene with the bowl empty.</x:v>
      </x:c>
      <x:c r="T97" s="44" t="str">
        <x:v>Both candidates are present. The held-out relation is the only information that identifies the target.</x:v>
      </x:c>
      <x:c r="U97" s="44" t="str"/>
    </x:row>
    <x:row r="98" ht="51" customHeight="1">
      <x:c r="A98" s="41" t="str">
        <x:v>Not collected</x:v>
      </x:c>
      <x:c r="B98" s="42" t="n">
        <x:v>96</x:v>
      </x:c>
      <x:c r="C98" s="41" t="str">
        <x:v>Pick up the airplane toy furthest from the green pen and place it in the bowl.</x:v>
      </x:c>
      <x:c r="D98" s="41" t="str">
        <x:v>Reference: green pen at table centre; airplane toy without propellers: 10 cm to robot-left of the reference; airplane toy with propellers: 24 cm to robot-right of the reference; crushed Pepsi can: at the far robot-left corner, outside the distance comparison; green pencil sharpener: at the far robot-right corner, outside the distance comparison; Bowl: empty</x:v>
      </x:c>
      <x:c r="E98" s="42" t="str"/>
      <x:c r="F98" s="42" t="str">
        <x:v>578</x:v>
      </x:c>
      <x:c r="G98" s="41" t="str">
        <x:v>Masked source trajectory: the target identity and physical manipulation are trained under a direct-name prompt, while this relation × candidate-category composition is intentionally absent.</x:v>
      </x:c>
      <x:c r="H98" s="41" t="str">
        <x:v>airplane toy with propellers</x:v>
      </x:c>
      <x:c r="I98" s="41" t="str"/>
      <x:c r="J98" s="46" t="str">
        <x:v>Concept/compositional transfer</x:v>
      </x:c>
      <x:c r="K98" s="42" t="str">
        <x:v>RD-CT37</x:v>
      </x:c>
      <x:c r="L98" s="42" t="str">
        <x:v>furthest</x:v>
      </x:c>
      <x:c r="M98" s="42" t="str">
        <x:v>airplane toy</x:v>
      </x:c>
      <x:c r="N98" s="42" t="n">
        <x:v>5</x:v>
      </x:c>
      <x:c r="O98" s="42" t="n">
        <x:v>1</x:v>
      </x:c>
      <x:c r="P98" s="42" t="str">
        <x:v>Empty</x:v>
      </x:c>
      <x:c r="Q98" s="41" t="str">
        <x:v>Primary held-out relation × candidate-category composition — Pick up</x:v>
      </x:c>
      <x:c r="R98" s="42" t="n">
        <x:v>4</x:v>
      </x:c>
      <x:c r="S98" s="41" t="str">
        <x:v>Build the listed relation scene with the bowl empty.</x:v>
      </x:c>
      <x:c r="T98" s="41" t="str">
        <x:v>Both candidates are present. The held-out relation is the only information that identifies the target.</x:v>
      </x:c>
      <x:c r="U98" s="41" t="str"/>
    </x:row>
    <x:row r="99" ht="51" customHeight="1">
      <x:c r="A99" s="44" t="str">
        <x:v>Not collected</x:v>
      </x:c>
      <x:c r="B99" s="45" t="n">
        <x:v>97</x:v>
      </x:c>
      <x:c r="C99" s="44" t="str">
        <x:v>Pick up the crushed soda can closest to the green pen and place it in the bowl.</x:v>
      </x:c>
      <x:c r="D99" s="44" t="str">
        <x:v>Reference: green pen at table centre; crushed Coke can: 10 cm to robot-left of the reference; crushed Pepsi can: 24 cm to robot-right of the reference; airplane toy with propellers: at the far robot-left corner, outside the distance comparison; airplane toy without propellers: at the far robot-right corner, outside the distance comparison; Bowl: empty</x:v>
      </x:c>
      <x:c r="E99" s="45" t="str"/>
      <x:c r="F99" s="45" t="str">
        <x:v>412</x:v>
      </x:c>
      <x:c r="G99" s="44" t="str">
        <x:v>Masked source trajectory: the target identity and physical manipulation are trained under a direct-name prompt, while this relation × candidate-category composition is intentionally absent.</x:v>
      </x:c>
      <x:c r="H99" s="44" t="str">
        <x:v>crushed Coke can</x:v>
      </x:c>
      <x:c r="I99" s="44" t="str"/>
      <x:c r="J99" s="46" t="str">
        <x:v>Concept/compositional transfer</x:v>
      </x:c>
      <x:c r="K99" s="45" t="str">
        <x:v>RD-CT38</x:v>
      </x:c>
      <x:c r="L99" s="45" t="str">
        <x:v>closest</x:v>
      </x:c>
      <x:c r="M99" s="45" t="str">
        <x:v>crushed soda can</x:v>
      </x:c>
      <x:c r="N99" s="45" t="n">
        <x:v>5</x:v>
      </x:c>
      <x:c r="O99" s="45" t="n">
        <x:v>1</x:v>
      </x:c>
      <x:c r="P99" s="45" t="str">
        <x:v>Empty</x:v>
      </x:c>
      <x:c r="Q99" s="44" t="str">
        <x:v>Primary held-out relation × candidate-category composition — Pick up</x:v>
      </x:c>
      <x:c r="R99" s="45" t="n">
        <x:v>4</x:v>
      </x:c>
      <x:c r="S99" s="44" t="str">
        <x:v>Build the listed relation scene with the bowl empty.</x:v>
      </x:c>
      <x:c r="T99" s="44" t="str">
        <x:v>Both candidates are present. The held-out relation is the only information that identifies the target.</x:v>
      </x:c>
      <x:c r="U99" s="44" t="str"/>
    </x:row>
    <x:row r="100" ht="51" customHeight="1">
      <x:c r="A100" s="41" t="str">
        <x:v>Not collected</x:v>
      </x:c>
      <x:c r="B100" s="42" t="n">
        <x:v>98</x:v>
      </x:c>
      <x:c r="C100" s="41" t="str">
        <x:v>Pick up the pencil sharpener between the green pen and the crushed Coke can and place it in the bowl.</x:v>
      </x:c>
      <x:c r="D100" s="41" t="str">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crushed Pepsi can: at the far robot-left corner, outside the distance comparison; Bowl: empty</x:v>
      </x:c>
      <x:c r="E100" s="42" t="str"/>
      <x:c r="F100" s="42" t="str">
        <x:v>492</x:v>
      </x:c>
      <x:c r="G100" s="41" t="str">
        <x:v>Masked source trajectory: the target identity and physical manipulation are trained under a direct-name prompt, while this relation × candidate-category composition is intentionally absent.</x:v>
      </x:c>
      <x:c r="H100" s="41" t="str">
        <x:v>green pencil sharpener</x:v>
      </x:c>
      <x:c r="I100" s="41" t="str"/>
      <x:c r="J100" s="46" t="str">
        <x:v>Concept/compositional transfer</x:v>
      </x:c>
      <x:c r="K100" s="42" t="str">
        <x:v>RD-CT39</x:v>
      </x:c>
      <x:c r="L100" s="42" t="str">
        <x:v>between</x:v>
      </x:c>
      <x:c r="M100" s="42" t="str">
        <x:v>pencil sharpener</x:v>
      </x:c>
      <x:c r="N100" s="42" t="n">
        <x:v>5</x:v>
      </x:c>
      <x:c r="O100" s="42" t="n">
        <x:v>1</x:v>
      </x:c>
      <x:c r="P100" s="42" t="str">
        <x:v>Empty</x:v>
      </x:c>
      <x:c r="Q100" s="41" t="str">
        <x:v>Primary held-out relation × candidate-category composition — Pick up</x:v>
      </x:c>
      <x:c r="R100" s="42" t="n">
        <x:v>4</x:v>
      </x:c>
      <x:c r="S100" s="41" t="str">
        <x:v>Build the listed relation scene with the bowl empty.</x:v>
      </x:c>
      <x:c r="T100" s="41" t="str">
        <x:v>Both candidates are present. The held-out relation is the only information that identifies the target.</x:v>
      </x:c>
      <x:c r="U100" s="41" t="str"/>
    </x:row>
    <x:row r="101" ht="51" customHeight="1">
      <x:c r="A101" s="44" t="str">
        <x:v>Not collected</x:v>
      </x:c>
      <x:c r="B101" s="45" t="n">
        <x:v>99</x:v>
      </x:c>
      <x:c r="C101" s="44" t="str">
        <x:v>Put the airplane toy furthest from the crushed Coke can in the bowl.</x:v>
      </x:c>
      <x:c r="D101" s="44" t="str">
        <x:v>Reference: crushed Coke can at table centre; airplane toy without propellers: 10 cm to robot-right of the reference; airplane toy with propellers: 24 cm to robot-left of the reference; yellow pen: at the far robot-left corner, outside the distance comparison; crushed Pepsi can: at the far robot-right corner, outside the distance comparison; Bowl: empty</x:v>
      </x:c>
      <x:c r="E101" s="45" t="str"/>
      <x:c r="F101" s="45" t="str">
        <x:v>566</x:v>
      </x:c>
      <x:c r="G101" s="44" t="str">
        <x:v>Masked source trajectory: the target identity and physical manipulation are trained under a direct-name prompt, while this relation × candidate-category composition is intentionally absent.</x:v>
      </x:c>
      <x:c r="H101" s="44" t="str">
        <x:v>airplane toy with propellers</x:v>
      </x:c>
      <x:c r="I101" s="44" t="str"/>
      <x:c r="J101" s="46" t="str">
        <x:v>Concept/compositional transfer</x:v>
      </x:c>
      <x:c r="K101" s="45" t="str">
        <x:v>RD-CT40</x:v>
      </x:c>
      <x:c r="L101" s="45" t="str">
        <x:v>furthest</x:v>
      </x:c>
      <x:c r="M101" s="45" t="str">
        <x:v>airplane toy</x:v>
      </x:c>
      <x:c r="N101" s="45" t="n">
        <x:v>5</x:v>
      </x:c>
      <x:c r="O101" s="45" t="n">
        <x:v>1</x:v>
      </x:c>
      <x:c r="P101" s="45" t="str">
        <x:v>Empty</x:v>
      </x:c>
      <x:c r="Q101" s="44" t="str">
        <x:v>Primary held-out relation × candidate-category composition — Put</x:v>
      </x:c>
      <x:c r="R101" s="45" t="n">
        <x:v>4</x:v>
      </x:c>
      <x:c r="S101" s="44" t="str">
        <x:v>Build the listed relation scene with the bowl empty.</x:v>
      </x:c>
      <x:c r="T101" s="44" t="str">
        <x:v>Both candidates are present. The held-out relation is the only information that identifies the target.</x:v>
      </x:c>
      <x:c r="U101" s="44" t="str"/>
    </x:row>
    <x:row r="102" ht="51" customHeight="1">
      <x:c r="A102" s="41" t="str">
        <x:v>Not collected</x:v>
      </x:c>
      <x:c r="B102" s="42" t="n">
        <x:v>100</x:v>
      </x:c>
      <x:c r="C102" s="41" t="str">
        <x:v>Put the crushed soda can closest to the airplane toy with propellers in the bowl.</x:v>
      </x:c>
      <x:c r="D102" s="41" t="str">
        <x:v>Reference: airplane toy with propellers at table centre; crushed Coke can: 10 cm to robot-right of the reference; crushed Pepsi can: 24 cm to robot-left of the reference; red pencil sharpener: at the far robot-left corner, outside the distance comparison; green pen: at the far robot-right corner, outside the distance comparison; Bowl: empty</x:v>
      </x:c>
      <x:c r="E102" s="42" t="str"/>
      <x:c r="F102" s="42" t="str">
        <x:v>414</x:v>
      </x:c>
      <x:c r="G102" s="41" t="str">
        <x:v>Masked source trajectory: the target identity and physical manipulation are trained under a direct-name prompt, while this relation × candidate-category composition is intentionally absent.</x:v>
      </x:c>
      <x:c r="H102" s="41" t="str">
        <x:v>crushed Coke can</x:v>
      </x:c>
      <x:c r="I102" s="41" t="str"/>
      <x:c r="J102" s="46" t="str">
        <x:v>Concept/compositional transfer</x:v>
      </x:c>
      <x:c r="K102" s="42" t="str">
        <x:v>RD-CT41</x:v>
      </x:c>
      <x:c r="L102" s="42" t="str">
        <x:v>closest</x:v>
      </x:c>
      <x:c r="M102" s="42" t="str">
        <x:v>crushed soda can</x:v>
      </x:c>
      <x:c r="N102" s="42" t="n">
        <x:v>5</x:v>
      </x:c>
      <x:c r="O102" s="42" t="n">
        <x:v>1</x:v>
      </x:c>
      <x:c r="P102" s="42" t="str">
        <x:v>Empty</x:v>
      </x:c>
      <x:c r="Q102" s="41" t="str">
        <x:v>Primary held-out relation × candidate-category composition — Put</x:v>
      </x:c>
      <x:c r="R102" s="42" t="n">
        <x:v>4</x:v>
      </x:c>
      <x:c r="S102" s="41" t="str">
        <x:v>Build the listed relation scene with the bowl empty.</x:v>
      </x:c>
      <x:c r="T102" s="41" t="str">
        <x:v>Both candidates are present. The held-out relation is the only information that identifies the target.</x:v>
      </x:c>
      <x:c r="U102" s="41" t="str"/>
    </x:row>
    <x:row r="103" ht="51" customHeight="1">
      <x:c r="A103" s="44" t="str">
        <x:v>Not collected</x:v>
      </x:c>
      <x:c r="B103" s="45" t="n">
        <x:v>101</x:v>
      </x:c>
      <x:c r="C103" s="44" t="str">
        <x:v>Put the pencil sharpener between the airplane toy with propellers and the yellow pen in the bowl.</x:v>
      </x:c>
      <x:c r="D103" s="44" t="str">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airplane toy without propellers: at the far robot-left corner, outside the distance comparison; Bowl: empty</x:v>
      </x:c>
      <x:c r="E103" s="45" t="str"/>
      <x:c r="F103" s="45" t="str">
        <x:v>495</x:v>
      </x:c>
      <x:c r="G103" s="44" t="str">
        <x:v>Masked source trajectory: the target identity and physical manipulation are trained under a direct-name prompt, while this relation × candidate-category composition is intentionally absent.</x:v>
      </x:c>
      <x:c r="H103" s="44" t="str">
        <x:v>green pencil sharpener</x:v>
      </x:c>
      <x:c r="I103" s="44" t="str"/>
      <x:c r="J103" s="46" t="str">
        <x:v>Concept/compositional transfer</x:v>
      </x:c>
      <x:c r="K103" s="45" t="str">
        <x:v>RD-CT42</x:v>
      </x:c>
      <x:c r="L103" s="45" t="str">
        <x:v>between</x:v>
      </x:c>
      <x:c r="M103" s="45" t="str">
        <x:v>pencil sharpener</x:v>
      </x:c>
      <x:c r="N103" s="45" t="n">
        <x:v>5</x:v>
      </x:c>
      <x:c r="O103" s="45" t="n">
        <x:v>1</x:v>
      </x:c>
      <x:c r="P103" s="45" t="str">
        <x:v>Empty</x:v>
      </x:c>
      <x:c r="Q103" s="44" t="str">
        <x:v>Primary held-out relation × candidate-category composition — Put</x:v>
      </x:c>
      <x:c r="R103" s="45" t="n">
        <x:v>4</x:v>
      </x:c>
      <x:c r="S103" s="44" t="str">
        <x:v>Build the listed relation scene with the bowl empty.</x:v>
      </x:c>
      <x:c r="T103" s="44" t="str">
        <x:v>Both candidates are present. The held-out relation is the only information that identifies the target.</x:v>
      </x:c>
      <x:c r="U103" s="44" t="str"/>
    </x:row>
    <x:row r="104" ht="51" customHeight="1">
      <x:c r="A104" s="41" t="str">
        <x:v>Not collected</x:v>
      </x:c>
      <x:c r="B104" s="42" t="n">
        <x:v>102</x:v>
      </x:c>
      <x:c r="C104" s="41" t="str">
        <x:v>Move the airplane toy furthest from the green pencil sharpener into the bowl.</x:v>
      </x:c>
      <x:c r="D104" s="41" t="str">
        <x:v>Reference: green pencil sharpener at table centre; airplane toy with propellers: 10 cm toward the robot from the reference; airplane toy without propellers: 24 cm away from the robot from the reference; red pencil sharpener: at the far robot-left corner, outside the distance comparison; green pen: at the far robot-right corner, outside the distance comparison; Bowl: empty</x:v>
      </x:c>
      <x:c r="E104" s="42" t="str"/>
      <x:c r="F104" s="42" t="str">
        <x:v>577</x:v>
      </x:c>
      <x:c r="G104" s="41" t="str">
        <x:v>Masked source trajectory: the target identity and physical manipulation are trained under a direct-name prompt, while this relation × candidate-category composition is intentionally absent.</x:v>
      </x:c>
      <x:c r="H104" s="41" t="str">
        <x:v>airplane toy without propellers</x:v>
      </x:c>
      <x:c r="I104" s="41" t="str"/>
      <x:c r="J104" s="46" t="str">
        <x:v>Concept/compositional transfer</x:v>
      </x:c>
      <x:c r="K104" s="42" t="str">
        <x:v>RD-CT43</x:v>
      </x:c>
      <x:c r="L104" s="42" t="str">
        <x:v>furthest</x:v>
      </x:c>
      <x:c r="M104" s="42" t="str">
        <x:v>airplane toy</x:v>
      </x:c>
      <x:c r="N104" s="42" t="n">
        <x:v>5</x:v>
      </x:c>
      <x:c r="O104" s="42" t="n">
        <x:v>1</x:v>
      </x:c>
      <x:c r="P104" s="42" t="str">
        <x:v>Empty</x:v>
      </x:c>
      <x:c r="Q104" s="41" t="str">
        <x:v>Primary held-out relation × candidate-category composition — Move</x:v>
      </x:c>
      <x:c r="R104" s="42" t="n">
        <x:v>4</x:v>
      </x:c>
      <x:c r="S104" s="41" t="str">
        <x:v>Build the listed relation scene with the bowl empty.</x:v>
      </x:c>
      <x:c r="T104" s="41" t="str">
        <x:v>Both candidates are present. The held-out relation is the only information that identifies the target.</x:v>
      </x:c>
      <x:c r="U104" s="41" t="str"/>
    </x:row>
    <x:row r="105" ht="51" customHeight="1">
      <x:c r="A105" s="44" t="str">
        <x:v>Not collected</x:v>
      </x:c>
      <x:c r="B105" s="45" t="n">
        <x:v>103</x:v>
      </x:c>
      <x:c r="C105" s="44" t="str">
        <x:v>Move the crushed soda can closest to the green pencil sharpener into the bowl.</x:v>
      </x:c>
      <x:c r="D105" s="44" t="str">
        <x:v>Reference: green pencil sharpener at table centre; crushed Pepsi can: 10 cm toward the robot from the reference; crushed Coke can: 24 cm away from the robot from the reference; airplane toy without propellers: at the far robot-left corner, outside the distance comparison; red pencil sharpener: at the far robot-right corner, outside the distance comparison; Bowl: empty</x:v>
      </x:c>
      <x:c r="E105" s="45" t="str"/>
      <x:c r="F105" s="45" t="str">
        <x:v>413</x:v>
      </x:c>
      <x:c r="G105" s="44" t="str">
        <x:v>Masked source trajectory: the target identity and physical manipulation are trained under a direct-name prompt, while this relation × candidate-category composition is intentionally absent.</x:v>
      </x:c>
      <x:c r="H105" s="44" t="str">
        <x:v>crushed Pepsi can</x:v>
      </x:c>
      <x:c r="I105" s="44" t="str"/>
      <x:c r="J105" s="46" t="str">
        <x:v>Concept/compositional transfer</x:v>
      </x:c>
      <x:c r="K105" s="45" t="str">
        <x:v>RD-CT44</x:v>
      </x:c>
      <x:c r="L105" s="45" t="str">
        <x:v>closest</x:v>
      </x:c>
      <x:c r="M105" s="45" t="str">
        <x:v>crushed soda can</x:v>
      </x:c>
      <x:c r="N105" s="45" t="n">
        <x:v>5</x:v>
      </x:c>
      <x:c r="O105" s="45" t="n">
        <x:v>1</x:v>
      </x:c>
      <x:c r="P105" s="45" t="str">
        <x:v>Empty</x:v>
      </x:c>
      <x:c r="Q105" s="44" t="str">
        <x:v>Primary held-out relation × candidate-category composition — Move</x:v>
      </x:c>
      <x:c r="R105" s="45" t="n">
        <x:v>4</x:v>
      </x:c>
      <x:c r="S105" s="44" t="str">
        <x:v>Build the listed relation scene with the bowl empty.</x:v>
      </x:c>
      <x:c r="T105" s="44" t="str">
        <x:v>Both candidates are present. The held-out relation is the only information that identifies the target.</x:v>
      </x:c>
      <x:c r="U105" s="44" t="str"/>
    </x:row>
    <x:row r="106" ht="51" customHeight="1">
      <x:c r="A106" s="41" t="str">
        <x:v>Not collected</x:v>
      </x:c>
      <x:c r="B106" s="42" t="n">
        <x:v>104</x:v>
      </x:c>
      <x:c r="C106" s="41" t="str">
        <x:v>Move the pencil sharpener between the crushed Pepsi can and the airplane toy without propellers into the bowl.</x:v>
      </x:c>
      <x:c r="D106" s="41" t="str">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yellow pen: at the far robot-left corner, outside the distance comparison; Bowl: empty</x:v>
      </x:c>
      <x:c r="E106" s="42" t="str"/>
      <x:c r="F106" s="42" t="str">
        <x:v>493</x:v>
      </x:c>
      <x:c r="G106" s="41" t="str">
        <x:v>Masked source trajectory: the target identity and physical manipulation are trained under a direct-name prompt, while this relation × candidate-category composition is intentionally absent.</x:v>
      </x:c>
      <x:c r="H106" s="41" t="str">
        <x:v>red pencil sharpener</x:v>
      </x:c>
      <x:c r="I106" s="41" t="str"/>
      <x:c r="J106" s="46" t="str">
        <x:v>Concept/compositional transfer</x:v>
      </x:c>
      <x:c r="K106" s="42" t="str">
        <x:v>RD-CT45</x:v>
      </x:c>
      <x:c r="L106" s="42" t="str">
        <x:v>between</x:v>
      </x:c>
      <x:c r="M106" s="42" t="str">
        <x:v>pencil sharpener</x:v>
      </x:c>
      <x:c r="N106" s="42" t="n">
        <x:v>5</x:v>
      </x:c>
      <x:c r="O106" s="42" t="n">
        <x:v>1</x:v>
      </x:c>
      <x:c r="P106" s="42" t="str">
        <x:v>Empty</x:v>
      </x:c>
      <x:c r="Q106" s="41" t="str">
        <x:v>Primary held-out relation × candidate-category composition — Move</x:v>
      </x:c>
      <x:c r="R106" s="42" t="n">
        <x:v>4</x:v>
      </x:c>
      <x:c r="S106" s="41" t="str">
        <x:v>Build the listed relation scene with the bowl empty.</x:v>
      </x:c>
      <x:c r="T106" s="41" t="str">
        <x:v>Both candidates are present. The held-out relation is the only information that identifies the target.</x:v>
      </x:c>
      <x:c r="U106" s="41" t="str"/>
    </x:row>
    <x:row r="107" ht="51" customHeight="1">
      <x:c r="A107" s="44" t="str">
        <x:v>Not collected</x:v>
      </x:c>
      <x:c r="B107" s="45" t="n">
        <x:v>105</x:v>
      </x:c>
      <x:c r="C107" s="44" t="str">
        <x:v>Pick up the airplane toy furthest from the yellow pen and place it in the bowl.</x:v>
      </x:c>
      <x:c r="D107" s="44" t="str">
        <x:v>Reference: yellow pen at table centre; airplane toy with propellers: 10 cm away from the robot from the reference; airplane toy without propellers: 24 cm toward the robot from the reference; crushed Coke can: at the far robot-left corner, outside the distance comparison; crushed Pepsi can: at the far robot-right corner, outside the distance comparison; Bowl: empty</x:v>
      </x:c>
      <x:c r="E107" s="45" t="str"/>
      <x:c r="F107" s="45" t="str">
        <x:v>579</x:v>
      </x:c>
      <x:c r="G107" s="44" t="str">
        <x:v>Masked source trajectory: the target identity and physical manipulation are trained under a direct-name prompt, while this relation × candidate-category composition is intentionally absent.</x:v>
      </x:c>
      <x:c r="H107" s="44" t="str">
        <x:v>airplane toy without propellers</x:v>
      </x:c>
      <x:c r="I107" s="44" t="str"/>
      <x:c r="J107" s="46" t="str">
        <x:v>Concept/compositional transfer</x:v>
      </x:c>
      <x:c r="K107" s="45" t="str">
        <x:v>RD-CT46</x:v>
      </x:c>
      <x:c r="L107" s="45" t="str">
        <x:v>furthest</x:v>
      </x:c>
      <x:c r="M107" s="45" t="str">
        <x:v>airplane toy</x:v>
      </x:c>
      <x:c r="N107" s="45" t="n">
        <x:v>5</x:v>
      </x:c>
      <x:c r="O107" s="45" t="n">
        <x:v>1</x:v>
      </x:c>
      <x:c r="P107" s="45" t="str">
        <x:v>Empty</x:v>
      </x:c>
      <x:c r="Q107" s="44" t="str">
        <x:v>Primary held-out relation × candidate-category composition — Pick up</x:v>
      </x:c>
      <x:c r="R107" s="45" t="n">
        <x:v>4</x:v>
      </x:c>
      <x:c r="S107" s="44" t="str">
        <x:v>Build the listed relation scene with the bowl empty.</x:v>
      </x:c>
      <x:c r="T107" s="44" t="str">
        <x:v>Both candidates are present. The held-out relation is the only information that identifies the target.</x:v>
      </x:c>
      <x:c r="U107" s="44" t="str"/>
    </x:row>
    <x:row r="108" ht="51" customHeight="1">
      <x:c r="A108" s="41" t="str">
        <x:v>Not collected</x:v>
      </x:c>
      <x:c r="B108" s="42" t="n">
        <x:v>106</x:v>
      </x:c>
      <x:c r="C108" s="41" t="str">
        <x:v>Pick up the crushed soda can closest to the yellow pen and place it in the bowl.</x:v>
      </x:c>
      <x:c r="D108" s="41" t="str">
        <x:v>Reference: yellow pen at table centre; crushed Pepsi can: 10 cm away from the robot from the reference; crushed Coke can: 24 cm toward the robot from the reference; green pen: at the far robot-left corner, outside the distance comparison; airplane toy with propellers: at the far robot-right corner, outside the distance comparison; Bowl: empty</x:v>
      </x:c>
      <x:c r="E108" s="42" t="str"/>
      <x:c r="F108" s="42" t="str">
        <x:v>401</x:v>
      </x:c>
      <x:c r="G108" s="41" t="str">
        <x:v>Masked source trajectory: the target identity and physical manipulation are trained under a direct-name prompt, while this relation × candidate-category composition is intentionally absent.</x:v>
      </x:c>
      <x:c r="H108" s="41" t="str">
        <x:v>crushed Pepsi can</x:v>
      </x:c>
      <x:c r="I108" s="41" t="str"/>
      <x:c r="J108" s="46" t="str">
        <x:v>Concept/compositional transfer</x:v>
      </x:c>
      <x:c r="K108" s="42" t="str">
        <x:v>RD-CT47</x:v>
      </x:c>
      <x:c r="L108" s="42" t="str">
        <x:v>closest</x:v>
      </x:c>
      <x:c r="M108" s="42" t="str">
        <x:v>crushed soda can</x:v>
      </x:c>
      <x:c r="N108" s="42" t="n">
        <x:v>5</x:v>
      </x:c>
      <x:c r="O108" s="42" t="n">
        <x:v>1</x:v>
      </x:c>
      <x:c r="P108" s="42" t="str">
        <x:v>Empty</x:v>
      </x:c>
      <x:c r="Q108" s="41" t="str">
        <x:v>Primary held-out relation × candidate-category composition — Pick up</x:v>
      </x:c>
      <x:c r="R108" s="42" t="n">
        <x:v>4</x:v>
      </x:c>
      <x:c r="S108" s="41" t="str">
        <x:v>Build the listed relation scene with the bowl empty.</x:v>
      </x:c>
      <x:c r="T108" s="41" t="str">
        <x:v>Both candidates are present. The held-out relation is the only information that identifies the target.</x:v>
      </x:c>
      <x:c r="U108" s="41" t="str"/>
    </x:row>
    <x:row r="109" ht="51" customHeight="1">
      <x:c r="A109" s="44" t="str">
        <x:v>Not collected</x:v>
      </x:c>
      <x:c r="B109" s="45" t="n">
        <x:v>107</x:v>
      </x:c>
      <x:c r="C109" s="44" t="str">
        <x:v>Pick up the pencil sharpener between the green pen and the crushed Coke can and place it in the bowl.</x:v>
      </x:c>
      <x:c r="D109" s="44" t="str">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yellow pen: at the far robot-left corner, outside the distance comparison; Bowl: empty</x:v>
      </x:c>
      <x:c r="E109" s="45" t="str"/>
      <x:c r="F109" s="45" t="str">
        <x:v>494</x:v>
      </x:c>
      <x:c r="G109" s="44" t="str">
        <x:v>Masked source trajectory: the target identity and physical manipulation are trained under a direct-name prompt, while this relation × candidate-category composition is intentionally absent.</x:v>
      </x:c>
      <x:c r="H109" s="44" t="str">
        <x:v>red pencil sharpener</x:v>
      </x:c>
      <x:c r="I109" s="44" t="str"/>
      <x:c r="J109" s="46" t="str">
        <x:v>Concept/compositional transfer</x:v>
      </x:c>
      <x:c r="K109" s="45" t="str">
        <x:v>RD-CT48</x:v>
      </x:c>
      <x:c r="L109" s="45" t="str">
        <x:v>between</x:v>
      </x:c>
      <x:c r="M109" s="45" t="str">
        <x:v>pencil sharpener</x:v>
      </x:c>
      <x:c r="N109" s="45" t="n">
        <x:v>5</x:v>
      </x:c>
      <x:c r="O109" s="45" t="n">
        <x:v>1</x:v>
      </x:c>
      <x:c r="P109" s="45" t="str">
        <x:v>Empty</x:v>
      </x:c>
      <x:c r="Q109" s="44" t="str">
        <x:v>Primary held-out relation × candidate-category composition — Pick up</x:v>
      </x:c>
      <x:c r="R109" s="45" t="n">
        <x:v>4</x:v>
      </x:c>
      <x:c r="S109" s="44" t="str">
        <x:v>Build the listed relation scene with the bowl empty.</x:v>
      </x:c>
      <x:c r="T109" s="44" t="str">
        <x:v>Both candidates are present. The held-out relation is the only information that identifies the target.</x:v>
      </x:c>
      <x:c r="U109" s="44" t="str"/>
    </x:row>
    <x:row r="110" ht="51" customHeight="1">
      <x:c r="A110" s="41" t="str">
        <x:v>Not collected</x:v>
      </x:c>
      <x:c r="B110" s="42" t="n">
        <x:v>108</x:v>
      </x:c>
      <x:c r="C110" s="41" t="str">
        <x:v>Put the airplane toy furthest from the crushed Pepsi can in the bowl.</x:v>
      </x:c>
      <x:c r="D110" s="41" t="str">
        <x:v>Reference: crushed Pepsi can at table centre; airplane toy without propellers: 10 cm toward robot-left from the reference; airplane toy with propellers: 24 cm away toward robot-right from the reference; green pen: at the far robot-left corner, outside the distance comparison; yellow pen: at the far robot-right corner, outside the distance comparison; Bowl: empty</x:v>
      </x:c>
      <x:c r="E110" s="42" t="str"/>
      <x:c r="F110" s="42" t="str">
        <x:v>568</x:v>
      </x:c>
      <x:c r="G110" s="41" t="str">
        <x:v>Masked source trajectory: the target identity and physical manipulation are trained under a direct-name prompt, while this relation × candidate-category composition is intentionally absent.</x:v>
      </x:c>
      <x:c r="H110" s="41" t="str">
        <x:v>airplane toy with propellers</x:v>
      </x:c>
      <x:c r="I110" s="41" t="str"/>
      <x:c r="J110" s="46" t="str">
        <x:v>Concept/compositional transfer</x:v>
      </x:c>
      <x:c r="K110" s="42" t="str">
        <x:v>RD-CT49</x:v>
      </x:c>
      <x:c r="L110" s="42" t="str">
        <x:v>furthest</x:v>
      </x:c>
      <x:c r="M110" s="42" t="str">
        <x:v>airplane toy</x:v>
      </x:c>
      <x:c r="N110" s="42" t="n">
        <x:v>5</x:v>
      </x:c>
      <x:c r="O110" s="42" t="n">
        <x:v>1</x:v>
      </x:c>
      <x:c r="P110" s="42" t="str">
        <x:v>Empty</x:v>
      </x:c>
      <x:c r="Q110" s="41" t="str">
        <x:v>Primary held-out relation × candidate-category composition — Put</x:v>
      </x:c>
      <x:c r="R110" s="42" t="n">
        <x:v>4</x:v>
      </x:c>
      <x:c r="S110" s="41" t="str">
        <x:v>Build the listed relation scene with the bowl empty.</x:v>
      </x:c>
      <x:c r="T110" s="41" t="str">
        <x:v>Both candidates are present. The held-out relation is the only information that identifies the target.</x:v>
      </x:c>
      <x:c r="U110" s="41" t="str"/>
    </x:row>
    <x:row r="111" ht="51" customHeight="1">
      <x:c r="A111" s="44" t="str">
        <x:v>Not collected</x:v>
      </x:c>
      <x:c r="B111" s="45" t="n">
        <x:v>109</x:v>
      </x:c>
      <x:c r="C111" s="44" t="str">
        <x:v>Put the crushed soda can closest to the airplane toy without propellers in the bowl.</x:v>
      </x:c>
      <x:c r="D111" s="44" t="str">
        <x:v>Reference: airplane toy without propellers at table centre; crushed Coke can: 10 cm toward robot-left from the reference; crushed Pepsi can: 24 cm away toward robot-right from the reference; green pencil sharpener: at the far robot-left corner, outside the distance comparison; red pencil sharpener: at the far robot-right corner, outside the distance comparison; Bowl: empty</x:v>
      </x:c>
      <x:c r="E111" s="45" t="str"/>
      <x:c r="F111" s="45" t="str">
        <x:v>400</x:v>
      </x:c>
      <x:c r="G111" s="44" t="str">
        <x:v>Masked source trajectory: the target identity and physical manipulation are trained under a direct-name prompt, while this relation × candidate-category composition is intentionally absent.</x:v>
      </x:c>
      <x:c r="H111" s="44" t="str">
        <x:v>crushed Coke can</x:v>
      </x:c>
      <x:c r="I111" s="44" t="str"/>
      <x:c r="J111" s="46" t="str">
        <x:v>Concept/compositional transfer</x:v>
      </x:c>
      <x:c r="K111" s="45" t="str">
        <x:v>RD-CT50</x:v>
      </x:c>
      <x:c r="L111" s="45" t="str">
        <x:v>closest</x:v>
      </x:c>
      <x:c r="M111" s="45" t="str">
        <x:v>crushed soda can</x:v>
      </x:c>
      <x:c r="N111" s="45" t="n">
        <x:v>5</x:v>
      </x:c>
      <x:c r="O111" s="45" t="n">
        <x:v>1</x:v>
      </x:c>
      <x:c r="P111" s="45" t="str">
        <x:v>Empty</x:v>
      </x:c>
      <x:c r="Q111" s="44" t="str">
        <x:v>Primary held-out relation × candidate-category composition — Put</x:v>
      </x:c>
      <x:c r="R111" s="45" t="n">
        <x:v>4</x:v>
      </x:c>
      <x:c r="S111" s="44" t="str">
        <x:v>Build the listed relation scene with the bowl empty.</x:v>
      </x:c>
      <x:c r="T111" s="44" t="str">
        <x:v>Both candidates are present. The held-out relation is the only information that identifies the target.</x:v>
      </x:c>
      <x:c r="U111" s="44" t="str"/>
    </x:row>
    <x:row r="112" ht="51" customHeight="1">
      <x:c r="A112" s="41" t="str">
        <x:v>Not collected</x:v>
      </x:c>
      <x:c r="B112" s="42" t="n">
        <x:v>110</x:v>
      </x:c>
      <x:c r="C112" s="41" t="str">
        <x:v>Pick up the block closest to the crushed Coke can and place it in the bowl.</x:v>
      </x:c>
      <x:c r="D112" s="41" t="str">
        <x:v>Reference: crushed Coke can at table centre; green block: 10 cm toward the robot from the reference; blue block: 24 cm away from the robot from the reference; airplane toy with propellers: at the far robot-left corner, outside the distance comparison; Bowl: empty</x:v>
      </x:c>
      <x:c r="E112" s="42" t="str"/>
      <x:c r="F112" s="42" t="str">
        <x:v>500; 1075; 350</x:v>
      </x:c>
      <x:c r="G112" s="41" t="str">
        <x:v>Relation grounding is explicit in Referential Disambiguation, and both block identities are manipulated elsewhere in fine-tuning; block × referential-relation is absent.</x:v>
      </x:c>
      <x:c r="H112" s="41" t="str">
        <x:v>green block</x:v>
      </x:c>
      <x:c r="I112" s="41" t="str"/>
      <x:c r="J112" s="47" t="str">
        <x:v>Cross-task block reasoning</x:v>
      </x:c>
      <x:c r="K112" s="42" t="str">
        <x:v>RD-BLOCK01</x:v>
      </x:c>
      <x:c r="L112" s="42" t="str">
        <x:v>closest</x:v>
      </x:c>
      <x:c r="M112" s="42" t="str">
        <x:v>block</x:v>
      </x:c>
      <x:c r="N112" s="42" t="n">
        <x:v>4</x:v>
      </x:c>
      <x:c r="O112" s="42" t="n">
        <x:v>1</x:v>
      </x:c>
      <x:c r="P112" s="42" t="str">
        <x:v>Empty</x:v>
      </x:c>
      <x:c r="Q112" s="41" t="str">
        <x:v>Cross-task block candidate pair — closest</x:v>
      </x:c>
      <x:c r="R112" s="42" t="n">
        <x:v>5</x:v>
      </x:c>
      <x:c r="S112" s="41" t="str">
        <x:v>Build the listed four-object block scene with the bowl empty.</x:v>
      </x:c>
      <x:c r="T112" s="41" t="str">
        <x:v>Reasoning-only cross-task diagnostic; no direct-name block control is included.</x:v>
      </x:c>
      <x:c r="U112" s="41" t="str"/>
    </x:row>
    <x:row r="113" ht="51" customHeight="1">
      <x:c r="A113" s="32" t="str">
        <x:v>Not collected</x:v>
      </x:c>
      <x:c r="B113" s="34" t="n">
        <x:v>111</x:v>
      </x:c>
      <x:c r="C113" s="32" t="str">
        <x:v>Put the block furthest from the crushed Coke can in the bowl.</x:v>
      </x:c>
      <x:c r="D113" s="32" t="str">
        <x:v>Reference: crushed Coke can at table centre; green block: 10 cm toward the robot from the reference; blue block: 24 cm away from the robot from the reference; airplane toy with propellers: at the far robot-left corner, outside the distance comparison; Bowl: empty</x:v>
      </x:c>
      <x:c r="E113" s="34" t="n">
        <x:v>110</x:v>
      </x:c>
      <x:c r="F113" s="34" t="str">
        <x:v>515; 1075; 350</x:v>
      </x:c>
      <x:c r="G113" s="32" t="str">
        <x:v>Relation grounding is explicit in Referential Disambiguation, and both block identities are manipulated elsewhere in fine-tuning; block × referential-relation is absent.</x:v>
      </x:c>
      <x:c r="H113" s="32" t="str">
        <x:v>blue block</x:v>
      </x:c>
      <x:c r="I113" s="32" t="str"/>
      <x:c r="J113" s="39" t="str">
        <x:v>Cross-task block reasoning</x:v>
      </x:c>
      <x:c r="K113" s="34" t="str">
        <x:v>RD-BLOCK01</x:v>
      </x:c>
      <x:c r="L113" s="34" t="str">
        <x:v>furthest</x:v>
      </x:c>
      <x:c r="M113" s="34" t="str">
        <x:v>block</x:v>
      </x:c>
      <x:c r="N113" s="34" t="n">
        <x:v>4</x:v>
      </x:c>
      <x:c r="O113" s="34" t="n">
        <x:v>1</x:v>
      </x:c>
      <x:c r="P113" s="34" t="str">
        <x:v>Empty</x:v>
      </x:c>
      <x:c r="Q113" s="32" t="str">
        <x:v>Cross-task block candidate pair — furthest</x:v>
      </x:c>
      <x:c r="R113" s="34" t="n">
        <x:v>5</x:v>
      </x:c>
      <x:c r="S113" s="32" t="str">
        <x:v>Reset the moved block exactly; preserve the scene; change only the relation prompt.</x:v>
      </x:c>
      <x:c r="T113" s="32" t="str">
        <x:v>Exact-scene closest/furthest counterfactual; the correct block switches.</x:v>
      </x:c>
      <x:c r="U113" s="32" t="str"/>
    </x:row>
    <x:row r="114" ht="51" customHeight="1">
      <x:c r="A114" s="41" t="str">
        <x:v>Not collected</x:v>
      </x:c>
      <x:c r="B114" s="42" t="n">
        <x:v>112</x:v>
      </x:c>
      <x:c r="C114" s="41" t="str">
        <x:v>Put the block closest to the green pencil sharpener in the bowl.</x:v>
      </x:c>
      <x:c r="D114" s="41" t="str">
        <x:v>Reference: green pencil sharpener at table centre; blue block: 10 cm away from the robot from the reference; green block: 24 cm toward the robot from the reference; airplane toy without propellers: at the far robot-left corner, outside the distance comparison; Bowl: empty</x:v>
      </x:c>
      <x:c r="E114" s="42" t="str"/>
      <x:c r="F114" s="42" t="str">
        <x:v>500; 1075; 350</x:v>
      </x:c>
      <x:c r="G114" s="41" t="str">
        <x:v>Relation grounding is explicit in Referential Disambiguation, and both block identities are manipulated elsewhere in fine-tuning; block × referential-relation is absent.</x:v>
      </x:c>
      <x:c r="H114" s="41" t="str">
        <x:v>blue block</x:v>
      </x:c>
      <x:c r="I114" s="41" t="str"/>
      <x:c r="J114" s="47" t="str">
        <x:v>Cross-task block reasoning</x:v>
      </x:c>
      <x:c r="K114" s="42" t="str">
        <x:v>RD-BLOCK02</x:v>
      </x:c>
      <x:c r="L114" s="42" t="str">
        <x:v>closest</x:v>
      </x:c>
      <x:c r="M114" s="42" t="str">
        <x:v>block</x:v>
      </x:c>
      <x:c r="N114" s="42" t="n">
        <x:v>4</x:v>
      </x:c>
      <x:c r="O114" s="42" t="n">
        <x:v>1</x:v>
      </x:c>
      <x:c r="P114" s="42" t="str">
        <x:v>Empty</x:v>
      </x:c>
      <x:c r="Q114" s="41" t="str">
        <x:v>Cross-task block candidate pair — closest</x:v>
      </x:c>
      <x:c r="R114" s="42" t="n">
        <x:v>5</x:v>
      </x:c>
      <x:c r="S114" s="41" t="str">
        <x:v>Build the listed four-object block scene with the bowl empty.</x:v>
      </x:c>
      <x:c r="T114" s="41" t="str">
        <x:v>Reasoning-only cross-task diagnostic; no direct-name block control is included.</x:v>
      </x:c>
      <x:c r="U114" s="41" t="str"/>
    </x:row>
    <x:row r="115" ht="51" customHeight="1">
      <x:c r="A115" s="32" t="str">
        <x:v>Not collected</x:v>
      </x:c>
      <x:c r="B115" s="34" t="n">
        <x:v>113</x:v>
      </x:c>
      <x:c r="C115" s="32" t="str">
        <x:v>Move the block furthest from the green pencil sharpener into the bowl.</x:v>
      </x:c>
      <x:c r="D115" s="32" t="str">
        <x:v>Reference: green pencil sharpener at table centre; blue block: 10 cm away from the robot from the reference; green block: 24 cm toward the robot from the reference; airplane toy without propellers: at the far robot-left corner, outside the distance comparison; Bowl: empty</x:v>
      </x:c>
      <x:c r="E115" s="34" t="n">
        <x:v>112</x:v>
      </x:c>
      <x:c r="F115" s="34" t="str">
        <x:v>515; 1075; 350</x:v>
      </x:c>
      <x:c r="G115" s="32" t="str">
        <x:v>Relation grounding is explicit in Referential Disambiguation, and both block identities are manipulated elsewhere in fine-tuning; block × referential-relation is absent.</x:v>
      </x:c>
      <x:c r="H115" s="32" t="str">
        <x:v>green block</x:v>
      </x:c>
      <x:c r="I115" s="32" t="str"/>
      <x:c r="J115" s="39" t="str">
        <x:v>Cross-task block reasoning</x:v>
      </x:c>
      <x:c r="K115" s="34" t="str">
        <x:v>RD-BLOCK02</x:v>
      </x:c>
      <x:c r="L115" s="34" t="str">
        <x:v>furthest</x:v>
      </x:c>
      <x:c r="M115" s="34" t="str">
        <x:v>block</x:v>
      </x:c>
      <x:c r="N115" s="34" t="n">
        <x:v>4</x:v>
      </x:c>
      <x:c r="O115" s="34" t="n">
        <x:v>1</x:v>
      </x:c>
      <x:c r="P115" s="34" t="str">
        <x:v>Empty</x:v>
      </x:c>
      <x:c r="Q115" s="32" t="str">
        <x:v>Cross-task block candidate pair — furthest</x:v>
      </x:c>
      <x:c r="R115" s="34" t="n">
        <x:v>5</x:v>
      </x:c>
      <x:c r="S115" s="32" t="str">
        <x:v>Reset the moved block exactly; preserve the scene; change only the relation prompt.</x:v>
      </x:c>
      <x:c r="T115" s="32" t="str">
        <x:v>Exact-scene closest/furthest counterfactual; the correct block switches.</x:v>
      </x:c>
      <x:c r="U115" s="32" t="str"/>
    </x:row>
    <x:row r="116" ht="51" customHeight="1">
      <x:c r="A116" s="41" t="str">
        <x:v>Not collected</x:v>
      </x:c>
      <x:c r="B116" s="42" t="n">
        <x:v>114</x:v>
      </x:c>
      <x:c r="C116" s="41" t="str">
        <x:v>Move the block closest to the green pen into the bowl.</x:v>
      </x:c>
      <x:c r="D116" s="41" t="str">
        <x:v>Reference: green pen at table centre; green block: 10 cm toward robot-left from the reference; blue block: 24 cm away toward robot-right from the reference; crushed Coke can: at the far robot-left corner, outside the distance comparison; Bowl: empty</x:v>
      </x:c>
      <x:c r="E116" s="42" t="str"/>
      <x:c r="F116" s="42" t="str">
        <x:v>500; 1075; 350</x:v>
      </x:c>
      <x:c r="G116" s="41" t="str">
        <x:v>Relation grounding is explicit in Referential Disambiguation, and both block identities are manipulated elsewhere in fine-tuning; block × referential-relation is absent.</x:v>
      </x:c>
      <x:c r="H116" s="41" t="str">
        <x:v>green block</x:v>
      </x:c>
      <x:c r="I116" s="41" t="str"/>
      <x:c r="J116" s="47" t="str">
        <x:v>Cross-task block reasoning</x:v>
      </x:c>
      <x:c r="K116" s="42" t="str">
        <x:v>RD-BLOCK03</x:v>
      </x:c>
      <x:c r="L116" s="42" t="str">
        <x:v>closest</x:v>
      </x:c>
      <x:c r="M116" s="42" t="str">
        <x:v>block</x:v>
      </x:c>
      <x:c r="N116" s="42" t="n">
        <x:v>4</x:v>
      </x:c>
      <x:c r="O116" s="42" t="n">
        <x:v>1</x:v>
      </x:c>
      <x:c r="P116" s="42" t="str">
        <x:v>Empty</x:v>
      </x:c>
      <x:c r="Q116" s="41" t="str">
        <x:v>Cross-task block candidate pair — closest</x:v>
      </x:c>
      <x:c r="R116" s="42" t="n">
        <x:v>5</x:v>
      </x:c>
      <x:c r="S116" s="41" t="str">
        <x:v>Build the listed four-object block scene with the bowl empty.</x:v>
      </x:c>
      <x:c r="T116" s="41" t="str">
        <x:v>Reasoning-only cross-task diagnostic; no direct-name block control is included.</x:v>
      </x:c>
      <x:c r="U116" s="41" t="str"/>
    </x:row>
    <x:row r="117" ht="51" customHeight="1">
      <x:c r="A117" s="32" t="str">
        <x:v>Not collected</x:v>
      </x:c>
      <x:c r="B117" s="34" t="n">
        <x:v>115</x:v>
      </x:c>
      <x:c r="C117" s="32" t="str">
        <x:v>Pick up the block furthest from the green pen and place it in the bowl.</x:v>
      </x:c>
      <x:c r="D117" s="32" t="str">
        <x:v>Reference: green pen at table centre; green block: 10 cm toward robot-left from the reference; blue block: 24 cm away toward robot-right from the reference; crushed Coke can: at the far robot-left corner, outside the distance comparison; Bowl: empty</x:v>
      </x:c>
      <x:c r="E117" s="34" t="n">
        <x:v>114</x:v>
      </x:c>
      <x:c r="F117" s="34" t="str">
        <x:v>515; 1075; 350</x:v>
      </x:c>
      <x:c r="G117" s="32" t="str">
        <x:v>Relation grounding is explicit in Referential Disambiguation, and both block identities are manipulated elsewhere in fine-tuning; block × referential-relation is absent.</x:v>
      </x:c>
      <x:c r="H117" s="32" t="str">
        <x:v>blue block</x:v>
      </x:c>
      <x:c r="I117" s="32" t="str"/>
      <x:c r="J117" s="39" t="str">
        <x:v>Cross-task block reasoning</x:v>
      </x:c>
      <x:c r="K117" s="34" t="str">
        <x:v>RD-BLOCK03</x:v>
      </x:c>
      <x:c r="L117" s="34" t="str">
        <x:v>furthest</x:v>
      </x:c>
      <x:c r="M117" s="34" t="str">
        <x:v>block</x:v>
      </x:c>
      <x:c r="N117" s="34" t="n">
        <x:v>4</x:v>
      </x:c>
      <x:c r="O117" s="34" t="n">
        <x:v>1</x:v>
      </x:c>
      <x:c r="P117" s="34" t="str">
        <x:v>Empty</x:v>
      </x:c>
      <x:c r="Q117" s="32" t="str">
        <x:v>Cross-task block candidate pair — furthest</x:v>
      </x:c>
      <x:c r="R117" s="34" t="n">
        <x:v>5</x:v>
      </x:c>
      <x:c r="S117" s="32" t="str">
        <x:v>Reset the moved block exactly; preserve the scene; change only the relation prompt.</x:v>
      </x:c>
      <x:c r="T117" s="32" t="str">
        <x:v>Exact-scene closest/furthest counterfactual; the correct block switches.</x:v>
      </x:c>
      <x:c r="U117" s="32" t="str"/>
    </x:row>
    <x:row r="118" ht="51" customHeight="1">
      <x:c r="A118" s="41" t="str">
        <x:v>Not collected</x:v>
      </x:c>
      <x:c r="B118" s="42" t="n">
        <x:v>116</x:v>
      </x:c>
      <x:c r="C118" s="41" t="str">
        <x:v>Pick up the block closest to the airplane toy with propellers and place it in the bowl.</x:v>
      </x:c>
      <x:c r="D118" s="41" t="str">
        <x:v>Reference: airplane toy with propellers at table centre; blue block: 10 cm toward robot-right from the reference; green block: 24 cm away toward robot-left from the reference; crushed Pepsi can: at the far robot-left corner, outside the distance comparison; Bowl: empty</x:v>
      </x:c>
      <x:c r="E118" s="42" t="str"/>
      <x:c r="F118" s="42" t="str">
        <x:v>500; 1075; 350</x:v>
      </x:c>
      <x:c r="G118" s="41" t="str">
        <x:v>Relation grounding is explicit in Referential Disambiguation, and both block identities are manipulated elsewhere in fine-tuning; block × referential-relation is absent.</x:v>
      </x:c>
      <x:c r="H118" s="41" t="str">
        <x:v>blue block</x:v>
      </x:c>
      <x:c r="I118" s="41" t="str"/>
      <x:c r="J118" s="47" t="str">
        <x:v>Cross-task block reasoning</x:v>
      </x:c>
      <x:c r="K118" s="42" t="str">
        <x:v>RD-BLOCK04</x:v>
      </x:c>
      <x:c r="L118" s="42" t="str">
        <x:v>closest</x:v>
      </x:c>
      <x:c r="M118" s="42" t="str">
        <x:v>block</x:v>
      </x:c>
      <x:c r="N118" s="42" t="n">
        <x:v>4</x:v>
      </x:c>
      <x:c r="O118" s="42" t="n">
        <x:v>1</x:v>
      </x:c>
      <x:c r="P118" s="42" t="str">
        <x:v>Empty</x:v>
      </x:c>
      <x:c r="Q118" s="41" t="str">
        <x:v>Cross-task block candidate pair — closest</x:v>
      </x:c>
      <x:c r="R118" s="42" t="n">
        <x:v>5</x:v>
      </x:c>
      <x:c r="S118" s="41" t="str">
        <x:v>Build the listed four-object block scene with the bowl empty.</x:v>
      </x:c>
      <x:c r="T118" s="41" t="str">
        <x:v>Reasoning-only cross-task diagnostic; no direct-name block control is included.</x:v>
      </x:c>
      <x:c r="U118" s="41" t="str"/>
    </x:row>
    <x:row r="119" ht="51" customHeight="1">
      <x:c r="A119" s="32" t="str">
        <x:v>Not collected</x:v>
      </x:c>
      <x:c r="B119" s="34" t="n">
        <x:v>117</x:v>
      </x:c>
      <x:c r="C119" s="32" t="str">
        <x:v>Put the block furthest from the airplane toy with propellers in the bowl.</x:v>
      </x:c>
      <x:c r="D119" s="32" t="str">
        <x:v>Reference: airplane toy with propellers at table centre; blue block: 10 cm toward robot-right from the reference; green block: 24 cm away toward robot-left from the reference; crushed Pepsi can: at the far robot-left corner, outside the distance comparison; Bowl: empty</x:v>
      </x:c>
      <x:c r="E119" s="34" t="n">
        <x:v>116</x:v>
      </x:c>
      <x:c r="F119" s="34" t="str">
        <x:v>515; 1075; 350</x:v>
      </x:c>
      <x:c r="G119" s="32" t="str">
        <x:v>Relation grounding is explicit in Referential Disambiguation, and both block identities are manipulated elsewhere in fine-tuning; block × referential-relation is absent.</x:v>
      </x:c>
      <x:c r="H119" s="32" t="str">
        <x:v>green block</x:v>
      </x:c>
      <x:c r="I119" s="32" t="str"/>
      <x:c r="J119" s="39" t="str">
        <x:v>Cross-task block reasoning</x:v>
      </x:c>
      <x:c r="K119" s="34" t="str">
        <x:v>RD-BLOCK04</x:v>
      </x:c>
      <x:c r="L119" s="34" t="str">
        <x:v>furthest</x:v>
      </x:c>
      <x:c r="M119" s="34" t="str">
        <x:v>block</x:v>
      </x:c>
      <x:c r="N119" s="34" t="n">
        <x:v>4</x:v>
      </x:c>
      <x:c r="O119" s="34" t="n">
        <x:v>1</x:v>
      </x:c>
      <x:c r="P119" s="34" t="str">
        <x:v>Empty</x:v>
      </x:c>
      <x:c r="Q119" s="32" t="str">
        <x:v>Cross-task block candidate pair — furthest</x:v>
      </x:c>
      <x:c r="R119" s="34" t="n">
        <x:v>5</x:v>
      </x:c>
      <x:c r="S119" s="32" t="str">
        <x:v>Reset the moved block exactly; preserve the scene; change only the relation prompt.</x:v>
      </x:c>
      <x:c r="T119" s="32" t="str">
        <x:v>Exact-scene closest/furthest counterfactual; the correct block switches.</x:v>
      </x:c>
      <x:c r="U119" s="32" t="str"/>
    </x:row>
    <x:row r="120" ht="51" customHeight="1">
      <x:c r="A120" s="41" t="str">
        <x:v>Not collected</x:v>
      </x:c>
      <x:c r="B120" s="42" t="n">
        <x:v>118</x:v>
      </x:c>
      <x:c r="C120" s="41" t="str">
        <x:v>Put the block closest to the crushed Coke can in the bowl.</x:v>
      </x:c>
      <x:c r="D120" s="41" t="str">
        <x:v>Reference: crushed Coke can at table centre; green block: 10 cm to robot-left of the reference; blue block: 24 cm to robot-right of the reference; red pencil sharpener: at the far robot-left corner, outside the distance comparison; Bowl: empty</x:v>
      </x:c>
      <x:c r="E120" s="42" t="str"/>
      <x:c r="F120" s="42" t="str">
        <x:v>500; 1075; 350</x:v>
      </x:c>
      <x:c r="G120" s="41" t="str">
        <x:v>Relation grounding is explicit in Referential Disambiguation, and both block identities are manipulated elsewhere in fine-tuning; block × referential-relation is absent.</x:v>
      </x:c>
      <x:c r="H120" s="41" t="str">
        <x:v>green block</x:v>
      </x:c>
      <x:c r="I120" s="41" t="str"/>
      <x:c r="J120" s="47" t="str">
        <x:v>Cross-task block reasoning</x:v>
      </x:c>
      <x:c r="K120" s="42" t="str">
        <x:v>RD-BLOCK05</x:v>
      </x:c>
      <x:c r="L120" s="42" t="str">
        <x:v>closest</x:v>
      </x:c>
      <x:c r="M120" s="42" t="str">
        <x:v>block</x:v>
      </x:c>
      <x:c r="N120" s="42" t="n">
        <x:v>4</x:v>
      </x:c>
      <x:c r="O120" s="42" t="n">
        <x:v>1</x:v>
      </x:c>
      <x:c r="P120" s="42" t="str">
        <x:v>Empty</x:v>
      </x:c>
      <x:c r="Q120" s="41" t="str">
        <x:v>Cross-task block candidate pair — closest</x:v>
      </x:c>
      <x:c r="R120" s="42" t="n">
        <x:v>5</x:v>
      </x:c>
      <x:c r="S120" s="41" t="str">
        <x:v>Build the listed four-object block scene with the bowl empty.</x:v>
      </x:c>
      <x:c r="T120" s="41" t="str">
        <x:v>Reasoning-only cross-task diagnostic; no direct-name block control is included.</x:v>
      </x:c>
      <x:c r="U120" s="41" t="str"/>
    </x:row>
    <x:row r="121" ht="51" customHeight="1">
      <x:c r="A121" s="32" t="str">
        <x:v>Not collected</x:v>
      </x:c>
      <x:c r="B121" s="34" t="n">
        <x:v>119</x:v>
      </x:c>
      <x:c r="C121" s="32" t="str">
        <x:v>Move the block furthest from the crushed Coke can into the bowl.</x:v>
      </x:c>
      <x:c r="D121" s="32" t="str">
        <x:v>Reference: crushed Coke can at table centre; green block: 10 cm to robot-left of the reference; blue block: 24 cm to robot-right of the reference; red pencil sharpener: at the far robot-left corner, outside the distance comparison; Bowl: empty</x:v>
      </x:c>
      <x:c r="E121" s="34" t="n">
        <x:v>118</x:v>
      </x:c>
      <x:c r="F121" s="34" t="str">
        <x:v>515; 1075; 350</x:v>
      </x:c>
      <x:c r="G121" s="32" t="str">
        <x:v>Relation grounding is explicit in Referential Disambiguation, and both block identities are manipulated elsewhere in fine-tuning; block × referential-relation is absent.</x:v>
      </x:c>
      <x:c r="H121" s="32" t="str">
        <x:v>blue block</x:v>
      </x:c>
      <x:c r="I121" s="32" t="str"/>
      <x:c r="J121" s="39" t="str">
        <x:v>Cross-task block reasoning</x:v>
      </x:c>
      <x:c r="K121" s="34" t="str">
        <x:v>RD-BLOCK05</x:v>
      </x:c>
      <x:c r="L121" s="34" t="str">
        <x:v>furthest</x:v>
      </x:c>
      <x:c r="M121" s="34" t="str">
        <x:v>block</x:v>
      </x:c>
      <x:c r="N121" s="34" t="n">
        <x:v>4</x:v>
      </x:c>
      <x:c r="O121" s="34" t="n">
        <x:v>1</x:v>
      </x:c>
      <x:c r="P121" s="34" t="str">
        <x:v>Empty</x:v>
      </x:c>
      <x:c r="Q121" s="32" t="str">
        <x:v>Cross-task block candidate pair — furthest</x:v>
      </x:c>
      <x:c r="R121" s="34" t="n">
        <x:v>5</x:v>
      </x:c>
      <x:c r="S121" s="32" t="str">
        <x:v>Reset the moved block exactly; preserve the scene; change only the relation prompt.</x:v>
      </x:c>
      <x:c r="T121" s="32" t="str">
        <x:v>Exact-scene closest/furthest counterfactual; the correct block switches.</x:v>
      </x:c>
      <x:c r="U121" s="32" t="str"/>
    </x:row>
    <x:row r="122" ht="51" customHeight="1">
      <x:c r="A122" s="41" t="str">
        <x:v>Not collected</x:v>
      </x:c>
      <x:c r="B122" s="42" t="n">
        <x:v>120</x:v>
      </x:c>
      <x:c r="C122" s="41" t="str">
        <x:v>Move the block closest to the green pencil sharpener into the bowl.</x:v>
      </x:c>
      <x:c r="D122" s="41" t="str">
        <x:v>Reference: green pencil sharpener at table centre; blue block: 10 cm to robot-right of the reference; green block: 24 cm to robot-left of the reference; green pen: at the far robot-left corner, outside the distance comparison; Bowl: empty</x:v>
      </x:c>
      <x:c r="E122" s="42" t="str"/>
      <x:c r="F122" s="42" t="str">
        <x:v>500; 1075; 350</x:v>
      </x:c>
      <x:c r="G122" s="41" t="str">
        <x:v>Relation grounding is explicit in Referential Disambiguation, and both block identities are manipulated elsewhere in fine-tuning; block × referential-relation is absent.</x:v>
      </x:c>
      <x:c r="H122" s="41" t="str">
        <x:v>blue block</x:v>
      </x:c>
      <x:c r="I122" s="41" t="str"/>
      <x:c r="J122" s="47" t="str">
        <x:v>Cross-task block reasoning</x:v>
      </x:c>
      <x:c r="K122" s="42" t="str">
        <x:v>RD-BLOCK06</x:v>
      </x:c>
      <x:c r="L122" s="42" t="str">
        <x:v>closest</x:v>
      </x:c>
      <x:c r="M122" s="42" t="str">
        <x:v>block</x:v>
      </x:c>
      <x:c r="N122" s="42" t="n">
        <x:v>4</x:v>
      </x:c>
      <x:c r="O122" s="42" t="n">
        <x:v>1</x:v>
      </x:c>
      <x:c r="P122" s="42" t="str">
        <x:v>Empty</x:v>
      </x:c>
      <x:c r="Q122" s="41" t="str">
        <x:v>Cross-task block candidate pair — closest</x:v>
      </x:c>
      <x:c r="R122" s="42" t="n">
        <x:v>5</x:v>
      </x:c>
      <x:c r="S122" s="41" t="str">
        <x:v>Build the listed four-object block scene with the bowl empty.</x:v>
      </x:c>
      <x:c r="T122" s="41" t="str">
        <x:v>Reasoning-only cross-task diagnostic; no direct-name block control is included.</x:v>
      </x:c>
      <x:c r="U122" s="41" t="str"/>
    </x:row>
    <x:row r="123" ht="51" customHeight="1">
      <x:c r="A123" s="32" t="str">
        <x:v>Not collected</x:v>
      </x:c>
      <x:c r="B123" s="34" t="n">
        <x:v>121</x:v>
      </x:c>
      <x:c r="C123" s="32" t="str">
        <x:v>Pick up the block furthest from the green pencil sharpener and place it in the bowl.</x:v>
      </x:c>
      <x:c r="D123" s="32" t="str">
        <x:v>Reference: green pencil sharpener at table centre; blue block: 10 cm to robot-right of the reference; green block: 24 cm to robot-left of the reference; green pen: at the far robot-left corner, outside the distance comparison; Bowl: empty</x:v>
      </x:c>
      <x:c r="E123" s="34" t="n">
        <x:v>120</x:v>
      </x:c>
      <x:c r="F123" s="34" t="str">
        <x:v>515; 1075; 350</x:v>
      </x:c>
      <x:c r="G123" s="32" t="str">
        <x:v>Relation grounding is explicit in Referential Disambiguation, and both block identities are manipulated elsewhere in fine-tuning; block × referential-relation is absent.</x:v>
      </x:c>
      <x:c r="H123" s="32" t="str">
        <x:v>green block</x:v>
      </x:c>
      <x:c r="I123" s="32" t="str"/>
      <x:c r="J123" s="39" t="str">
        <x:v>Cross-task block reasoning</x:v>
      </x:c>
      <x:c r="K123" s="34" t="str">
        <x:v>RD-BLOCK06</x:v>
      </x:c>
      <x:c r="L123" s="34" t="str">
        <x:v>furthest</x:v>
      </x:c>
      <x:c r="M123" s="34" t="str">
        <x:v>block</x:v>
      </x:c>
      <x:c r="N123" s="34" t="n">
        <x:v>4</x:v>
      </x:c>
      <x:c r="O123" s="34" t="n">
        <x:v>1</x:v>
      </x:c>
      <x:c r="P123" s="34" t="str">
        <x:v>Empty</x:v>
      </x:c>
      <x:c r="Q123" s="32" t="str">
        <x:v>Cross-task block candidate pair — furthest</x:v>
      </x:c>
      <x:c r="R123" s="34" t="n">
        <x:v>5</x:v>
      </x:c>
      <x:c r="S123" s="32" t="str">
        <x:v>Reset the moved block exactly; preserve the scene; change only the relation prompt.</x:v>
      </x:c>
      <x:c r="T123" s="32" t="str">
        <x:v>Exact-scene closest/furthest counterfactual; the correct block switches.</x:v>
      </x:c>
      <x:c r="U123" s="32" t="str"/>
    </x:row>
    <x:row r="124" ht="51" customHeight="1">
      <x:c r="A124" s="41" t="str">
        <x:v>Not collected</x:v>
      </x:c>
      <x:c r="B124" s="42" t="n">
        <x:v>122</x:v>
      </x:c>
      <x:c r="C124" s="41" t="str">
        <x:v>Pick up the block closest to the green pen and place it in the bowl.</x:v>
      </x:c>
      <x:c r="D124" s="41" t="str">
        <x:v>Reference: green pen at table centre; green block: 10 cm toward the robot from the reference; blue block: 24 cm away from the robot from the reference; yellow pen: at the far robot-left corner, outside the distance comparison; Bowl: empty</x:v>
      </x:c>
      <x:c r="E124" s="42" t="str"/>
      <x:c r="F124" s="42" t="str">
        <x:v>500; 1075; 350</x:v>
      </x:c>
      <x:c r="G124" s="41" t="str">
        <x:v>Relation grounding is explicit in Referential Disambiguation, and both block identities are manipulated elsewhere in fine-tuning; block × referential-relation is absent.</x:v>
      </x:c>
      <x:c r="H124" s="41" t="str">
        <x:v>green block</x:v>
      </x:c>
      <x:c r="I124" s="41" t="str"/>
      <x:c r="J124" s="47" t="str">
        <x:v>Cross-task block reasoning</x:v>
      </x:c>
      <x:c r="K124" s="42" t="str">
        <x:v>RD-BLOCK07</x:v>
      </x:c>
      <x:c r="L124" s="42" t="str">
        <x:v>closest</x:v>
      </x:c>
      <x:c r="M124" s="42" t="str">
        <x:v>block</x:v>
      </x:c>
      <x:c r="N124" s="42" t="n">
        <x:v>4</x:v>
      </x:c>
      <x:c r="O124" s="42" t="n">
        <x:v>1</x:v>
      </x:c>
      <x:c r="P124" s="42" t="str">
        <x:v>Empty</x:v>
      </x:c>
      <x:c r="Q124" s="41" t="str">
        <x:v>Cross-task block candidate pair — closest</x:v>
      </x:c>
      <x:c r="R124" s="42" t="n">
        <x:v>5</x:v>
      </x:c>
      <x:c r="S124" s="41" t="str">
        <x:v>Build the listed four-object block scene with the bowl empty.</x:v>
      </x:c>
      <x:c r="T124" s="41" t="str">
        <x:v>Reasoning-only cross-task diagnostic; no direct-name block control is included.</x:v>
      </x:c>
      <x:c r="U124" s="41" t="str"/>
    </x:row>
    <x:row r="125" ht="51" customHeight="1">
      <x:c r="A125" s="32" t="str">
        <x:v>Not collected</x:v>
      </x:c>
      <x:c r="B125" s="34" t="n">
        <x:v>123</x:v>
      </x:c>
      <x:c r="C125" s="32" t="str">
        <x:v>Put the block furthest from the green pen in the bowl.</x:v>
      </x:c>
      <x:c r="D125" s="32" t="str">
        <x:v>Reference: green pen at table centre; green block: 10 cm toward the robot from the reference; blue block: 24 cm away from the robot from the reference; yellow pen: at the far robot-left corner, outside the distance comparison; Bowl: empty</x:v>
      </x:c>
      <x:c r="E125" s="34" t="n">
        <x:v>122</x:v>
      </x:c>
      <x:c r="F125" s="34" t="str">
        <x:v>515; 1075; 350</x:v>
      </x:c>
      <x:c r="G125" s="32" t="str">
        <x:v>Relation grounding is explicit in Referential Disambiguation, and both block identities are manipulated elsewhere in fine-tuning; block × referential-relation is absent.</x:v>
      </x:c>
      <x:c r="H125" s="32" t="str">
        <x:v>blue block</x:v>
      </x:c>
      <x:c r="I125" s="32" t="str"/>
      <x:c r="J125" s="39" t="str">
        <x:v>Cross-task block reasoning</x:v>
      </x:c>
      <x:c r="K125" s="34" t="str">
        <x:v>RD-BLOCK07</x:v>
      </x:c>
      <x:c r="L125" s="34" t="str">
        <x:v>furthest</x:v>
      </x:c>
      <x:c r="M125" s="34" t="str">
        <x:v>block</x:v>
      </x:c>
      <x:c r="N125" s="34" t="n">
        <x:v>4</x:v>
      </x:c>
      <x:c r="O125" s="34" t="n">
        <x:v>1</x:v>
      </x:c>
      <x:c r="P125" s="34" t="str">
        <x:v>Empty</x:v>
      </x:c>
      <x:c r="Q125" s="32" t="str">
        <x:v>Cross-task block candidate pair — furthest</x:v>
      </x:c>
      <x:c r="R125" s="34" t="n">
        <x:v>5</x:v>
      </x:c>
      <x:c r="S125" s="32" t="str">
        <x:v>Reset the moved block exactly; preserve the scene; change only the relation prompt.</x:v>
      </x:c>
      <x:c r="T125" s="32" t="str">
        <x:v>Exact-scene closest/furthest counterfactual; the correct block switches.</x:v>
      </x:c>
      <x:c r="U125" s="32" t="str"/>
    </x:row>
    <x:row r="126" ht="51" customHeight="1">
      <x:c r="A126" s="41" t="str">
        <x:v>Not collected</x:v>
      </x:c>
      <x:c r="B126" s="42" t="n">
        <x:v>124</x:v>
      </x:c>
      <x:c r="C126" s="41" t="str">
        <x:v>Pick up the block between the green pen and the crushed Coke can and place it in the bowl.</x:v>
      </x:c>
      <x:c r="D126" s="41" t="str">
        <x:v>Reference A: green pen at 14 cm toward robot-left from table centre; Reference B: crushed Coke can at 14 cm away toward robot-right from table centre; green block: at table centre on the straight Reference A–B segment; blue block: 12 cm toward robot-right from table centre, off the Reference A–B segment; Bowl: empty</x:v>
      </x:c>
      <x:c r="E126" s="42" t="str"/>
      <x:c r="F126" s="42" t="str">
        <x:v>530; 1075; 350</x:v>
      </x:c>
      <x:c r="G126" s="41" t="str">
        <x:v>Between is explicit in Referential Disambiguation, and both block identities are manipulated elsewhere in fine-tuning; block × between is absent.</x:v>
      </x:c>
      <x:c r="H126" s="41" t="str">
        <x:v>green block</x:v>
      </x:c>
      <x:c r="I126" s="41" t="str"/>
      <x:c r="J126" s="47" t="str">
        <x:v>Cross-task block reasoning</x:v>
      </x:c>
      <x:c r="K126" s="42" t="str">
        <x:v>RD-BLOCK-B01A</x:v>
      </x:c>
      <x:c r="L126" s="42" t="str">
        <x:v>between</x:v>
      </x:c>
      <x:c r="M126" s="42" t="str">
        <x:v>block</x:v>
      </x:c>
      <x:c r="N126" s="42" t="n">
        <x:v>4</x:v>
      </x:c>
      <x:c r="O126" s="42" t="n">
        <x:v>1</x:v>
      </x:c>
      <x:c r="P126" s="42" t="str">
        <x:v>Empty</x:v>
      </x:c>
      <x:c r="Q126" s="41" t="str">
        <x:v>Cross-task block candidate pair — between</x:v>
      </x:c>
      <x:c r="R126" s="42" t="n">
        <x:v>5</x:v>
      </x:c>
      <x:c r="S126" s="41" t="str">
        <x:v>Build the listed four-object between scene.</x:v>
      </x:c>
      <x:c r="T126" s="41" t="str">
        <x:v>Adjacent between counterfactual scenes alternate which block occupies the midpoint.</x:v>
      </x:c>
      <x:c r="U126" s="41" t="str"/>
    </x:row>
    <x:row r="127" ht="51" customHeight="1">
      <x:c r="A127" s="44" t="str">
        <x:v>Not collected</x:v>
      </x:c>
      <x:c r="B127" s="45" t="n">
        <x:v>125</x:v>
      </x:c>
      <x:c r="C127" s="44" t="str">
        <x:v>Put the block between the yellow pen and the crushed Pepsi can in the bowl.</x:v>
      </x:c>
      <x:c r="D127" s="44" t="str">
        <x:v>Reference A: yellow pen at 14 cm toward robot-right from table centre; Reference B: crushed Pepsi can at 14 cm away toward robot-left from table centre; blue block: at table centre on the straight Reference A–B segment; green block: 12 cm toward robot-left from table centre, off the Reference A–B segment; Bowl: empty</x:v>
      </x:c>
      <x:c r="E127" s="45" t="str"/>
      <x:c r="F127" s="45" t="str">
        <x:v>530; 1075; 350</x:v>
      </x:c>
      <x:c r="G127" s="44" t="str">
        <x:v>Between is explicit in Referential Disambiguation, and both block identities are manipulated elsewhere in fine-tuning; block × between is absent.</x:v>
      </x:c>
      <x:c r="H127" s="44" t="str">
        <x:v>blue block</x:v>
      </x:c>
      <x:c r="I127" s="44" t="str"/>
      <x:c r="J127" s="47" t="str">
        <x:v>Cross-task block reasoning</x:v>
      </x:c>
      <x:c r="K127" s="45" t="str">
        <x:v>RD-BLOCK-B01B</x:v>
      </x:c>
      <x:c r="L127" s="45" t="str">
        <x:v>between</x:v>
      </x:c>
      <x:c r="M127" s="45" t="str">
        <x:v>block</x:v>
      </x:c>
      <x:c r="N127" s="45" t="n">
        <x:v>4</x:v>
      </x:c>
      <x:c r="O127" s="45" t="n">
        <x:v>1</x:v>
      </x:c>
      <x:c r="P127" s="45" t="str">
        <x:v>Empty</x:v>
      </x:c>
      <x:c r="Q127" s="44" t="str">
        <x:v>Cross-task block candidate pair — between</x:v>
      </x:c>
      <x:c r="R127" s="45" t="n">
        <x:v>5</x:v>
      </x:c>
      <x:c r="S127" s="44" t="str">
        <x:v>Swap only the green and blue block roles from the preceding between setup.</x:v>
      </x:c>
      <x:c r="T127" s="44" t="str">
        <x:v>Adjacent between counterfactual scenes alternate which block occupies the midpoint.</x:v>
      </x:c>
      <x:c r="U127" s="44" t="str"/>
    </x:row>
    <x:row r="128" ht="51" customHeight="1">
      <x:c r="A128" s="41" t="str">
        <x:v>Not collected</x:v>
      </x:c>
      <x:c r="B128" s="42" t="n">
        <x:v>126</x:v>
      </x:c>
      <x:c r="C128" s="41" t="str">
        <x:v>Move the block between the green pencil sharpener and the airplane toy with propellers into the bowl.</x:v>
      </x:c>
      <x:c r="D128" s="41" t="str">
        <x:v>Reference A: green pencil sharpener at 14 cm to robot-left of table centre; Reference B: airplane toy with propellers at 14 cm to robot-right of table centre; green block: at table centre on the straight Reference A–B segment; blue block: 12 cm toward the robot from table centre, off the Reference A–B segment; Bowl: empty</x:v>
      </x:c>
      <x:c r="E128" s="42" t="str"/>
      <x:c r="F128" s="42" t="str">
        <x:v>530; 1075; 350</x:v>
      </x:c>
      <x:c r="G128" s="41" t="str">
        <x:v>Between is explicit in Referential Disambiguation, and both block identities are manipulated elsewhere in fine-tuning; block × between is absent.</x:v>
      </x:c>
      <x:c r="H128" s="41" t="str">
        <x:v>green block</x:v>
      </x:c>
      <x:c r="I128" s="41" t="str"/>
      <x:c r="J128" s="47" t="str">
        <x:v>Cross-task block reasoning</x:v>
      </x:c>
      <x:c r="K128" s="42" t="str">
        <x:v>RD-BLOCK-B02A</x:v>
      </x:c>
      <x:c r="L128" s="42" t="str">
        <x:v>between</x:v>
      </x:c>
      <x:c r="M128" s="42" t="str">
        <x:v>block</x:v>
      </x:c>
      <x:c r="N128" s="42" t="n">
        <x:v>4</x:v>
      </x:c>
      <x:c r="O128" s="42" t="n">
        <x:v>1</x:v>
      </x:c>
      <x:c r="P128" s="42" t="str">
        <x:v>Empty</x:v>
      </x:c>
      <x:c r="Q128" s="41" t="str">
        <x:v>Cross-task block candidate pair — between</x:v>
      </x:c>
      <x:c r="R128" s="42" t="n">
        <x:v>5</x:v>
      </x:c>
      <x:c r="S128" s="41" t="str">
        <x:v>Build the listed four-object between scene.</x:v>
      </x:c>
      <x:c r="T128" s="41" t="str">
        <x:v>Adjacent between counterfactual scenes alternate which block occupies the midpoint.</x:v>
      </x:c>
      <x:c r="U128" s="41" t="str"/>
    </x:row>
    <x:row r="129" ht="51" customHeight="1">
      <x:c r="A129" s="44" t="str">
        <x:v>Not collected</x:v>
      </x:c>
      <x:c r="B129" s="45" t="n">
        <x:v>127</x:v>
      </x:c>
      <x:c r="C129" s="44" t="str">
        <x:v>Pick up the block between the red pencil sharpener and the airplane toy without propellers and place it in the bowl.</x:v>
      </x:c>
      <x:c r="D129" s="44" t="str">
        <x:v>Reference A: red pencil sharpener at 14 cm toward the robot from table centre; Reference B: airplane toy without propellers at 14 cm away from the robot from table centre; blue block: at table centre on the straight Reference A–B segment; green block: 12 cm to robot-right of table centre, off the Reference A–B segment; Bowl: empty</x:v>
      </x:c>
      <x:c r="E129" s="45" t="str"/>
      <x:c r="F129" s="45" t="str">
        <x:v>530; 1075; 350</x:v>
      </x:c>
      <x:c r="G129" s="44" t="str">
        <x:v>Between is explicit in Referential Disambiguation, and both block identities are manipulated elsewhere in fine-tuning; block × between is absent.</x:v>
      </x:c>
      <x:c r="H129" s="44" t="str">
        <x:v>blue block</x:v>
      </x:c>
      <x:c r="I129" s="44" t="str"/>
      <x:c r="J129" s="47" t="str">
        <x:v>Cross-task block reasoning</x:v>
      </x:c>
      <x:c r="K129" s="45" t="str">
        <x:v>RD-BLOCK-B02B</x:v>
      </x:c>
      <x:c r="L129" s="45" t="str">
        <x:v>between</x:v>
      </x:c>
      <x:c r="M129" s="45" t="str">
        <x:v>block</x:v>
      </x:c>
      <x:c r="N129" s="45" t="n">
        <x:v>4</x:v>
      </x:c>
      <x:c r="O129" s="45" t="n">
        <x:v>1</x:v>
      </x:c>
      <x:c r="P129" s="45" t="str">
        <x:v>Empty</x:v>
      </x:c>
      <x:c r="Q129" s="44" t="str">
        <x:v>Cross-task block candidate pair — between</x:v>
      </x:c>
      <x:c r="R129" s="45" t="n">
        <x:v>5</x:v>
      </x:c>
      <x:c r="S129" s="44" t="str">
        <x:v>Swap only the green and blue block roles from the preceding between setup.</x:v>
      </x:c>
      <x:c r="T129" s="44" t="str">
        <x:v>Adjacent between counterfactual scenes alternate which block occupies the midpoint.</x:v>
      </x:c>
      <x:c r="U129" s="44" t="str"/>
    </x:row>
    <x:row r="130" ht="51" customHeight="1">
      <x:c r="A130" s="41" t="str">
        <x:v>Not collected</x:v>
      </x:c>
      <x:c r="B130" s="42" t="n">
        <x:v>128</x:v>
      </x:c>
      <x:c r="C130" s="41" t="str">
        <x:v>Put the block between the green pen and the airplane toy without propellers in the bowl.</x:v>
      </x:c>
      <x:c r="D130" s="41" t="str">
        <x:v>Reference A: green pen at 14 cm toward robot-left from table centre; Reference B: airplane toy without propellers at 14 cm away toward robot-right from table centre; green block: at table centre on the straight Reference A–B segment; blue block: 12 cm toward robot-right from table centre, off the Reference A–B segment; Bowl: empty</x:v>
      </x:c>
      <x:c r="E130" s="42" t="str"/>
      <x:c r="F130" s="42" t="str">
        <x:v>530; 1075; 350</x:v>
      </x:c>
      <x:c r="G130" s="41" t="str">
        <x:v>Between is explicit in Referential Disambiguation, and both block identities are manipulated elsewhere in fine-tuning; block × between is absent.</x:v>
      </x:c>
      <x:c r="H130" s="41" t="str">
        <x:v>green block</x:v>
      </x:c>
      <x:c r="I130" s="41" t="str"/>
      <x:c r="J130" s="47" t="str">
        <x:v>Cross-task block reasoning</x:v>
      </x:c>
      <x:c r="K130" s="42" t="str">
        <x:v>RD-BLOCK-B03A</x:v>
      </x:c>
      <x:c r="L130" s="42" t="str">
        <x:v>between</x:v>
      </x:c>
      <x:c r="M130" s="42" t="str">
        <x:v>block</x:v>
      </x:c>
      <x:c r="N130" s="42" t="n">
        <x:v>4</x:v>
      </x:c>
      <x:c r="O130" s="42" t="n">
        <x:v>1</x:v>
      </x:c>
      <x:c r="P130" s="42" t="str">
        <x:v>Empty</x:v>
      </x:c>
      <x:c r="Q130" s="41" t="str">
        <x:v>Cross-task block candidate pair — between</x:v>
      </x:c>
      <x:c r="R130" s="42" t="n">
        <x:v>5</x:v>
      </x:c>
      <x:c r="S130" s="41" t="str">
        <x:v>Build the listed four-object between scene.</x:v>
      </x:c>
      <x:c r="T130" s="41" t="str">
        <x:v>Adjacent between counterfactual scenes alternate which block occupies the midpoint.</x:v>
      </x:c>
      <x:c r="U130" s="41" t="str"/>
    </x:row>
    <x:row r="131" ht="51" customHeight="1">
      <x:c r="A131" s="44" t="str">
        <x:v>Not collected</x:v>
      </x:c>
      <x:c r="B131" s="45" t="n">
        <x:v>129</x:v>
      </x:c>
      <x:c r="C131" s="44" t="str">
        <x:v>Move the block between the yellow pen and the airplane toy with propellers into the bowl.</x:v>
      </x:c>
      <x:c r="D131" s="44" t="str">
        <x:v>Reference A: yellow pen at 14 cm toward robot-right from table centre; Reference B: airplane toy with propellers at 14 cm away toward robot-left from table centre; blue block: at table centre on the straight Reference A–B segment; green block: 12 cm toward robot-left from table centre, off the Reference A–B segment; Bowl: empty</x:v>
      </x:c>
      <x:c r="E131" s="45" t="str"/>
      <x:c r="F131" s="45" t="str">
        <x:v>530; 1075; 350</x:v>
      </x:c>
      <x:c r="G131" s="44" t="str">
        <x:v>Between is explicit in Referential Disambiguation, and both block identities are manipulated elsewhere in fine-tuning; block × between is absent.</x:v>
      </x:c>
      <x:c r="H131" s="44" t="str">
        <x:v>blue block</x:v>
      </x:c>
      <x:c r="I131" s="44" t="str"/>
      <x:c r="J131" s="47" t="str">
        <x:v>Cross-task block reasoning</x:v>
      </x:c>
      <x:c r="K131" s="45" t="str">
        <x:v>RD-BLOCK-B03B</x:v>
      </x:c>
      <x:c r="L131" s="45" t="str">
        <x:v>between</x:v>
      </x:c>
      <x:c r="M131" s="45" t="str">
        <x:v>block</x:v>
      </x:c>
      <x:c r="N131" s="45" t="n">
        <x:v>4</x:v>
      </x:c>
      <x:c r="O131" s="45" t="n">
        <x:v>1</x:v>
      </x:c>
      <x:c r="P131" s="45" t="str">
        <x:v>Empty</x:v>
      </x:c>
      <x:c r="Q131" s="44" t="str">
        <x:v>Cross-task block candidate pair — between</x:v>
      </x:c>
      <x:c r="R131" s="45" t="n">
        <x:v>5</x:v>
      </x:c>
      <x:c r="S131" s="44" t="str">
        <x:v>Swap only the green and blue block roles from the preceding between setup.</x:v>
      </x:c>
      <x:c r="T131" s="44" t="str">
        <x:v>Adjacent between counterfactual scenes alternate which block occupies the midpoint.</x:v>
      </x:c>
      <x:c r="U131" s="44" t="str"/>
    </x:row>
    <x:row r="132" ht="51" customHeight="1">
      <x:c r="A132" s="41" t="str">
        <x:v>Not collected</x:v>
      </x:c>
      <x:c r="B132" s="42" t="n">
        <x:v>130</x:v>
      </x:c>
      <x:c r="C132" s="41" t="str">
        <x:v>Pick up the crushed soda can between the green pen and the airplane toy with propellers and place it in the bowl.</x:v>
      </x:c>
      <x:c r="D132" s="41" t="str">
        <x:v>Reference A: green pen at 14 cm to robot-left of table centre; Reference B: airplane toy with propellers at 14 cm to robot-right of table centre; Absent candidate pair: crushed Coke can and crushed Pepsi can are not in the scene; Bowl: empty</x:v>
      </x:c>
      <x:c r="E132" s="42" t="str"/>
      <x:c r="F132" s="42" t="str">
        <x:v>430</x:v>
      </x:c>
      <x:c r="G132" s="41" t="str">
        <x:v>The relation × candidate-category prompt cell is explicitly trained. The evaluation scene deliberately removes both candidate identities; the abstention outcome is not demonstrated in training.</x:v>
      </x:c>
      <x:c r="H132" s="41" t="str">
        <x:v>NO-OP; neither crushed Coke can nor crushed Pepsi can is present</x:v>
      </x:c>
      <x:c r="I132" s="41" t="str"/>
      <x:c r="J132" s="48" t="str">
        <x:v>No valid candidate category / no movement</x:v>
      </x:c>
      <x:c r="K132" s="42" t="str">
        <x:v>RD-NOVALID01</x:v>
      </x:c>
      <x:c r="L132" s="42" t="str">
        <x:v>between</x:v>
      </x:c>
      <x:c r="M132" s="42" t="str">
        <x:v>crushed soda can</x:v>
      </x:c>
      <x:c r="N132" s="42" t="n">
        <x:v>2</x:v>
      </x:c>
      <x:c r="O132" s="42" t="n">
        <x:v>0</x:v>
      </x:c>
      <x:c r="P132" s="42" t="str">
        <x:v>Empty</x:v>
      </x:c>
      <x:c r="Q132" s="41" t="str">
        <x:v>Queried candidate pair absent; bowl remains empty</x:v>
      </x:c>
      <x:c r="R132" s="42" t="n">
        <x:v>6</x:v>
      </x:c>
      <x:c r="S132" s="41" t="str">
        <x:v>Build the listed candidate-absent scene and confirm the bowl is empty.</x:v>
      </x:c>
      <x:c r="T132" s="41" t="str">
        <x:v>The instruction uses normal active-trial wording. Success requires no grasp or object displacement.</x:v>
      </x:c>
      <x:c r="U132" s="41" t="str"/>
    </x:row>
    <x:row r="133" ht="51" customHeight="1">
      <x:c r="A133" s="44" t="str">
        <x:v>Not collected</x:v>
      </x:c>
      <x:c r="B133" s="45" t="n">
        <x:v>131</x:v>
      </x:c>
      <x:c r="C133" s="44" t="str">
        <x:v>Pick up the pencil sharpener closest to the crushed Coke can and place it in the bowl.</x:v>
      </x:c>
      <x:c r="D133" s="44" t="str">
        <x:v>Reference: crushed Coke can at table centre; green pen: at the far robot-left corner, outside the distance comparison; yellow pen: at the far robot-right corner, outside the distance comparison; Absent candidate pair: green pencil sharpener and red pencil sharpener are not in the scene; Bowl: empty</x:v>
      </x:c>
      <x:c r="E133" s="45" t="str"/>
      <x:c r="F133" s="45" t="str">
        <x:v>450</x:v>
      </x:c>
      <x:c r="G133" s="44" t="str">
        <x:v>The relation × candidate-category prompt cell is explicitly trained. The evaluation scene deliberately removes both candidate identities; the abstention outcome is not demonstrated in training.</x:v>
      </x:c>
      <x:c r="H133" s="44" t="str">
        <x:v>NO-OP; neither green pencil sharpener nor red pencil sharpener is present</x:v>
      </x:c>
      <x:c r="I133" s="44" t="str"/>
      <x:c r="J133" s="48" t="str">
        <x:v>No valid candidate category / no movement</x:v>
      </x:c>
      <x:c r="K133" s="45" t="str">
        <x:v>RD-NOVALID02</x:v>
      </x:c>
      <x:c r="L133" s="45" t="str">
        <x:v>closest</x:v>
      </x:c>
      <x:c r="M133" s="45" t="str">
        <x:v>pencil sharpener</x:v>
      </x:c>
      <x:c r="N133" s="45" t="n">
        <x:v>3</x:v>
      </x:c>
      <x:c r="O133" s="45" t="n">
        <x:v>0</x:v>
      </x:c>
      <x:c r="P133" s="45" t="str">
        <x:v>Empty</x:v>
      </x:c>
      <x:c r="Q133" s="44" t="str">
        <x:v>Queried candidate pair absent; bowl remains empty</x:v>
      </x:c>
      <x:c r="R133" s="45" t="n">
        <x:v>6</x:v>
      </x:c>
      <x:c r="S133" s="44" t="str">
        <x:v>Build the listed candidate-absent scene and confirm the bowl is empty.</x:v>
      </x:c>
      <x:c r="T133" s="44" t="str">
        <x:v>The instruction uses normal active-trial wording. Success requires no grasp or object displacement.</x:v>
      </x:c>
      <x:c r="U133" s="44" t="str"/>
    </x:row>
    <x:row r="134" ht="51" customHeight="1">
      <x:c r="A134" s="41" t="str">
        <x:v>Not collected</x:v>
      </x:c>
      <x:c r="B134" s="42" t="n">
        <x:v>132</x:v>
      </x:c>
      <x:c r="C134" s="41" t="str">
        <x:v>Put the airplane toy closest to the green pencil sharpener in the bowl.</x:v>
      </x:c>
      <x:c r="D134" s="41" t="str">
        <x:v>Reference: green pencil sharpener at table centre; red pencil sharpener: at the far robot-left corner, outside the distance comparison; green pen: at the far robot-right corner, outside the distance comparison; yellow pen: near the back edge, outside the distance comparison; Absent candidate pair: airplane toy with propellers and airplane toy without propellers are not in the scene; Bowl: empty</x:v>
      </x:c>
      <x:c r="E134" s="42" t="str"/>
      <x:c r="F134" s="42" t="str">
        <x:v>550</x:v>
      </x:c>
      <x:c r="G134" s="41" t="str">
        <x:v>The relation × candidate-category prompt cell is explicitly trained. The evaluation scene deliberately removes both candidate identities; the abstention outcome is not demonstrated in training.</x:v>
      </x:c>
      <x:c r="H134" s="41" t="str">
        <x:v>NO-OP; neither airplane toy with propellers nor airplane toy without propellers is present</x:v>
      </x:c>
      <x:c r="I134" s="41" t="str"/>
      <x:c r="J134" s="48" t="str">
        <x:v>No valid candidate category / no movement</x:v>
      </x:c>
      <x:c r="K134" s="42" t="str">
        <x:v>RD-NOVALID03</x:v>
      </x:c>
      <x:c r="L134" s="42" t="str">
        <x:v>closest</x:v>
      </x:c>
      <x:c r="M134" s="42" t="str">
        <x:v>airplane toy</x:v>
      </x:c>
      <x:c r="N134" s="42" t="n">
        <x:v>4</x:v>
      </x:c>
      <x:c r="O134" s="42" t="n">
        <x:v>0</x:v>
      </x:c>
      <x:c r="P134" s="42" t="str">
        <x:v>Empty</x:v>
      </x:c>
      <x:c r="Q134" s="41" t="str">
        <x:v>Queried candidate pair absent; bowl remains empty</x:v>
      </x:c>
      <x:c r="R134" s="42" t="n">
        <x:v>6</x:v>
      </x:c>
      <x:c r="S134" s="41" t="str">
        <x:v>Build the listed candidate-absent scene and confirm the bowl is empty.</x:v>
      </x:c>
      <x:c r="T134" s="41" t="str">
        <x:v>The instruction uses normal active-trial wording. Success requires no grasp or object displacement.</x:v>
      </x:c>
      <x:c r="U134" s="41" t="str"/>
    </x:row>
    <x:row r="135" ht="51" customHeight="1">
      <x:c r="A135" s="44" t="str">
        <x:v>Not collected</x:v>
      </x:c>
      <x:c r="B135" s="45" t="n">
        <x:v>133</x:v>
      </x:c>
      <x:c r="C135" s="44" t="str">
        <x:v>Pick up the pen furthest from the crushed Pepsi can and place it in the bowl.</x:v>
      </x:c>
      <x:c r="D135" s="44" t="str">
        <x:v>Reference: crushed Pepsi can at table centre; airplane toy with propellers: at the far robot-left corner, outside the distance comparison; Absent candidate pair: green pen and yellow pen are not in the scene; Bowl: empty</x:v>
      </x:c>
      <x:c r="E135" s="45" t="str"/>
      <x:c r="F135" s="45" t="str">
        <x:v>515</x:v>
      </x:c>
      <x:c r="G135" s="44" t="str">
        <x:v>The relation × candidate-category prompt cell is explicitly trained. The evaluation scene deliberately removes both candidate identities; the abstention outcome is not demonstrated in training.</x:v>
      </x:c>
      <x:c r="H135" s="44" t="str">
        <x:v>NO-OP; neither green pen nor yellow pen is present</x:v>
      </x:c>
      <x:c r="I135" s="44" t="str"/>
      <x:c r="J135" s="48" t="str">
        <x:v>No valid candidate category / no movement</x:v>
      </x:c>
      <x:c r="K135" s="45" t="str">
        <x:v>RD-NOVALID04</x:v>
      </x:c>
      <x:c r="L135" s="45" t="str">
        <x:v>furthest</x:v>
      </x:c>
      <x:c r="M135" s="45" t="str">
        <x:v>pen</x:v>
      </x:c>
      <x:c r="N135" s="45" t="n">
        <x:v>2</x:v>
      </x:c>
      <x:c r="O135" s="45" t="n">
        <x:v>0</x:v>
      </x:c>
      <x:c r="P135" s="45" t="str">
        <x:v>Empty</x:v>
      </x:c>
      <x:c r="Q135" s="44" t="str">
        <x:v>Queried candidate pair absent; bowl remains empty</x:v>
      </x:c>
      <x:c r="R135" s="45" t="n">
        <x:v>6</x:v>
      </x:c>
      <x:c r="S135" s="44" t="str">
        <x:v>Build the listed candidate-absent scene and confirm the bowl is empty.</x:v>
      </x:c>
      <x:c r="T135" s="44" t="str">
        <x:v>The instruction uses normal active-trial wording. Success requires no grasp or object displacement.</x:v>
      </x:c>
      <x:c r="U135" s="44" t="str"/>
    </x:row>
    <x:row r="136" ht="51" customHeight="1">
      <x:c r="A136" s="41" t="str">
        <x:v>Not collected</x:v>
      </x:c>
      <x:c r="B136" s="42" t="n">
        <x:v>134</x:v>
      </x:c>
      <x:c r="C136" s="41" t="str">
        <x:v>Put the crushed soda can furthest from the airplane toy without propellers in the bowl.</x:v>
      </x:c>
      <x:c r="D136" s="41" t="str">
        <x:v>Reference: airplane toy without propellers at table centre; airplane toy with propellers: at the far robot-left corner, outside the distance comparison; green pencil sharpener: at the far robot-right corner, outside the distance comparison; Absent candidate pair: crushed Coke can and crushed Pepsi can are not in the scene; Bowl: empty</x:v>
      </x:c>
      <x:c r="E136" s="42" t="str"/>
      <x:c r="F136" s="42" t="str">
        <x:v>415</x:v>
      </x:c>
      <x:c r="G136" s="41" t="str">
        <x:v>The relation × candidate-category prompt cell is explicitly trained. The evaluation scene deliberately removes both candidate identities; the abstention outcome is not demonstrated in training.</x:v>
      </x:c>
      <x:c r="H136" s="41" t="str">
        <x:v>NO-OP; neither crushed Coke can nor crushed Pepsi can is present</x:v>
      </x:c>
      <x:c r="I136" s="41" t="str"/>
      <x:c r="J136" s="48" t="str">
        <x:v>No valid candidate category / no movement</x:v>
      </x:c>
      <x:c r="K136" s="42" t="str">
        <x:v>RD-NOVALID05</x:v>
      </x:c>
      <x:c r="L136" s="42" t="str">
        <x:v>furthest</x:v>
      </x:c>
      <x:c r="M136" s="42" t="str">
        <x:v>crushed soda can</x:v>
      </x:c>
      <x:c r="N136" s="42" t="n">
        <x:v>3</x:v>
      </x:c>
      <x:c r="O136" s="42" t="n">
        <x:v>0</x:v>
      </x:c>
      <x:c r="P136" s="42" t="str">
        <x:v>Empty</x:v>
      </x:c>
      <x:c r="Q136" s="41" t="str">
        <x:v>Queried candidate pair absent; bowl remains empty</x:v>
      </x:c>
      <x:c r="R136" s="42" t="n">
        <x:v>6</x:v>
      </x:c>
      <x:c r="S136" s="41" t="str">
        <x:v>Build the listed candidate-absent scene and confirm the bowl is empty.</x:v>
      </x:c>
      <x:c r="T136" s="41" t="str">
        <x:v>The instruction uses normal active-trial wording. Success requires no grasp or object displacement.</x:v>
      </x:c>
      <x:c r="U136" s="41" t="str"/>
    </x:row>
    <x:row r="137" ht="51" customHeight="1">
      <x:c r="A137" s="44" t="str">
        <x:v>Not collected</x:v>
      </x:c>
      <x:c r="B137" s="45" t="n">
        <x:v>135</x:v>
      </x:c>
      <x:c r="C137" s="44" t="str">
        <x:v>Move the pencil sharpener furthest from the airplane toy without propellers into the bowl.</x:v>
      </x:c>
      <x:c r="D137" s="44" t="str">
        <x:v>Reference: airplane toy without propellers at table centre; crushed Coke can: at the far robot-left corner, outside the distance comparison; crushed Pepsi can: at the far robot-right corner, outside the distance comparison; green pen: near the back edge, outside the distance comparison; Absent candidate pair: green pencil sharpener and red pencil sharpener are not in the scene; Bowl: empty</x:v>
      </x:c>
      <x:c r="E137" s="45" t="str"/>
      <x:c r="F137" s="45" t="str">
        <x:v>465</x:v>
      </x:c>
      <x:c r="G137" s="44" t="str">
        <x:v>The relation × candidate-category prompt cell is explicitly trained. The evaluation scene deliberately removes both candidate identities; the abstention outcome is not demonstrated in training.</x:v>
      </x:c>
      <x:c r="H137" s="44" t="str">
        <x:v>NO-OP; neither green pencil sharpener nor red pencil sharpener is present</x:v>
      </x:c>
      <x:c r="I137" s="44" t="str"/>
      <x:c r="J137" s="48" t="str">
        <x:v>No valid candidate category / no movement</x:v>
      </x:c>
      <x:c r="K137" s="45" t="str">
        <x:v>RD-NOVALID06</x:v>
      </x:c>
      <x:c r="L137" s="45" t="str">
        <x:v>furthest</x:v>
      </x:c>
      <x:c r="M137" s="45" t="str">
        <x:v>pencil sharpener</x:v>
      </x:c>
      <x:c r="N137" s="45" t="n">
        <x:v>4</x:v>
      </x:c>
      <x:c r="O137" s="45" t="n">
        <x:v>0</x:v>
      </x:c>
      <x:c r="P137" s="45" t="str">
        <x:v>Empty</x:v>
      </x:c>
      <x:c r="Q137" s="44" t="str">
        <x:v>Queried candidate pair absent; bowl remains empty</x:v>
      </x:c>
      <x:c r="R137" s="45" t="n">
        <x:v>6</x:v>
      </x:c>
      <x:c r="S137" s="44" t="str">
        <x:v>Build the listed candidate-absent scene and confirm the bowl is empty.</x:v>
      </x:c>
      <x:c r="T137" s="44" t="str">
        <x:v>The instruction uses normal active-trial wording. Success requires no grasp or object displacement.</x:v>
      </x:c>
      <x:c r="U137" s="44" t="str"/>
    </x:row>
    <x:row r="138" ht="51" customHeight="1">
      <x:c r="A138" s="41" t="str">
        <x:v>Not collected</x:v>
      </x:c>
      <x:c r="B138" s="42" t="n">
        <x:v>136</x:v>
      </x:c>
      <x:c r="C138" s="41" t="str">
        <x:v>Put the airplane toy between the green pen and the crushed Coke can in the bowl.</x:v>
      </x:c>
      <x:c r="D138" s="41" t="str">
        <x:v>Reference A: green pen at 14 cm to robot-left of table centre; Reference B: crushed Coke can at 14 cm to robot-right of table centre; Absent candidate pair: airplane toy with propellers and airplane toy without propellers are not in the scene; Bowl: empty</x:v>
      </x:c>
      <x:c r="E138" s="42" t="str"/>
      <x:c r="F138" s="42" t="str">
        <x:v>580</x:v>
      </x:c>
      <x:c r="G138" s="41" t="str">
        <x:v>The relation × candidate-category prompt cell is explicitly trained. The evaluation scene deliberately removes both candidate identities; the abstention outcome is not demonstrated in training.</x:v>
      </x:c>
      <x:c r="H138" s="41" t="str">
        <x:v>NO-OP; neither airplane toy with propellers nor airplane toy without propellers is present</x:v>
      </x:c>
      <x:c r="I138" s="41" t="str"/>
      <x:c r="J138" s="48" t="str">
        <x:v>No valid candidate category / no movement</x:v>
      </x:c>
      <x:c r="K138" s="42" t="str">
        <x:v>RD-NOVALID07</x:v>
      </x:c>
      <x:c r="L138" s="42" t="str">
        <x:v>between</x:v>
      </x:c>
      <x:c r="M138" s="42" t="str">
        <x:v>airplane toy</x:v>
      </x:c>
      <x:c r="N138" s="42" t="n">
        <x:v>2</x:v>
      </x:c>
      <x:c r="O138" s="42" t="n">
        <x:v>0</x:v>
      </x:c>
      <x:c r="P138" s="42" t="str">
        <x:v>Empty</x:v>
      </x:c>
      <x:c r="Q138" s="41" t="str">
        <x:v>Queried candidate pair absent; bowl remains empty</x:v>
      </x:c>
      <x:c r="R138" s="42" t="n">
        <x:v>6</x:v>
      </x:c>
      <x:c r="S138" s="41" t="str">
        <x:v>Build the listed candidate-absent scene and confirm the bowl is empty.</x:v>
      </x:c>
      <x:c r="T138" s="41" t="str">
        <x:v>The instruction uses normal active-trial wording. Success requires no grasp or object displacement.</x:v>
      </x:c>
      <x:c r="U138" s="41" t="str"/>
    </x:row>
    <x:row r="139" ht="51" customHeight="1">
      <x:c r="A139" s="44" t="str">
        <x:v>Not collected</x:v>
      </x:c>
      <x:c r="B139" s="45" t="n">
        <x:v>137</x:v>
      </x:c>
      <x:c r="C139" s="44" t="str">
        <x:v>Move the pen closest to the green pencil sharpener into the bowl.</x:v>
      </x:c>
      <x:c r="D139" s="44" t="str">
        <x:v>Reference: green pencil sharpener at table centre; red pencil sharpener: at the far robot-left corner, outside the distance comparison; airplane toy with propellers: at the far robot-right corner, outside the distance comparison; Absent candidate pair: green pen and yellow pen are not in the scene; Bowl: empty</x:v>
      </x:c>
      <x:c r="E139" s="45" t="str"/>
      <x:c r="F139" s="45" t="str">
        <x:v>500</x:v>
      </x:c>
      <x:c r="G139" s="44" t="str">
        <x:v>The relation × candidate-category prompt cell is explicitly trained. The evaluation scene deliberately removes both candidate identities; the abstention outcome is not demonstrated in training.</x:v>
      </x:c>
      <x:c r="H139" s="44" t="str">
        <x:v>NO-OP; neither green pen nor yellow pen is present</x:v>
      </x:c>
      <x:c r="I139" s="44" t="str"/>
      <x:c r="J139" s="48" t="str">
        <x:v>No valid candidate category / no movement</x:v>
      </x:c>
      <x:c r="K139" s="45" t="str">
        <x:v>RD-NOVALID08</x:v>
      </x:c>
      <x:c r="L139" s="45" t="str">
        <x:v>closest</x:v>
      </x:c>
      <x:c r="M139" s="45" t="str">
        <x:v>pen</x:v>
      </x:c>
      <x:c r="N139" s="45" t="n">
        <x:v>3</x:v>
      </x:c>
      <x:c r="O139" s="45" t="n">
        <x:v>0</x:v>
      </x:c>
      <x:c r="P139" s="45" t="str">
        <x:v>Empty</x:v>
      </x:c>
      <x:c r="Q139" s="44" t="str">
        <x:v>Queried candidate pair absent; bowl remains empty</x:v>
      </x:c>
      <x:c r="R139" s="45" t="n">
        <x:v>6</x:v>
      </x:c>
      <x:c r="S139" s="44" t="str">
        <x:v>Build the listed candidate-absent scene and confirm the bowl is empty.</x:v>
      </x:c>
      <x:c r="T139" s="44" t="str">
        <x:v>The instruction uses normal active-trial wording. Success requires no grasp or object displacement.</x:v>
      </x:c>
      <x:c r="U139" s="44" t="str"/>
    </x:row>
    <x:row r="140" ht="51" customHeight="1">
      <x:c r="A140" s="41" t="str">
        <x:v>Not collected</x:v>
      </x:c>
      <x:c r="B140" s="42" t="n">
        <x:v>138</x:v>
      </x:c>
      <x:c r="C140" s="41" t="str">
        <x:v>Move the crushed soda can between the airplane toy without propellers and the red pencil sharpener into the bowl.</x:v>
      </x:c>
      <x:c r="D140" s="41" t="str">
        <x:v>Reference A: airplane toy without propellers at 14 cm to robot-left of table centre; Reference B: red pencil sharpener at 14 cm to robot-right of table centre; yellow pen: at the far robot-left corner, outside the distance comparison; airplane toy with propellers: at the far robot-right corner, outside the distance comparison; Absent candidate pair: crushed Coke can and crushed Pepsi can are not in the scene; Bowl: empty</x:v>
      </x:c>
      <x:c r="E140" s="42" t="str"/>
      <x:c r="F140" s="42" t="str">
        <x:v>431</x:v>
      </x:c>
      <x:c r="G140" s="41" t="str">
        <x:v>The relation × candidate-category prompt cell is explicitly trained. The evaluation scene deliberately removes both candidate identities; the abstention outcome is not demonstrated in training.</x:v>
      </x:c>
      <x:c r="H140" s="41" t="str">
        <x:v>NO-OP; neither crushed Coke can nor crushed Pepsi can is present</x:v>
      </x:c>
      <x:c r="I140" s="41" t="str"/>
      <x:c r="J140" s="48" t="str">
        <x:v>No valid candidate category / no movement</x:v>
      </x:c>
      <x:c r="K140" s="42" t="str">
        <x:v>RD-NOVALID09</x:v>
      </x:c>
      <x:c r="L140" s="42" t="str">
        <x:v>between</x:v>
      </x:c>
      <x:c r="M140" s="42" t="str">
        <x:v>crushed soda can</x:v>
      </x:c>
      <x:c r="N140" s="42" t="n">
        <x:v>4</x:v>
      </x:c>
      <x:c r="O140" s="42" t="n">
        <x:v>0</x:v>
      </x:c>
      <x:c r="P140" s="42" t="str">
        <x:v>Empty</x:v>
      </x:c>
      <x:c r="Q140" s="41" t="str">
        <x:v>Queried candidate pair absent; bowl remains empty</x:v>
      </x:c>
      <x:c r="R140" s="42" t="n">
        <x:v>6</x:v>
      </x:c>
      <x:c r="S140" s="41" t="str">
        <x:v>Build the listed candidate-absent scene and confirm the bowl is empty.</x:v>
      </x:c>
      <x:c r="T140" s="41" t="str">
        <x:v>The instruction uses normal active-trial wording. Success requires no grasp or object displacement.</x:v>
      </x:c>
      <x:c r="U140" s="41" t="str"/>
    </x:row>
    <x:row r="141" ht="51" customHeight="1">
      <x:c r="A141" s="44" t="str">
        <x:v>Not collected</x:v>
      </x:c>
      <x:c r="B141" s="45" t="n">
        <x:v>139</x:v>
      </x:c>
      <x:c r="C141" s="44" t="str">
        <x:v>Pick up the pencil sharpener closest to the yellow pen and place it in the bowl.</x:v>
      </x:c>
      <x:c r="D141" s="44" t="str">
        <x:v>Reference: yellow pen at table centre; airplane toy without propellers: at the far robot-left corner, outside the distance comparison; Absent candidate pair: green pencil sharpener and red pencil sharpener are not in the scene; Bowl: empty</x:v>
      </x:c>
      <x:c r="E141" s="45" t="str"/>
      <x:c r="F141" s="45" t="str">
        <x:v>451</x:v>
      </x:c>
      <x:c r="G141" s="44" t="str">
        <x:v>The relation × candidate-category prompt cell is explicitly trained. The evaluation scene deliberately removes both candidate identities; the abstention outcome is not demonstrated in training.</x:v>
      </x:c>
      <x:c r="H141" s="44" t="str">
        <x:v>NO-OP; neither green pencil sharpener nor red pencil sharpener is present</x:v>
      </x:c>
      <x:c r="I141" s="44" t="str"/>
      <x:c r="J141" s="48" t="str">
        <x:v>No valid candidate category / no movement</x:v>
      </x:c>
      <x:c r="K141" s="45" t="str">
        <x:v>RD-NOVALID10</x:v>
      </x:c>
      <x:c r="L141" s="45" t="str">
        <x:v>closest</x:v>
      </x:c>
      <x:c r="M141" s="45" t="str">
        <x:v>pencil sharpener</x:v>
      </x:c>
      <x:c r="N141" s="45" t="n">
        <x:v>2</x:v>
      </x:c>
      <x:c r="O141" s="45" t="n">
        <x:v>0</x:v>
      </x:c>
      <x:c r="P141" s="45" t="str">
        <x:v>Empty</x:v>
      </x:c>
      <x:c r="Q141" s="44" t="str">
        <x:v>Queried candidate pair absent; bowl remains empty</x:v>
      </x:c>
      <x:c r="R141" s="45" t="n">
        <x:v>6</x:v>
      </x:c>
      <x:c r="S141" s="44" t="str">
        <x:v>Build the listed candidate-absent scene and confirm the bowl is empty.</x:v>
      </x:c>
      <x:c r="T141" s="44" t="str">
        <x:v>The instruction uses normal active-trial wording. Success requires no grasp or object displacement.</x:v>
      </x:c>
      <x:c r="U141" s="44" t="str"/>
    </x:row>
    <x:row r="142" ht="51" customHeight="1">
      <x:c r="A142" s="41" t="str">
        <x:v>Not collected</x:v>
      </x:c>
      <x:c r="B142" s="42" t="n">
        <x:v>140</x:v>
      </x:c>
      <x:c r="C142" s="41" t="str">
        <x:v>Pick up the airplane toy between the green pencil sharpener and the yellow pen and place it in the bowl.</x:v>
      </x:c>
      <x:c r="D142" s="41" t="str">
        <x:v>Reference A: green pencil sharpener at 14 cm to robot-left of table centre; Reference B: yellow pen at 14 cm to robot-right of table centre; crushed Coke can: at the far robot-left corner, outside the distance comparison; Absent candidate pair: airplane toy with propellers and airplane toy without propellers are not in the scene; Bowl: empty</x:v>
      </x:c>
      <x:c r="E142" s="42" t="str"/>
      <x:c r="F142" s="42" t="str">
        <x:v>581</x:v>
      </x:c>
      <x:c r="G142" s="41" t="str">
        <x:v>The relation × candidate-category prompt cell is explicitly trained. The evaluation scene deliberately removes both candidate identities; the abstention outcome is not demonstrated in training.</x:v>
      </x:c>
      <x:c r="H142" s="41" t="str">
        <x:v>NO-OP; neither airplane toy with propellers nor airplane toy without propellers is present</x:v>
      </x:c>
      <x:c r="I142" s="41" t="str"/>
      <x:c r="J142" s="48" t="str">
        <x:v>No valid candidate category / no movement</x:v>
      </x:c>
      <x:c r="K142" s="42" t="str">
        <x:v>RD-NOVALID11</x:v>
      </x:c>
      <x:c r="L142" s="42" t="str">
        <x:v>between</x:v>
      </x:c>
      <x:c r="M142" s="42" t="str">
        <x:v>airplane toy</x:v>
      </x:c>
      <x:c r="N142" s="42" t="n">
        <x:v>3</x:v>
      </x:c>
      <x:c r="O142" s="42" t="n">
        <x:v>0</x:v>
      </x:c>
      <x:c r="P142" s="42" t="str">
        <x:v>Empty</x:v>
      </x:c>
      <x:c r="Q142" s="41" t="str">
        <x:v>Queried candidate pair absent; bowl remains empty</x:v>
      </x:c>
      <x:c r="R142" s="42" t="n">
        <x:v>6</x:v>
      </x:c>
      <x:c r="S142" s="41" t="str">
        <x:v>Build the listed candidate-absent scene and confirm the bowl is empty.</x:v>
      </x:c>
      <x:c r="T142" s="41" t="str">
        <x:v>The instruction uses normal active-trial wording. Success requires no grasp or object displacement.</x:v>
      </x:c>
      <x:c r="U142" s="41" t="str"/>
    </x:row>
    <x:row r="143" ht="51" customHeight="1">
      <x:c r="A143" s="44" t="str">
        <x:v>Not collected</x:v>
      </x:c>
      <x:c r="B143" s="45" t="n">
        <x:v>141</x:v>
      </x:c>
      <x:c r="C143" s="44" t="str">
        <x:v>Pick up the pen furthest from the airplane toy without propellers and place it in the bowl.</x:v>
      </x:c>
      <x:c r="D143" s="44" t="str">
        <x:v>Reference: airplane toy without propellers at table centre; crushed Pepsi can: at the far robot-left corner, outside the distance comparison; green pencil sharpener: at the far robot-right corner, outside the distance comparison; red pencil sharpener: near the back edge, outside the distance comparison; Absent candidate pair: green pen and yellow pen are not in the scene; Bowl: empty</x:v>
      </x:c>
      <x:c r="E143" s="45" t="str"/>
      <x:c r="F143" s="45" t="str">
        <x:v>516</x:v>
      </x:c>
      <x:c r="G143" s="44" t="str">
        <x:v>The relation × candidate-category prompt cell is explicitly trained. The evaluation scene deliberately removes both candidate identities; the abstention outcome is not demonstrated in training.</x:v>
      </x:c>
      <x:c r="H143" s="44" t="str">
        <x:v>NO-OP; neither green pen nor yellow pen is present</x:v>
      </x:c>
      <x:c r="I143" s="44" t="str"/>
      <x:c r="J143" s="48" t="str">
        <x:v>No valid candidate category / no movement</x:v>
      </x:c>
      <x:c r="K143" s="45" t="str">
        <x:v>RD-NOVALID12</x:v>
      </x:c>
      <x:c r="L143" s="45" t="str">
        <x:v>furthest</x:v>
      </x:c>
      <x:c r="M143" s="45" t="str">
        <x:v>pen</x:v>
      </x:c>
      <x:c r="N143" s="45" t="n">
        <x:v>4</x:v>
      </x:c>
      <x:c r="O143" s="45" t="n">
        <x:v>0</x:v>
      </x:c>
      <x:c r="P143" s="45" t="str">
        <x:v>Empty</x:v>
      </x:c>
      <x:c r="Q143" s="44" t="str">
        <x:v>Queried candidate pair absent; bowl remains empty</x:v>
      </x:c>
      <x:c r="R143" s="45" t="n">
        <x:v>6</x:v>
      </x:c>
      <x:c r="S143" s="44" t="str">
        <x:v>Build the listed candidate-absent scene and confirm the bowl is empty.</x:v>
      </x:c>
      <x:c r="T143" s="44" t="str">
        <x:v>The instruction uses normal active-trial wording. Success requires no grasp or object displacement.</x:v>
      </x:c>
      <x:c r="U143" s="44" t="str"/>
    </x:row>
    <x:row r="144" ht="51" customHeight="1">
      <x:c r="A144" s="41" t="str">
        <x:v>Not collected</x:v>
      </x:c>
      <x:c r="B144" s="42" t="n">
        <x:v>142</x:v>
      </x:c>
      <x:c r="C144" s="41" t="str">
        <x:v>Put the crushed soda can furthest from the green pen in the bowl.</x:v>
      </x:c>
      <x:c r="D144" s="41" t="str">
        <x:v>Reference: green pen at table centre; yellow pen: at the far robot-left corner, outside the distance comparison; Absent candidate pair: crushed Coke can and crushed Pepsi can are not in the scene; Bowl: empty</x:v>
      </x:c>
      <x:c r="E144" s="42" t="str"/>
      <x:c r="F144" s="42" t="str">
        <x:v>416</x:v>
      </x:c>
      <x:c r="G144" s="41" t="str">
        <x:v>The relation × candidate-category prompt cell is explicitly trained. The evaluation scene deliberately removes both candidate identities; the abstention outcome is not demonstrated in training.</x:v>
      </x:c>
      <x:c r="H144" s="41" t="str">
        <x:v>NO-OP; neither crushed Coke can nor crushed Pepsi can is present</x:v>
      </x:c>
      <x:c r="I144" s="41" t="str"/>
      <x:c r="J144" s="48" t="str">
        <x:v>No valid candidate category / no movement</x:v>
      </x:c>
      <x:c r="K144" s="42" t="str">
        <x:v>RD-NOVALID13</x:v>
      </x:c>
      <x:c r="L144" s="42" t="str">
        <x:v>furthest</x:v>
      </x:c>
      <x:c r="M144" s="42" t="str">
        <x:v>crushed soda can</x:v>
      </x:c>
      <x:c r="N144" s="42" t="n">
        <x:v>2</x:v>
      </x:c>
      <x:c r="O144" s="42" t="n">
        <x:v>0</x:v>
      </x:c>
      <x:c r="P144" s="42" t="str">
        <x:v>Empty</x:v>
      </x:c>
      <x:c r="Q144" s="41" t="str">
        <x:v>Queried candidate pair absent; bowl remains empty</x:v>
      </x:c>
      <x:c r="R144" s="42" t="n">
        <x:v>6</x:v>
      </x:c>
      <x:c r="S144" s="41" t="str">
        <x:v>Build the listed candidate-absent scene and confirm the bowl is empty.</x:v>
      </x:c>
      <x:c r="T144" s="41" t="str">
        <x:v>The instruction uses normal active-trial wording. Success requires no grasp or object displacement.</x:v>
      </x:c>
      <x:c r="U144" s="41" t="str"/>
    </x:row>
    <x:row r="145" ht="51" customHeight="1">
      <x:c r="A145" s="44" t="str">
        <x:v>Not collected</x:v>
      </x:c>
      <x:c r="B145" s="45" t="n">
        <x:v>143</x:v>
      </x:c>
      <x:c r="C145" s="44" t="str">
        <x:v>Put the pencil sharpener closest to the crushed Coke can in the bowl.</x:v>
      </x:c>
      <x:c r="D145" s="44" t="str">
        <x:v>Reference: crushed Coke can at table centre; airplane toy with propellers: at the far robot-left corner, outside the distance comparison; airplane toy without propellers: at the far robot-right corner, outside the distance comparison; Absent candidate pair: green pencil sharpener and red pencil sharpener are not in the scene; Bowl: empty</x:v>
      </x:c>
      <x:c r="E145" s="45" t="str"/>
      <x:c r="F145" s="45" t="str">
        <x:v>452</x:v>
      </x:c>
      <x:c r="G145" s="44" t="str">
        <x:v>The relation × candidate-category prompt cell is explicitly trained. The evaluation scene deliberately removes both candidate identities; the abstention outcome is not demonstrated in training.</x:v>
      </x:c>
      <x:c r="H145" s="44" t="str">
        <x:v>NO-OP; neither green pencil sharpener nor red pencil sharpener is present</x:v>
      </x:c>
      <x:c r="I145" s="44" t="str"/>
      <x:c r="J145" s="48" t="str">
        <x:v>No valid candidate category / no movement</x:v>
      </x:c>
      <x:c r="K145" s="45" t="str">
        <x:v>RD-NOVALID14</x:v>
      </x:c>
      <x:c r="L145" s="45" t="str">
        <x:v>closest</x:v>
      </x:c>
      <x:c r="M145" s="45" t="str">
        <x:v>pencil sharpener</x:v>
      </x:c>
      <x:c r="N145" s="45" t="n">
        <x:v>3</x:v>
      </x:c>
      <x:c r="O145" s="45" t="n">
        <x:v>0</x:v>
      </x:c>
      <x:c r="P145" s="45" t="str">
        <x:v>Empty</x:v>
      </x:c>
      <x:c r="Q145" s="44" t="str">
        <x:v>Queried candidate pair absent; bowl remains empty</x:v>
      </x:c>
      <x:c r="R145" s="45" t="n">
        <x:v>6</x:v>
      </x:c>
      <x:c r="S145" s="44" t="str">
        <x:v>Build the listed candidate-absent scene and confirm the bowl is empty.</x:v>
      </x:c>
      <x:c r="T145" s="44" t="str">
        <x:v>The instruction uses normal active-trial wording. Success requires no grasp or object displacement.</x:v>
      </x:c>
      <x:c r="U145" s="44" t="str"/>
    </x:row>
    <x:row r="146" ht="51" customHeight="1">
      <x:c r="A146" s="41" t="str">
        <x:v>Not collected</x:v>
      </x:c>
      <x:c r="B146" s="42" t="n">
        <x:v>144</x:v>
      </x:c>
      <x:c r="C146" s="41" t="str">
        <x:v>Move the airplane toy closest to the green pencil sharpener into the bowl.</x:v>
      </x:c>
      <x:c r="D146" s="41" t="str">
        <x:v>Reference: green pencil sharpener at table centre; yellow pen: at the far robot-left corner, outside the distance comparison; crushed Coke can: at the far robot-right corner, outside the distance comparison; crushed Pepsi can: near the back edge, outside the distance comparison; Absent candidate pair: airplane toy with propellers and airplane toy without propellers are not in the scene; Bowl: empty</x:v>
      </x:c>
      <x:c r="E146" s="42" t="str"/>
      <x:c r="F146" s="42" t="str">
        <x:v>551</x:v>
      </x:c>
      <x:c r="G146" s="41" t="str">
        <x:v>The relation × candidate-category prompt cell is explicitly trained. The evaluation scene deliberately removes both candidate identities; the abstention outcome is not demonstrated in training.</x:v>
      </x:c>
      <x:c r="H146" s="41" t="str">
        <x:v>NO-OP; neither airplane toy with propellers nor airplane toy without propellers is present</x:v>
      </x:c>
      <x:c r="I146" s="41" t="str"/>
      <x:c r="J146" s="48" t="str">
        <x:v>No valid candidate category / no movement</x:v>
      </x:c>
      <x:c r="K146" s="42" t="str">
        <x:v>RD-NOVALID15</x:v>
      </x:c>
      <x:c r="L146" s="42" t="str">
        <x:v>closest</x:v>
      </x:c>
      <x:c r="M146" s="42" t="str">
        <x:v>airplane toy</x:v>
      </x:c>
      <x:c r="N146" s="42" t="n">
        <x:v>4</x:v>
      </x:c>
      <x:c r="O146" s="42" t="n">
        <x:v>0</x:v>
      </x:c>
      <x:c r="P146" s="42" t="str">
        <x:v>Empty</x:v>
      </x:c>
      <x:c r="Q146" s="41" t="str">
        <x:v>Queried candidate pair absent; bowl remains empty</x:v>
      </x:c>
      <x:c r="R146" s="42" t="n">
        <x:v>6</x:v>
      </x:c>
      <x:c r="S146" s="41" t="str">
        <x:v>Build the listed candidate-absent scene and confirm the bowl is empty.</x:v>
      </x:c>
      <x:c r="T146" s="41" t="str">
        <x:v>The instruction uses normal active-trial wording. Success requires no grasp or object displacement.</x:v>
      </x:c>
      <x:c r="U146" s="41" t="str"/>
    </x:row>
    <x:row r="147" ht="51" customHeight="1">
      <x:c r="A147" s="44" t="str">
        <x:v>Not collected</x:v>
      </x:c>
      <x:c r="B147" s="45" t="n">
        <x:v>145</x:v>
      </x:c>
      <x:c r="C147" s="44" t="str">
        <x:v>Move the pen furthest from the crushed Pepsi can into the bowl.</x:v>
      </x:c>
      <x:c r="D147" s="44" t="str">
        <x:v>Reference: crushed Pepsi can at table centre; crushed Coke can: at the far robot-left corner, outside the distance comparison; Absent candidate pair: green pen and yellow pen are not in the scene; Bowl: empty</x:v>
      </x:c>
      <x:c r="E147" s="45" t="str"/>
      <x:c r="F147" s="45" t="str">
        <x:v>517</x:v>
      </x:c>
      <x:c r="G147" s="44" t="str">
        <x:v>The relation × candidate-category prompt cell is explicitly trained. The evaluation scene deliberately removes both candidate identities; the abstention outcome is not demonstrated in training.</x:v>
      </x:c>
      <x:c r="H147" s="44" t="str">
        <x:v>NO-OP; neither green pen nor yellow pen is present</x:v>
      </x:c>
      <x:c r="I147" s="44" t="str"/>
      <x:c r="J147" s="48" t="str">
        <x:v>No valid candidate category / no movement</x:v>
      </x:c>
      <x:c r="K147" s="45" t="str">
        <x:v>RD-NOVALID16</x:v>
      </x:c>
      <x:c r="L147" s="45" t="str">
        <x:v>furthest</x:v>
      </x:c>
      <x:c r="M147" s="45" t="str">
        <x:v>pen</x:v>
      </x:c>
      <x:c r="N147" s="45" t="n">
        <x:v>2</x:v>
      </x:c>
      <x:c r="O147" s="45" t="n">
        <x:v>0</x:v>
      </x:c>
      <x:c r="P147" s="45" t="str">
        <x:v>Empty</x:v>
      </x:c>
      <x:c r="Q147" s="44" t="str">
        <x:v>Queried candidate pair absent; bowl remains empty</x:v>
      </x:c>
      <x:c r="R147" s="45" t="n">
        <x:v>6</x:v>
      </x:c>
      <x:c r="S147" s="44" t="str">
        <x:v>Build the listed candidate-absent scene and confirm the bowl is empty.</x:v>
      </x:c>
      <x:c r="T147" s="44" t="str">
        <x:v>The instruction uses normal active-trial wording. Success requires no grasp or object displacement.</x:v>
      </x:c>
      <x:c r="U147" s="44" t="str"/>
    </x:row>
    <x:row r="148" ht="51" customHeight="1">
      <x:c r="A148" s="41" t="str">
        <x:v>Not collected</x:v>
      </x:c>
      <x:c r="B148" s="42" t="n">
        <x:v>146</x:v>
      </x:c>
      <x:c r="C148" s="41" t="str">
        <x:v>Put the crushed soda can between the green pencil sharpener and the yellow pen in the bowl.</x:v>
      </x:c>
      <x:c r="D148" s="41" t="str">
        <x:v>Reference A: green pencil sharpener at 14 cm to robot-left of table centre; Reference B: yellow pen at 14 cm to robot-right of table centre; airplane toy with propellers: at the far robot-left corner, outside the distance comparison; Absent candidate pair: crushed Coke can and crushed Pepsi can are not in the scene; Bowl: empty</x:v>
      </x:c>
      <x:c r="E148" s="42" t="str"/>
      <x:c r="F148" s="42" t="str">
        <x:v>432</x:v>
      </x:c>
      <x:c r="G148" s="41" t="str">
        <x:v>The relation × candidate-category prompt cell is explicitly trained. The evaluation scene deliberately removes both candidate identities; the abstention outcome is not demonstrated in training.</x:v>
      </x:c>
      <x:c r="H148" s="41" t="str">
        <x:v>NO-OP; neither crushed Coke can nor crushed Pepsi can is present</x:v>
      </x:c>
      <x:c r="I148" s="41" t="str"/>
      <x:c r="J148" s="48" t="str">
        <x:v>No valid candidate category / no movement</x:v>
      </x:c>
      <x:c r="K148" s="42" t="str">
        <x:v>RD-NOVALID17</x:v>
      </x:c>
      <x:c r="L148" s="42" t="str">
        <x:v>between</x:v>
      </x:c>
      <x:c r="M148" s="42" t="str">
        <x:v>crushed soda can</x:v>
      </x:c>
      <x:c r="N148" s="42" t="n">
        <x:v>3</x:v>
      </x:c>
      <x:c r="O148" s="42" t="n">
        <x:v>0</x:v>
      </x:c>
      <x:c r="P148" s="42" t="str">
        <x:v>Empty</x:v>
      </x:c>
      <x:c r="Q148" s="41" t="str">
        <x:v>Queried candidate pair absent; bowl remains empty</x:v>
      </x:c>
      <x:c r="R148" s="42" t="n">
        <x:v>6</x:v>
      </x:c>
      <x:c r="S148" s="41" t="str">
        <x:v>Build the listed candidate-absent scene and confirm the bowl is empty.</x:v>
      </x:c>
      <x:c r="T148" s="41" t="str">
        <x:v>The instruction uses normal active-trial wording. Success requires no grasp or object displacement.</x:v>
      </x:c>
      <x:c r="U148" s="41" t="str"/>
    </x:row>
    <x:row r="149" ht="51" customHeight="1">
      <x:c r="A149" s="44" t="str">
        <x:v>Not collected</x:v>
      </x:c>
      <x:c r="B149" s="45" t="n">
        <x:v>147</x:v>
      </x:c>
      <x:c r="C149" s="44" t="str">
        <x:v>Pick up the pencil sharpener furthest from the airplane toy without propellers and place it in the bowl.</x:v>
      </x:c>
      <x:c r="D149" s="44" t="str">
        <x:v>Reference: airplane toy without propellers at table centre; green pen: at the far robot-left corner, outside the distance comparison; yellow pen: at the far robot-right corner, outside the distance comparison; airplane toy with propellers: near the back edge, outside the distance comparison; Absent candidate pair: green pencil sharpener and red pencil sharpener are not in the scene; Bowl: empty</x:v>
      </x:c>
      <x:c r="E149" s="45" t="str"/>
      <x:c r="F149" s="45" t="str">
        <x:v>466</x:v>
      </x:c>
      <x:c r="G149" s="44" t="str">
        <x:v>The relation × candidate-category prompt cell is explicitly trained. The evaluation scene deliberately removes both candidate identities; the abstention outcome is not demonstrated in training.</x:v>
      </x:c>
      <x:c r="H149" s="44" t="str">
        <x:v>NO-OP; neither green pencil sharpener nor red pencil sharpener is present</x:v>
      </x:c>
      <x:c r="I149" s="44" t="str"/>
      <x:c r="J149" s="48" t="str">
        <x:v>No valid candidate category / no movement</x:v>
      </x:c>
      <x:c r="K149" s="45" t="str">
        <x:v>RD-NOVALID18</x:v>
      </x:c>
      <x:c r="L149" s="45" t="str">
        <x:v>furthest</x:v>
      </x:c>
      <x:c r="M149" s="45" t="str">
        <x:v>pencil sharpener</x:v>
      </x:c>
      <x:c r="N149" s="45" t="n">
        <x:v>4</x:v>
      </x:c>
      <x:c r="O149" s="45" t="n">
        <x:v>0</x:v>
      </x:c>
      <x:c r="P149" s="45" t="str">
        <x:v>Empty</x:v>
      </x:c>
      <x:c r="Q149" s="44" t="str">
        <x:v>Queried candidate pair absent; bowl remains empty</x:v>
      </x:c>
      <x:c r="R149" s="45" t="n">
        <x:v>6</x:v>
      </x:c>
      <x:c r="S149" s="44" t="str">
        <x:v>Build the listed candidate-absent scene and confirm the bowl is empty.</x:v>
      </x:c>
      <x:c r="T149" s="44" t="str">
        <x:v>The instruction uses normal active-trial wording. Success requires no grasp or object displacement.</x:v>
      </x:c>
      <x:c r="U149" s="44" t="str"/>
    </x:row>
    <x:row r="150" ht="51" customHeight="1">
      <x:c r="A150" s="41" t="str">
        <x:v>Not collected</x:v>
      </x:c>
      <x:c r="B150" s="42" t="n">
        <x:v>148</x:v>
      </x:c>
      <x:c r="C150" s="41" t="str">
        <x:v>Move the airplane toy between the green pen and the crushed Coke can into the bowl.</x:v>
      </x:c>
      <x:c r="D150" s="41" t="str">
        <x:v>Reference A: green pen at 14 cm to robot-left of table centre; Reference B: crushed Coke can at 14 cm to robot-right of table centre; Absent candidate pair: airplane toy with propellers and airplane toy without propellers are not in the scene; Bowl: empty</x:v>
      </x:c>
      <x:c r="E150" s="42" t="str"/>
      <x:c r="F150" s="42" t="str">
        <x:v>582</x:v>
      </x:c>
      <x:c r="G150" s="41" t="str">
        <x:v>The relation × candidate-category prompt cell is explicitly trained. The evaluation scene deliberately removes both candidate identities; the abstention outcome is not demonstrated in training.</x:v>
      </x:c>
      <x:c r="H150" s="41" t="str">
        <x:v>NO-OP; neither airplane toy with propellers nor airplane toy without propellers is present</x:v>
      </x:c>
      <x:c r="I150" s="41" t="str"/>
      <x:c r="J150" s="48" t="str">
        <x:v>No valid candidate category / no movement</x:v>
      </x:c>
      <x:c r="K150" s="42" t="str">
        <x:v>RD-NOVALID19</x:v>
      </x:c>
      <x:c r="L150" s="42" t="str">
        <x:v>between</x:v>
      </x:c>
      <x:c r="M150" s="42" t="str">
        <x:v>airplane toy</x:v>
      </x:c>
      <x:c r="N150" s="42" t="n">
        <x:v>2</x:v>
      </x:c>
      <x:c r="O150" s="42" t="n">
        <x:v>0</x:v>
      </x:c>
      <x:c r="P150" s="42" t="str">
        <x:v>Empty</x:v>
      </x:c>
      <x:c r="Q150" s="41" t="str">
        <x:v>Queried candidate pair absent; bowl remains empty</x:v>
      </x:c>
      <x:c r="R150" s="42" t="n">
        <x:v>6</x:v>
      </x:c>
      <x:c r="S150" s="41" t="str">
        <x:v>Build the listed candidate-absent scene and confirm the bowl is empty.</x:v>
      </x:c>
      <x:c r="T150" s="41" t="str">
        <x:v>The instruction uses normal active-trial wording. Success requires no grasp or object displacement.</x:v>
      </x:c>
      <x:c r="U150" s="41" t="str"/>
    </x:row>
    <x:row r="151" ht="51" customHeight="1">
      <x:c r="A151" s="44" t="str">
        <x:v>Not collected</x:v>
      </x:c>
      <x:c r="B151" s="45" t="n">
        <x:v>149</x:v>
      </x:c>
      <x:c r="C151" s="44" t="str">
        <x:v>Pick up the pen closest to the green pencil sharpener and place it in the bowl.</x:v>
      </x:c>
      <x:c r="D151" s="44" t="str">
        <x:v>Reference: green pencil sharpener at table centre; airplane toy without propellers: at the far robot-left corner, outside the distance comparison; crushed Coke can: at the far robot-right corner, outside the distance comparison; Absent candidate pair: green pen and yellow pen are not in the scene; Bowl: empty</x:v>
      </x:c>
      <x:c r="E151" s="45" t="str"/>
      <x:c r="F151" s="45" t="str">
        <x:v>501</x:v>
      </x:c>
      <x:c r="G151" s="44" t="str">
        <x:v>The relation × candidate-category prompt cell is explicitly trained. The evaluation scene deliberately removes both candidate identities; the abstention outcome is not demonstrated in training.</x:v>
      </x:c>
      <x:c r="H151" s="44" t="str">
        <x:v>NO-OP; neither green pen nor yellow pen is present</x:v>
      </x:c>
      <x:c r="I151" s="44" t="str"/>
      <x:c r="J151" s="48" t="str">
        <x:v>No valid candidate category / no movement</x:v>
      </x:c>
      <x:c r="K151" s="45" t="str">
        <x:v>RD-NOVALID20</x:v>
      </x:c>
      <x:c r="L151" s="45" t="str">
        <x:v>closest</x:v>
      </x:c>
      <x:c r="M151" s="45" t="str">
        <x:v>pen</x:v>
      </x:c>
      <x:c r="N151" s="45" t="n">
        <x:v>3</x:v>
      </x:c>
      <x:c r="O151" s="45" t="n">
        <x:v>0</x:v>
      </x:c>
      <x:c r="P151" s="45" t="str">
        <x:v>Empty</x:v>
      </x:c>
      <x:c r="Q151" s="44" t="str">
        <x:v>Queried candidate pair absent; bowl remains empty</x:v>
      </x:c>
      <x:c r="R151" s="45" t="n">
        <x:v>6</x:v>
      </x:c>
      <x:c r="S151" s="44" t="str">
        <x:v>Build the listed candidate-absent scene and confirm the bowl is empty.</x:v>
      </x:c>
      <x:c r="T151" s="44" t="str">
        <x:v>The instruction uses normal active-trial wording. Success requires no grasp or object displacement.</x:v>
      </x:c>
      <x:c r="U151" s="44" t="str"/>
    </x:row>
  </x:sheetData>
  <x:conditionalFormatting sqref="A2:R131">
    <x:cfRule type="expression" dxfId="0" priority="1">
      <x:formula>$A2="Success"</x:formula>
    </x:cfRule>
    <x:cfRule type="expression" dxfId="1" priority="2">
      <x:formula>$A2="Failure"</x:formula>
    </x:cfRule>
  </x:conditionalFormatting>
  <x:conditionalFormatting sqref="H2:H131">
    <x:cfRule type="containsText" dxfId="2" priority="3" operator="containsText" text="Concept/compositional transfer"/>
    <x:cfRule type="containsText" dxfId="3" priority="4" operator="containsText" text="Matched manipulation control"/>
    <x:cfRule type="containsText" dxfId="4" priority="5" operator="containsText" text="Block"/>
    <x:cfRule type="containsText" dxfId="5" priority="6" operator="containsText" text="Language robustness"/>
    <x:cfRule type="containsText" dxfId="6" priority="7" operator="containsText" text="Seen-concept between baseline"/>
  </x:conditionalFormatting>
  <x:conditionalFormatting sqref="A2:U151">
    <x:cfRule type="expression" dxfId="30" priority="8">
      <x:formula>$A2="Success"</x:formula>
    </x:cfRule>
    <x:cfRule type="expression" dxfId="31"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tableParts count="1">
    <x:tablePart xmlns:r="http://schemas.openxmlformats.org/officeDocument/2006/relationships" r:id="R700490c4e2604f4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28.889999389648438" hidden="0" customWidth="1"/>
    <x:col min="3" max="3" width="21.110000610351562" hidden="0" customWidth="1"/>
    <x:col min="4" max="4" width="17.219999313354492" hidden="0" customWidth="1"/>
    <x:col min="5" max="5" width="31.110000610351562" hidden="0" customWidth="1"/>
    <x:col min="6" max="6" width="40" hidden="0" customWidth="1"/>
    <x:col min="7" max="7" width="46.66999816894531" hidden="0" customWidth="1"/>
  </x:cols>
  <x:sheetData>
    <x:row r="1" ht="30" customHeight="1">
      <x:c r="A1" s="30" t="str">
        <x:v>Candidate category</x:v>
      </x:c>
      <x:c r="B1" s="30" t="str">
        <x:v>Physical instances</x:v>
      </x:c>
      <x:c r="C1" s="30" t="str">
        <x:v>Referential training cells</x:v>
      </x:c>
      <x:c r="D1" s="30" t="str">
        <x:v>Held-out cell</x:v>
      </x:c>
      <x:c r="E1" s="30" t="str">
        <x:v>Evaluation roles</x:v>
      </x:c>
      <x:c r="F1" s="30" t="str">
        <x:v>Global exposure</x:v>
      </x:c>
      <x:c r="G1" s="30" t="str">
        <x:v>Collection rule</x:v>
      </x:c>
    </x:row>
    <x:row r="2" ht="43.5" customHeight="1">
      <x:c r="A2" s="25" t="str">
        <x:v>crushed soda can</x:v>
      </x:c>
      <x:c r="B2" s="25" t="str">
        <x:v>crushed Coke can; crushed Pepsi can</x:v>
      </x:c>
      <x:c r="C2" s="25" t="str">
        <x:v>between; furthest</x:v>
      </x:c>
      <x:c r="D2" s="25" t="str">
        <x:v>closest</x:v>
      </x:c>
      <x:c r="E2" s="25" t="str">
        <x:v>In-distribution, primary, control, language, no-valid-target</x:v>
      </x:c>
      <x:c r="F2" s="25" t="str">
        <x:v>Both identities appear throughout Referential training.</x:v>
      </x:c>
      <x:c r="G2" s="25" t="str">
        <x:v>Both candidates present in active trials; both absent in no-valid-target trials.</x:v>
      </x:c>
    </x:row>
    <x:row r="3" ht="43.5" customHeight="1">
      <x:c r="A3" s="25" t="str">
        <x:v>pencil sharpener</x:v>
      </x:c>
      <x:c r="B3" s="25" t="str">
        <x:v>green pencil sharpener; red pencil sharpener</x:v>
      </x:c>
      <x:c r="C3" s="25" t="str">
        <x:v>closest; furthest</x:v>
      </x:c>
      <x:c r="D3" s="25" t="str">
        <x:v>between</x:v>
      </x:c>
      <x:c r="E3" s="25" t="str">
        <x:v>In-distribution, primary, control, language, no-valid-target</x:v>
      </x:c>
      <x:c r="F3" s="25" t="str">
        <x:v>Both identities appear throughout Referential training.</x:v>
      </x:c>
      <x:c r="G3" s="25" t="str">
        <x:v>Both candidates present in active trials; both absent in no-valid-target trials.</x:v>
      </x:c>
    </x:row>
    <x:row r="4" ht="43.5" customHeight="1">
      <x:c r="A4" s="25" t="str">
        <x:v>airplane toy</x:v>
      </x:c>
      <x:c r="B4" s="25" t="str">
        <x:v>with propellers; without propellers</x:v>
      </x:c>
      <x:c r="C4" s="25" t="str">
        <x:v>closest; between</x:v>
      </x:c>
      <x:c r="D4" s="25" t="str">
        <x:v>furthest</x:v>
      </x:c>
      <x:c r="E4" s="25" t="str">
        <x:v>In-distribution, primary, control, language, no-valid-target</x:v>
      </x:c>
      <x:c r="F4" s="25" t="str">
        <x:v>Both identities appear throughout Referential training.</x:v>
      </x:c>
      <x:c r="G4" s="25" t="str">
        <x:v>Both candidates present in active trials; both absent in no-valid-target trials.</x:v>
      </x:c>
    </x:row>
    <x:row r="5" ht="43.5" customHeight="1">
      <x:c r="A5" s="25" t="str">
        <x:v>pen</x:v>
      </x:c>
      <x:c r="B5" s="25" t="str">
        <x:v>green pen; yellow pen</x:v>
      </x:c>
      <x:c r="C5" s="25" t="str">
        <x:v>closest; between; furthest</x:v>
      </x:c>
      <x:c r="D5" s="25" t="str">
        <x:v>None</x:v>
      </x:c>
      <x:c r="E5" s="25" t="str">
        <x:v>In-distribution and no-valid-target anchor category</x:v>
      </x:c>
      <x:c r="F5" s="25" t="str">
        <x:v>Fully crossed relation anchor in Referential training.</x:v>
      </x:c>
      <x:c r="G5" s="25" t="str">
        <x:v>Used only with training-supported relation cells.</x:v>
      </x:c>
    </x:row>
    <x:row r="6" ht="43.5" customHeight="1">
      <x:c r="A6" s="25" t="str">
        <x:v>block</x:v>
      </x:c>
      <x:c r="B6" s="25" t="str">
        <x:v>green block; blue block</x:v>
      </x:c>
      <x:c r="C6" s="25" t="str">
        <x:v>None</x:v>
      </x:c>
      <x:c r="D6" s="25" t="str">
        <x:v>All three relations within this task</x:v>
      </x:c>
      <x:c r="E6" s="25" t="str">
        <x:v>Cross-task reasoning diagnostic</x:v>
      </x:c>
      <x:c r="F6" s="25" t="str">
        <x:v>Green block: 125 scene exposures / 50 target episodes; blue block: 152 / 50.</x:v>
      </x:c>
      <x:c r="G6" s="25" t="str">
        <x:v>Both blocks present in all 20 rows; 10 targets per color; every prompt requires reasoning.</x:v>
      </x:c>
    </x:row>
  </x:sheetData>
  <x:pageMargins left="0.7" right="0.7" top="0.75" bottom="0.75" header="0.3" footer="0.3"/>
  <x:tableParts count="1">
    <x:tablePart xmlns:r="http://schemas.openxmlformats.org/officeDocument/2006/relationships" r:id="R6dc1b7b9a7a74d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12.779999732971191" hidden="0" customWidth="1"/>
    <x:col min="3" max="3" width="12.779999732971191" hidden="0" customWidth="1"/>
    <x:col min="4" max="4" width="12.779999732971191" hidden="0" customWidth="1"/>
    <x:col min="5" max="5" width="23.329999923706055" hidden="0" customWidth="1"/>
    <x:col min="6" max="6" width="55.560001373291016" hidden="0" customWidth="1"/>
  </x:cols>
  <x:sheetData>
    <x:row r="1" ht="36" customHeight="1">
      <x:c r="A1" s="30" t="str">
        <x:v>Candidate category</x:v>
      </x:c>
      <x:c r="B1" s="30" t="str">
        <x:v>Closest</x:v>
      </x:c>
      <x:c r="C1" s="30" t="str">
        <x:v>Between</x:v>
      </x:c>
      <x:c r="D1" s="30" t="str">
        <x:v>Furthest</x:v>
      </x:c>
      <x:c r="E1" s="30" t="str">
        <x:v>Primary held-out cell</x:v>
      </x:c>
      <x:c r="F1" s="30" t="str">
        <x:v>Evaluation interpretation</x:v>
      </x:c>
    </x:row>
    <x:row r="2" ht="36" customHeight="1">
      <x:c r="A2" s="25" t="str">
        <x:v>crushed soda can</x:v>
      </x:c>
      <x:c r="B2" s="25" t="str">
        <x:v>HELD OUT</x:v>
      </x:c>
      <x:c r="C2" s="25" t="str">
        <x:v>Explicit</x:v>
      </x:c>
      <x:c r="D2" s="25" t="str">
        <x:v>Explicit</x:v>
      </x:c>
      <x:c r="E2" s="25" t="str">
        <x:v>can × closest</x:v>
      </x:c>
      <x:c r="F2" s="25" t="str">
        <x:v>Primary transfer uses closest only; direct-name source trajectories preserve both can identities.</x:v>
      </x:c>
    </x:row>
    <x:row r="3" ht="36" customHeight="1">
      <x:c r="A3" s="25" t="str">
        <x:v>pencil sharpener</x:v>
      </x:c>
      <x:c r="B3" s="25" t="str">
        <x:v>Explicit</x:v>
      </x:c>
      <x:c r="C3" s="25" t="str">
        <x:v>HELD OUT</x:v>
      </x:c>
      <x:c r="D3" s="25" t="str">
        <x:v>Explicit</x:v>
      </x:c>
      <x:c r="E3" s="25" t="str">
        <x:v>sharpener × between</x:v>
      </x:c>
      <x:c r="F3" s="25" t="str">
        <x:v>Primary transfer uses between only; direct-name source trajectories preserve both sharpener identities.</x:v>
      </x:c>
    </x:row>
    <x:row r="4" ht="36" customHeight="1">
      <x:c r="A4" s="25" t="str">
        <x:v>airplane toy</x:v>
      </x:c>
      <x:c r="B4" s="25" t="str">
        <x:v>Explicit</x:v>
      </x:c>
      <x:c r="C4" s="25" t="str">
        <x:v>Explicit</x:v>
      </x:c>
      <x:c r="D4" s="25" t="str">
        <x:v>HELD OUT</x:v>
      </x:c>
      <x:c r="E4" s="25" t="str">
        <x:v>airplane × furthest</x:v>
      </x:c>
      <x:c r="F4" s="25" t="str">
        <x:v>Primary transfer uses furthest only; direct-name source trajectories preserve both airplane identities.</x:v>
      </x:c>
    </x:row>
    <x:row r="5" ht="36" customHeight="1">
      <x:c r="A5" s="25" t="str">
        <x:v>pen</x:v>
      </x:c>
      <x:c r="B5" s="25" t="str">
        <x:v>Explicit</x:v>
      </x:c>
      <x:c r="C5" s="25" t="str">
        <x:v>Explicit</x:v>
      </x:c>
      <x:c r="D5" s="25" t="str">
        <x:v>Explicit</x:v>
      </x:c>
      <x:c r="E5" s="25" t="str">
        <x:v>None</x:v>
      </x:c>
      <x:c r="F5" s="25" t="str">
        <x:v>Fully crossed anchor category used for training-supported baselines and relation grounding.</x:v>
      </x:c>
    </x:row>
    <x:row r="6" ht="36" customHeight="1">
      <x:c r="A6" s="25" t="str">
        <x:v>block</x:v>
      </x:c>
      <x:c r="B6" s="25" t="str">
        <x:v>Not in task</x:v>
      </x:c>
      <x:c r="C6" s="25" t="str">
        <x:v>Not in task</x:v>
      </x:c>
      <x:c r="D6" s="25" t="str">
        <x:v>Not in task</x:v>
      </x:c>
      <x:c r="E6" s="25" t="str">
        <x:v>Separate cross-task diagnostic</x:v>
      </x:c>
      <x:c r="F6" s="25" t="str">
        <x:v>Green and blue blocks are seen elsewhere in fine-tuning but never as Referential candidates.</x:v>
      </x:c>
    </x:row>
    <x:row r="7" ht="36" customHeight="1">
      <x:c r="A7" s="25" t="str"/>
      <x:c r="B7" s="25" t="str"/>
      <x:c r="C7" s="25" t="str"/>
      <x:c r="D7" s="25" t="str"/>
      <x:c r="E7" s="25" t="str"/>
      <x:c r="F7" s="25" t="str"/>
    </x:row>
    <x:row r="8" ht="36" customHeight="1">
      <x:c r="A8" s="30" t="str">
        <x:v>Evaluation condition</x:v>
      </x:c>
      <x:c r="B8" s="30" t="str">
        <x:v>Rows</x:v>
      </x:c>
      <x:c r="C8" s="30" t="str">
        <x:v>Uses primary held-out cell?</x:v>
      </x:c>
      <x:c r="D8" s="30" t="str">
        <x:v>Candidate count</x:v>
      </x:c>
      <x:c r="E8" s="30" t="str">
        <x:v>Scene complexity</x:v>
      </x:c>
      <x:c r="F8" s="30" t="str">
        <x:v>Interpretation</x:v>
      </x:c>
    </x:row>
    <x:row r="9" ht="36" customHeight="1">
      <x:c r="A9" s="25" t="str">
        <x:v>In-distribution baseline</x:v>
      </x:c>
      <x:c r="B9" s="25" t="n">
        <x:v>20</x:v>
      </x:c>
      <x:c r="C9" s="25" t="str">
        <x:v>No</x:v>
      </x:c>
      <x:c r="D9" s="25" t="n">
        <x:v>1</x:v>
      </x:c>
      <x:c r="E9" s="25" t="str">
        <x:v>Four objects</x:v>
      </x:c>
      <x:c r="F9" s="25" t="str">
        <x:v>Exact manifest cells; five per candidate category and 7/6/7 across closest/between/furthest.</x:v>
      </x:c>
    </x:row>
    <x:row r="10" ht="36" customHeight="1">
      <x:c r="A10" s="25" t="str">
        <x:v>Compositional transfer</x:v>
      </x:c>
      <x:c r="B10" s="25" t="n">
        <x:v>50</x:v>
      </x:c>
      <x:c r="C10" s="25" t="str">
        <x:v>Yes — canonical primary</x:v>
      </x:c>
      <x:c r="D10" s="25" t="n">
        <x:v>1</x:v>
      </x:c>
      <x:c r="E10" s="25" t="str">
        <x:v>26 four-object; 24 five-object</x:v>
      </x:c>
      <x:c r="F10" s="25" t="str">
        <x:v>17 can×closest, 16 sharpener×between, and 17 airplane×furthest.</x:v>
      </x:c>
    </x:row>
    <x:row r="11" ht="36" customHeight="1">
      <x:c r="A11" s="25" t="str">
        <x:v>Matched control</x:v>
      </x:c>
      <x:c r="B11" s="25" t="n">
        <x:v>20</x:v>
      </x:c>
      <x:c r="C11" s="25" t="str">
        <x:v>No</x:v>
      </x:c>
      <x:c r="D11" s="25" t="n">
        <x:v>1</x:v>
      </x:c>
      <x:c r="E11" s="25" t="str">
        <x:v>Exact primary scenes</x:v>
      </x:c>
      <x:c r="F11" s="25" t="str">
        <x:v>Direct-name prompt reaches the same target and physical endpoint.</x:v>
      </x:c>
    </x:row>
    <x:row r="12" ht="36" customHeight="1">
      <x:c r="A12" s="25" t="str">
        <x:v>Language robustness</x:v>
      </x:c>
      <x:c r="B12" s="25" t="n">
        <x:v>20</x:v>
      </x:c>
      <x:c r="C12" s="25" t="str">
        <x:v>10 held-out + 10 direct</x:v>
      </x:c>
      <x:c r="D12" s="25" t="n">
        <x:v>1</x:v>
      </x:c>
      <x:c r="E12" s="25" t="str">
        <x:v>Exact referenced scenes</x:v>
      </x:c>
      <x:c r="F12" s="25" t="str">
        <x:v>Ten transfer paraphrases and ten matched-control paraphrases.</x:v>
      </x:c>
    </x:row>
    <x:row r="13" ht="36" customHeight="1">
      <x:c r="A13" s="25" t="str">
        <x:v>Cross-task block reasoning</x:v>
      </x:c>
      <x:c r="B13" s="25" t="n">
        <x:v>20</x:v>
      </x:c>
      <x:c r="C13" s="25" t="str">
        <x:v>Separate</x:v>
      </x:c>
      <x:c r="D13" s="25" t="n">
        <x:v>1</x:v>
      </x:c>
      <x:c r="E13" s="25" t="str">
        <x:v>Four objects</x:v>
      </x:c>
      <x:c r="F13" s="25" t="str">
        <x:v>7 closest, 6 between, 7 furthest; green and blue are targets 10 times each.</x:v>
      </x:c>
    </x:row>
    <x:row r="14" ht="36" customHeight="1">
      <x:c r="A14" s="25" t="str">
        <x:v>No valid candidate / no movement</x:v>
      </x:c>
      <x:c r="B14" s="25" t="n">
        <x:v>20</x:v>
      </x:c>
      <x:c r="C14" s="25" t="str">
        <x:v>No</x:v>
      </x:c>
      <x:c r="D14" s="25" t="n">
        <x:v>0</x:v>
      </x:c>
      <x:c r="E14" s="25" t="str">
        <x:v>2 / 3 / 4 objects</x:v>
      </x:c>
      <x:c r="F14" s="25" t="str">
        <x:v>Both candidate identities are absent; all prompt cells are training-supported.</x:v>
      </x:c>
    </x:row>
  </x:sheetData>
  <x:conditionalFormatting sqref="B2:D6">
    <x:cfRule type="containsText" dxfId="38" priority="1" operator="containsText" text="HELD OUT"/>
  </x:conditionalFormatting>
  <x:pageMargins left="0.7" right="0.7" top="0.75" bottom="0.75" header="0.3" footer="0.3"/>
  <x:tableParts count="1">
    <x:tablePart xmlns:r="http://schemas.openxmlformats.org/officeDocument/2006/relationships" r:id="Rf36e7765d57f47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100" hidden="0" customWidth="1"/>
  </x:cols>
  <x:sheetData>
    <x:row r="1" ht="37.5" customHeight="1">
      <x:c r="A1" s="30" t="str">
        <x:v>Protocol item</x:v>
      </x:c>
      <x:c r="B1" s="30" t="str">
        <x:v>Instruction</x:v>
      </x:c>
    </x:row>
    <x:row r="2" ht="37.5" customHeight="1">
      <x:c r="A2" s="25" t="str">
        <x:v>Evaluation size</x:v>
      </x:c>
      <x:c r="B2" s="25" t="str">
        <x:v>150 rollouts per model: 20 in-distribution, 50 primary transfer, 20 matched controls, 20 language, 20 green/blue-block reasoning, and 20 no-valid-candidate/no-movement trials.</x:v>
      </x:c>
    </x:row>
    <x:row r="3" ht="37.5" customHeight="1">
      <x:c r="A3" s="25" t="str">
        <x:v>Robot perspective</x:v>
      </x:c>
      <x:c r="B3" s="25" t="str">
        <x:v>All spatial descriptions and reset positions use the robot perspective. Keep the camera, robot home pose, bowl, lighting, and table boundaries fixed across models.</x:v>
      </x:c>
    </x:row>
    <x:row r="4" ht="37.5" customHeight="1">
      <x:c r="A4" s="25" t="str">
        <x:v>Distance definition</x:v>
      </x:c>
      <x:c r="B4" s="25" t="str">
        <x:v>Closest and furthest use centre-to-centre distance. Active scenes use a 10 cm near distance and 24 cm far distance, giving a large margin.</x:v>
      </x:c>
    </x:row>
    <x:row r="5" ht="37.5" customHeight="1">
      <x:c r="A5" s="25" t="str">
        <x:v>Between definition</x:v>
      </x:c>
      <x:c r="B5" s="25" t="str">
        <x:v>The two named references are 28 cm apart. The target lies at the midpoint of their straight line segment; the competitor is 12 cm perpendicular to that segment.</x:v>
      </x:c>
    </x:row>
    <x:row r="6" ht="37.5" customHeight="1">
      <x:c r="A6" s="25" t="str">
        <x:v>Candidate rule</x:v>
      </x:c>
      <x:c r="B6" s="25" t="str">
        <x:v>Every active trial contains exactly two objects matching the requested candidate category and exactly one valid relational target. Other objects belong to different categories.</x:v>
      </x:c>
    </x:row>
    <x:row r="7" ht="37.5" customHeight="1">
      <x:c r="A7" s="25" t="str">
        <x:v>Primary endpoint</x:v>
      </x:c>
      <x:c r="B7" s="25" t="str">
        <x:v>Only airplane×furthest, crushed-soda-can×closest, and pencil-sharpener×between are canonical primary cells. Their counts are 17, 17, and 16.</x:v>
      </x:c>
    </x:row>
    <x:row r="8" ht="37.5" customHeight="1">
      <x:c r="A8" s="25" t="str">
        <x:v>Primary complexity</x:v>
      </x:c>
      <x:c r="B8" s="25" t="str">
        <x:v>All canonical primary scenes contain four or five objects. This avoids making between identifiable from scene size, because between inherently requires two references.</x:v>
      </x:c>
    </x:row>
    <x:row r="9" ht="37.5" customHeight="1">
      <x:c r="A9" s="25" t="str">
        <x:v>Prompt and layout balance</x:v>
      </x:c>
      <x:c r="B9" s="25" t="str">
        <x:v>Within every primary held-out cell, canonical prompts rotate across Pick up, Put, and Move. Target identities, reference identities, and robot-perspective scene orientations also rotate rather than being assigned to one relation.</x:v>
      </x:c>
    </x:row>
    <x:row r="10" ht="37.5" customHeight="1">
      <x:c r="A10" s="25" t="str">
        <x:v>Matched controls</x:v>
      </x:c>
      <x:c r="B10" s="25" t="str">
        <x:v>Twenty primary scenes have an adjacent direct-name prompt for the same target. Preserve the entire scene and physical endpoint; only the instruction changes.</x:v>
      </x:c>
    </x:row>
    <x:row r="11" ht="37.5" customHeight="1">
      <x:c r="A11" s="25" t="str">
        <x:v>Language robustness</x:v>
      </x:c>
      <x:c r="B11" s="25" t="str">
        <x:v>Ten rows paraphrase canonical transfer prompts and ten paraphrase matched direct-name controls. The scene, target, and initial positions remain exact.</x:v>
      </x:c>
    </x:row>
    <x:row r="12" ht="37.5" customHeight="1">
      <x:c r="A12" s="25" t="str">
        <x:v>Collection order</x:v>
      </x:c>
      <x:c r="B12" s="25" t="str">
        <x:v>Episodes 0–19 are in-distribution. In the first 10 transfer families, collect transfer, control, transfer paraphrase, and control paraphrase consecutively. The next 10 families contain adjacent transfer/control pairs.</x:v>
      </x:c>
    </x:row>
    <x:row r="13" ht="37.5" customHeight="1">
      <x:c r="A13" s="25" t="str">
        <x:v>In-distribution provenance</x:v>
      </x:c>
      <x:c r="B13" s="25" t="str">
        <x:v>Original Training Episode(s) records the exact manifest episode. Prompt, relation × category cell, target, and object membership match; only the physical layout is manually recreated with clear geometric margins.</x:v>
      </x:c>
    </x:row>
    <x:row r="14" ht="37.5" customHeight="1">
      <x:c r="A14" s="25" t="str">
        <x:v>Block diagnostic</x:v>
      </x:c>
      <x:c r="B14" s="25" t="str">
        <x:v>All 20 block rows use green and blue blocks as the candidate pair and reasoning prompts only. Seven test closest, six between, and seven furthest. Each block is the target 10 times.</x:v>
      </x:c>
    </x:row>
    <x:row r="15" ht="37.5" customHeight="1">
      <x:c r="A15" s="25" t="str">
        <x:v>Block limitation</x:v>
      </x:c>
      <x:c r="B15" s="25" t="str">
        <x:v>Because no direct-name block control is included, block results cannot separate referential transfer from block recognition/manipulation. Report this block separately from the 50 primary rows.</x:v>
      </x:c>
    </x:row>
    <x:row r="16" ht="37.5" customHeight="1">
      <x:c r="A16" s="25" t="str">
        <x:v>No-valid-candidate diagnostic</x:v>
      </x:c>
      <x:c r="B16" s="25" t="str">
        <x:v>The normal relation prompt is used, but neither member of the requested candidate pair appears. Reference object(s) remain present and the bowl is empty. Success requires no object interaction.</x:v>
      </x:c>
    </x:row>
    <x:row r="17" ht="37.5" customHeight="1">
      <x:c r="A17" s="25" t="str">
        <x:v>Why candidate absence</x:v>
      </x:c>
      <x:c r="B17" s="25" t="str">
        <x:v>With two candidates present, closest and furthest are always defined. Equal distances create a tie rather than a unique no-target case, so candidate absence is the cleanest common no-movement test across all three relations.</x:v>
      </x:c>
    </x:row>
    <x:row r="18" ht="37.5" customHeight="1">
      <x:c r="A18" s="25" t="str">
        <x:v>No-movement claim boundary</x:v>
      </x:c>
      <x:c r="B18" s="25" t="str">
        <x:v>These are infeasible candidate-absence trials, not goal-already-satisfied trials and not tests of whether a visible candidate fails a relation. Analyze them as a separate abstention diagnostic.</x:v>
      </x:c>
    </x:row>
    <x:row r="19" ht="37.5" customHeight="1">
      <x:c r="A19" s="25" t="str">
        <x:v>No-movement wording</x:v>
      </x:c>
      <x:c r="B19" s="25" t="str">
        <x:v>Use the same canonical active-trial instruction frames. Wording must not reveal that the candidate category is absent.</x:v>
      </x:c>
    </x:row>
    <x:row r="20" ht="37.5" customHeight="1">
      <x:c r="A20" s="25" t="str">
        <x:v>Reset fidelity</x:v>
      </x:c>
      <x:c r="B20" s="25" t="str">
        <x:v>For referenced rows, return the moved object to its marked starting position and preserve every object. Across models, recreate episode N as closely as possible.</x:v>
      </x:c>
    </x:row>
    <x:row r="21" ht="37.5" customHeight="1">
      <x:c r="A21" s="25" t="str">
        <x:v>Active success</x:v>
      </x:c>
      <x:c r="B21" s="25" t="str">
        <x:v>Release the unique relational target in the bowl without moving a competitor or distractor into the bowl.</x:v>
      </x:c>
    </x:row>
    <x:row r="22" ht="37.5" customHeight="1">
      <x:c r="A22" s="25" t="str">
        <x:v>No-valid success</x:v>
      </x:c>
      <x:c r="B22" s="25" t="str">
        <x:v>Do not initiate a grasp; leave all objects and the empty bowl unchanged. Record any accidental contact in Observations.</x:v>
      </x:c>
    </x:row>
    <x:row r="23" ht="37.5" customHeight="1">
      <x:c r="A23" s="25" t="str">
        <x:v>Invalid hardware episode</x:v>
      </x:c>
      <x:c r="B23" s="25" t="str">
        <x:v>Do not score camera, motor, reset, or logging faults. Recollect the same episode and document the issue.</x:v>
      </x:c>
    </x:row>
    <x:row r="24" ht="37.5" customHeight="1">
      <x:c r="A24" s="25" t="str">
        <x:v>Analysis</x:v>
      </x:c>
      <x:c r="B24" s="25" t="str">
        <x:v>Report each condition separately with exact binomial confidence intervals. Preserve episode order across models and use paired model comparisons on matching episode specifications.</x:v>
      </x:c>
    </x:row>
  </x:sheetData>
  <x:pageMargins left="0.7" right="0.7" top="0.75" bottom="0.75" header="0.3" footer="0.3"/>
  <x:tableParts count="1">
    <x:tablePart xmlns:r="http://schemas.openxmlformats.org/officeDocument/2006/relationships" r:id="R96c6d120ca5a402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8.88999938964844" hidden="0" customWidth="1"/>
    <x:col min="2" max="2" width="12.220000267028809" hidden="0" customWidth="1"/>
    <x:col min="3" max="3" width="10" hidden="0" customWidth="1"/>
    <x:col min="4" max="4" width="10" hidden="0" customWidth="1"/>
    <x:col min="5" max="5" width="53.33000183105469" hidden="0" customWidth="1"/>
  </x:cols>
  <x:sheetData>
    <x:row r="1" ht="30" customHeight="1">
      <x:c r="A1" s="30" t="str">
        <x:v>Check</x:v>
      </x:c>
      <x:c r="B1" s="30" t="str">
        <x:v>Actual</x:v>
      </x:c>
      <x:c r="C1" s="30" t="str">
        <x:v>Expected</x:v>
      </x:c>
      <x:c r="D1" s="30" t="str">
        <x:v>Status</x:v>
      </x:c>
      <x:c r="E1" s="30" t="str">
        <x:v>Notes</x:v>
      </x:c>
    </x:row>
    <x:row r="2" ht="30" customHeight="1">
      <x:c r="A2" s="25" t="str">
        <x:v>Total evaluation rows</x:v>
      </x:c>
      <x:c r="B2" s="25" t="n">
        <x:f>COUNTA('Evaluation Plan'!B2:B151)</x:f>
        <x:v>150</x:v>
      </x:c>
      <x:c r="C2" s="25" t="n">
        <x:v>150</x:v>
      </x:c>
      <x:c r="D2" s="25" t="str">
        <x:f>IF(B2=C2,"PASS","FAIL")</x:f>
        <x:v>PASS</x:v>
      </x:c>
      <x:c r="E2" s="25" t="str">
        <x:v>Episodes 0–149.</x:v>
      </x:c>
    </x:row>
    <x:row r="3" ht="30" customHeight="1">
      <x:c r="A3" s="25" t="str">
        <x:v>Rows with training provenance</x:v>
      </x:c>
      <x:c r="B3" s="25" t="n">
        <x:f>COUNTA('Evaluation Plan'!F2:F151)</x:f>
        <x:v>150</x:v>
      </x:c>
      <x:c r="C3" s="25" t="n">
        <x:v>150</x:v>
      </x:c>
      <x:c r="D3" s="25" t="str">
        <x:f>IF(B3=C3,"PASS","FAIL")</x:f>
        <x:v>PASS</x:v>
      </x:c>
      <x:c r="E3" s="25" t="str">
        <x:v>Every row cites training grounding or a masked trajectory.</x:v>
      </x:c>
    </x:row>
    <x:row r="4" ht="30" customHeight="1">
      <x:c r="A4" s="25" t="str">
        <x:v>In-distribution total</x:v>
      </x:c>
      <x:c r="B4" s="25" t="n">
        <x:f>COUNTIF('Evaluation Plan'!J2:J151,"In-distribution concept baseline")</x:f>
        <x:v>20</x:v>
      </x:c>
      <x:c r="C4" s="25" t="n">
        <x:v>20</x:v>
      </x:c>
      <x:c r="D4" s="25" t="str">
        <x:f>IF(B4=C4,"PASS","FAIL")</x:f>
        <x:v>PASS</x:v>
      </x:c>
      <x:c r="E4" s="25" t="str">
        <x:v>Episodes 0–19.</x:v>
      </x:c>
    </x:row>
    <x:row r="5" ht="30" customHeight="1">
      <x:c r="A5" s="25" t="str">
        <x:v>Baseline category: airplane toy</x:v>
      </x:c>
      <x:c r="B5" s="25" t="n">
        <x:f>COUNTIFS('Evaluation Plan'!J2:J151,"In-distribution concept baseline",'Evaluation Plan'!M2:M151,"airplane toy")</x:f>
        <x:v>5</x:v>
      </x:c>
      <x:c r="C5" s="25" t="n">
        <x:v>5</x:v>
      </x:c>
      <x:c r="D5" s="25" t="str">
        <x:f>IF(B5=C5,"PASS","FAIL")</x:f>
        <x:v>PASS</x:v>
      </x:c>
      <x:c r="E5" s="25" t="str">
        <x:v>Five per candidate category.</x:v>
      </x:c>
    </x:row>
    <x:row r="6" ht="30" customHeight="1">
      <x:c r="A6" s="25" t="str">
        <x:v>Baseline category: crushed soda can</x:v>
      </x:c>
      <x:c r="B6" s="25" t="n">
        <x:f>COUNTIFS('Evaluation Plan'!J2:J151,"In-distribution concept baseline",'Evaluation Plan'!M2:M151,"crushed soda can")</x:f>
        <x:v>5</x:v>
      </x:c>
      <x:c r="C6" s="25" t="n">
        <x:v>5</x:v>
      </x:c>
      <x:c r="D6" s="25" t="str">
        <x:f>IF(B6=C6,"PASS","FAIL")</x:f>
        <x:v>PASS</x:v>
      </x:c>
      <x:c r="E6" s="25" t="str">
        <x:v>Five per candidate category.</x:v>
      </x:c>
    </x:row>
    <x:row r="7" ht="30" customHeight="1">
      <x:c r="A7" s="25" t="str">
        <x:v>Baseline category: pencil sharpener</x:v>
      </x:c>
      <x:c r="B7" s="25" t="n">
        <x:f>COUNTIFS('Evaluation Plan'!J2:J151,"In-distribution concept baseline",'Evaluation Plan'!M2:M151,"pencil sharpener")</x:f>
        <x:v>5</x:v>
      </x:c>
      <x:c r="C7" s="25" t="n">
        <x:v>5</x:v>
      </x:c>
      <x:c r="D7" s="25" t="str">
        <x:f>IF(B7=C7,"PASS","FAIL")</x:f>
        <x:v>PASS</x:v>
      </x:c>
      <x:c r="E7" s="25" t="str">
        <x:v>Five per candidate category.</x:v>
      </x:c>
    </x:row>
    <x:row r="8" ht="30" customHeight="1">
      <x:c r="A8" s="25" t="str">
        <x:v>Baseline category: pen</x:v>
      </x:c>
      <x:c r="B8" s="25" t="n">
        <x:f>COUNTIFS('Evaluation Plan'!J2:J151,"In-distribution concept baseline",'Evaluation Plan'!M2:M151,"pen")</x:f>
        <x:v>5</x:v>
      </x:c>
      <x:c r="C8" s="25" t="n">
        <x:v>5</x:v>
      </x:c>
      <x:c r="D8" s="25" t="str">
        <x:f>IF(B8=C8,"PASS","FAIL")</x:f>
        <x:v>PASS</x:v>
      </x:c>
      <x:c r="E8" s="25" t="str">
        <x:v>Five per candidate category.</x:v>
      </x:c>
    </x:row>
    <x:row r="9" ht="30" customHeight="1">
      <x:c r="A9" s="25" t="str">
        <x:v>Baseline relation: closest</x:v>
      </x:c>
      <x:c r="B9" s="25" t="n">
        <x:f>COUNTIFS('Evaluation Plan'!J2:J151,"In-distribution concept baseline",'Evaluation Plan'!L2:L151,"closest")</x:f>
        <x:v>7</x:v>
      </x:c>
      <x:c r="C9" s="25" t="n">
        <x:v>7</x:v>
      </x:c>
      <x:c r="D9" s="25" t="str">
        <x:f>IF(B9=C9,"PASS","FAIL")</x:f>
        <x:v>PASS</x:v>
      </x:c>
      <x:c r="E9" s="25" t="str">
        <x:v>Balanced 7/6/7.</x:v>
      </x:c>
    </x:row>
    <x:row r="10" ht="30" customHeight="1">
      <x:c r="A10" s="25" t="str">
        <x:v>Baseline relation: between</x:v>
      </x:c>
      <x:c r="B10" s="25" t="n">
        <x:f>COUNTIFS('Evaluation Plan'!J2:J151,"In-distribution concept baseline",'Evaluation Plan'!L2:L151,"between")</x:f>
        <x:v>6</x:v>
      </x:c>
      <x:c r="C10" s="25" t="n">
        <x:v>6</x:v>
      </x:c>
      <x:c r="D10" s="25" t="str">
        <x:f>IF(B10=C10,"PASS","FAIL")</x:f>
        <x:v>PASS</x:v>
      </x:c>
      <x:c r="E10" s="25" t="str">
        <x:v>Balanced 7/6/7.</x:v>
      </x:c>
    </x:row>
    <x:row r="11" ht="30" customHeight="1">
      <x:c r="A11" s="25" t="str">
        <x:v>Baseline relation: furthest</x:v>
      </x:c>
      <x:c r="B11" s="25" t="n">
        <x:f>COUNTIFS('Evaluation Plan'!J2:J151,"In-distribution concept baseline",'Evaluation Plan'!L2:L151,"furthest")</x:f>
        <x:v>7</x:v>
      </x:c>
      <x:c r="C11" s="25" t="n">
        <x:v>7</x:v>
      </x:c>
      <x:c r="D11" s="25" t="str">
        <x:f>IF(B11=C11,"PASS","FAIL")</x:f>
        <x:v>PASS</x:v>
      </x:c>
      <x:c r="E11" s="25" t="str">
        <x:v>Balanced 7/6/7.</x:v>
      </x:c>
    </x:row>
    <x:row r="12" ht="30" customHeight="1">
      <x:c r="A12" s="25" t="str">
        <x:v>Baselines with four objects</x:v>
      </x:c>
      <x:c r="B12" s="25" t="n">
        <x:f>COUNTIFS('Evaluation Plan'!J2:J151,"In-distribution concept baseline",'Evaluation Plan'!N2:N151,4)</x:f>
        <x:v>20</x:v>
      </x:c>
      <x:c r="C12" s="25" t="n">
        <x:v>20</x:v>
      </x:c>
      <x:c r="D12" s="25" t="str">
        <x:f>IF(B12=C12,"PASS","FAIL")</x:f>
        <x:v>PASS</x:v>
      </x:c>
      <x:c r="E12" s="25" t="str">
        <x:v>Controls scene complexity.</x:v>
      </x:c>
    </x:row>
    <x:row r="13" ht="30" customHeight="1">
      <x:c r="A13" s="25" t="str">
        <x:v>Primary transfer total</x:v>
      </x:c>
      <x:c r="B13" s="25" t="n">
        <x:f>COUNTIF('Evaluation Plan'!J2:J151,"Concept/compositional transfer")</x:f>
        <x:v>50</x:v>
      </x:c>
      <x:c r="C13" s="25" t="n">
        <x:v>50</x:v>
      </x:c>
      <x:c r="D13" s="25" t="str">
        <x:f>IF(B13=C13,"PASS","FAIL")</x:f>
        <x:v>PASS</x:v>
      </x:c>
      <x:c r="E13" s="25" t="str">
        <x:v>Only the three held-out cells.</x:v>
      </x:c>
    </x:row>
    <x:row r="14" ht="30" customHeight="1">
      <x:c r="A14" s="25" t="str">
        <x:v>Primary held-out: airplane toy × furthest</x:v>
      </x:c>
      <x:c r="B14" s="25" t="n">
        <x:f>COUNTIFS('Evaluation Plan'!J2:J151,"Concept/compositional transfer",'Evaluation Plan'!M2:M151,"airplane toy",'Evaluation Plan'!L2:L151,"furthest")</x:f>
        <x:v>17</x:v>
      </x:c>
      <x:c r="C14" s="25" t="n">
        <x:v>17</x:v>
      </x:c>
      <x:c r="D14" s="25" t="str">
        <x:f>IF(B14=C14,"PASS","FAIL")</x:f>
        <x:v>PASS</x:v>
      </x:c>
      <x:c r="E14" s="25" t="str">
        <x:v>Balanced 17/17/16.</x:v>
      </x:c>
    </x:row>
    <x:row r="15" ht="30" customHeight="1">
      <x:c r="A15" s="25" t="str">
        <x:v>Primary held-out: crushed soda can × closest</x:v>
      </x:c>
      <x:c r="B15" s="25" t="n">
        <x:f>COUNTIFS('Evaluation Plan'!J2:J151,"Concept/compositional transfer",'Evaluation Plan'!M2:M151,"crushed soda can",'Evaluation Plan'!L2:L151,"closest")</x:f>
        <x:v>17</x:v>
      </x:c>
      <x:c r="C15" s="25" t="n">
        <x:v>17</x:v>
      </x:c>
      <x:c r="D15" s="25" t="str">
        <x:f>IF(B15=C15,"PASS","FAIL")</x:f>
        <x:v>PASS</x:v>
      </x:c>
      <x:c r="E15" s="25" t="str">
        <x:v>Balanced 17/17/16.</x:v>
      </x:c>
    </x:row>
    <x:row r="16" ht="30" customHeight="1">
      <x:c r="A16" s="25" t="str">
        <x:v>Primary held-out: pencil sharpener × between</x:v>
      </x:c>
      <x:c r="B16" s="25" t="n">
        <x:f>COUNTIFS('Evaluation Plan'!J2:J151,"Concept/compositional transfer",'Evaluation Plan'!M2:M151,"pencil sharpener",'Evaluation Plan'!L2:L151,"between")</x:f>
        <x:v>16</x:v>
      </x:c>
      <x:c r="C16" s="25" t="n">
        <x:v>16</x:v>
      </x:c>
      <x:c r="D16" s="25" t="str">
        <x:f>IF(B16=C16,"PASS","FAIL")</x:f>
        <x:v>PASS</x:v>
      </x:c>
      <x:c r="E16" s="25" t="str">
        <x:v>Balanced 17/17/16.</x:v>
      </x:c>
    </x:row>
    <x:row r="17" ht="30" customHeight="1">
      <x:c r="A17" s="25" t="str">
        <x:v>Primary wording: airplane toy × furthest — Pick up</x:v>
      </x:c>
      <x:c r="B17" s="25" t="n">
        <x:f>COUNTIFS('Evaluation Plan'!J2:J151,"Concept/compositional transfer",'Evaluation Plan'!M2:M151,"airplane toy",'Evaluation Plan'!L2:L151,"furthest",'Evaluation Plan'!Q2:Q151,"Primary held-out relation × candidate-category composition — Pick up")</x:f>
        <x:v>6</x:v>
      </x:c>
      <x:c r="C17" s="25" t="n">
        <x:v>6</x:v>
      </x:c>
      <x:c r="D17" s="25" t="str">
        <x:f>IF(B17=C17,"PASS","FAIL")</x:f>
        <x:v>PASS</x:v>
      </x:c>
      <x:c r="E17" s="25" t="str">
        <x:v>Action frame balanced within the held-out cell.</x:v>
      </x:c>
    </x:row>
    <x:row r="18" ht="30" customHeight="1">
      <x:c r="A18" s="25" t="str">
        <x:v>Primary wording: airplane toy × furthest — Put</x:v>
      </x:c>
      <x:c r="B18" s="25" t="n">
        <x:f>COUNTIFS('Evaluation Plan'!J2:J151,"Concept/compositional transfer",'Evaluation Plan'!M2:M151,"airplane toy",'Evaluation Plan'!L2:L151,"furthest",'Evaluation Plan'!Q2:Q151,"Primary held-out relation × candidate-category composition — Put")</x:f>
        <x:v>6</x:v>
      </x:c>
      <x:c r="C18" s="25" t="n">
        <x:v>6</x:v>
      </x:c>
      <x:c r="D18" s="25" t="str">
        <x:f>IF(B18=C18,"PASS","FAIL")</x:f>
        <x:v>PASS</x:v>
      </x:c>
      <x:c r="E18" s="25" t="str">
        <x:v>Action frame balanced within the held-out cell.</x:v>
      </x:c>
    </x:row>
    <x:row r="19" ht="30" customHeight="1">
      <x:c r="A19" s="25" t="str">
        <x:v>Primary wording: airplane toy × furthest — Move</x:v>
      </x:c>
      <x:c r="B19" s="25" t="n">
        <x:f>COUNTIFS('Evaluation Plan'!J2:J151,"Concept/compositional transfer",'Evaluation Plan'!M2:M151,"airplane toy",'Evaluation Plan'!L2:L151,"furthest",'Evaluation Plan'!Q2:Q151,"Primary held-out relation × candidate-category composition — Move")</x:f>
        <x:v>5</x:v>
      </x:c>
      <x:c r="C19" s="25" t="n">
        <x:v>5</x:v>
      </x:c>
      <x:c r="D19" s="25" t="str">
        <x:f>IF(B19=C19,"PASS","FAIL")</x:f>
        <x:v>PASS</x:v>
      </x:c>
      <x:c r="E19" s="25" t="str">
        <x:v>Action frame balanced within the held-out cell.</x:v>
      </x:c>
    </x:row>
    <x:row r="20" ht="30" customHeight="1">
      <x:c r="A20" s="25" t="str">
        <x:v>Primary wording: crushed soda can × closest — Pick up</x:v>
      </x:c>
      <x:c r="B20" s="25" t="n">
        <x:f>COUNTIFS('Evaluation Plan'!J2:J151,"Concept/compositional transfer",'Evaluation Plan'!M2:M151,"crushed soda can",'Evaluation Plan'!L2:L151,"closest",'Evaluation Plan'!Q2:Q151,"Primary held-out relation × candidate-category composition — Pick up")</x:f>
        <x:v>6</x:v>
      </x:c>
      <x:c r="C20" s="25" t="n">
        <x:v>6</x:v>
      </x:c>
      <x:c r="D20" s="25" t="str">
        <x:f>IF(B20=C20,"PASS","FAIL")</x:f>
        <x:v>PASS</x:v>
      </x:c>
      <x:c r="E20" s="25" t="str">
        <x:v>Action frame balanced within the held-out cell.</x:v>
      </x:c>
    </x:row>
    <x:row r="21" ht="30" customHeight="1">
      <x:c r="A21" s="25" t="str">
        <x:v>Primary wording: crushed soda can × closest — Put</x:v>
      </x:c>
      <x:c r="B21" s="25" t="n">
        <x:f>COUNTIFS('Evaluation Plan'!J2:J151,"Concept/compositional transfer",'Evaluation Plan'!M2:M151,"crushed soda can",'Evaluation Plan'!L2:L151,"closest",'Evaluation Plan'!Q2:Q151,"Primary held-out relation × candidate-category composition — Put")</x:f>
        <x:v>6</x:v>
      </x:c>
      <x:c r="C21" s="25" t="n">
        <x:v>6</x:v>
      </x:c>
      <x:c r="D21" s="25" t="str">
        <x:f>IF(B21=C21,"PASS","FAIL")</x:f>
        <x:v>PASS</x:v>
      </x:c>
      <x:c r="E21" s="25" t="str">
        <x:v>Action frame balanced within the held-out cell.</x:v>
      </x:c>
    </x:row>
    <x:row r="22" ht="30" customHeight="1">
      <x:c r="A22" s="25" t="str">
        <x:v>Primary wording: crushed soda can × closest — Move</x:v>
      </x:c>
      <x:c r="B22" s="25" t="n">
        <x:f>COUNTIFS('Evaluation Plan'!J2:J151,"Concept/compositional transfer",'Evaluation Plan'!M2:M151,"crushed soda can",'Evaluation Plan'!L2:L151,"closest",'Evaluation Plan'!Q2:Q151,"Primary held-out relation × candidate-category composition — Move")</x:f>
        <x:v>5</x:v>
      </x:c>
      <x:c r="C22" s="25" t="n">
        <x:v>5</x:v>
      </x:c>
      <x:c r="D22" s="25" t="str">
        <x:f>IF(B22=C22,"PASS","FAIL")</x:f>
        <x:v>PASS</x:v>
      </x:c>
      <x:c r="E22" s="25" t="str">
        <x:v>Action frame balanced within the held-out cell.</x:v>
      </x:c>
    </x:row>
    <x:row r="23" ht="30" customHeight="1">
      <x:c r="A23" s="25" t="str">
        <x:v>Primary wording: pencil sharpener × between — Pick up</x:v>
      </x:c>
      <x:c r="B23" s="25" t="n">
        <x:f>COUNTIFS('Evaluation Plan'!J2:J151,"Concept/compositional transfer",'Evaluation Plan'!M2:M151,"pencil sharpener",'Evaluation Plan'!L2:L151,"between",'Evaluation Plan'!Q2:Q151,"Primary held-out relation × candidate-category composition — Pick up")</x:f>
        <x:v>6</x:v>
      </x:c>
      <x:c r="C23" s="25" t="n">
        <x:v>6</x:v>
      </x:c>
      <x:c r="D23" s="25" t="str">
        <x:f>IF(B23=C23,"PASS","FAIL")</x:f>
        <x:v>PASS</x:v>
      </x:c>
      <x:c r="E23" s="25" t="str">
        <x:v>Action frame balanced within the held-out cell.</x:v>
      </x:c>
    </x:row>
    <x:row r="24" ht="30" customHeight="1">
      <x:c r="A24" s="25" t="str">
        <x:v>Primary wording: pencil sharpener × between — Put</x:v>
      </x:c>
      <x:c r="B24" s="25" t="n">
        <x:f>COUNTIFS('Evaluation Plan'!J2:J151,"Concept/compositional transfer",'Evaluation Plan'!M2:M151,"pencil sharpener",'Evaluation Plan'!L2:L151,"between",'Evaluation Plan'!Q2:Q151,"Primary held-out relation × candidate-category composition — Put")</x:f>
        <x:v>5</x:v>
      </x:c>
      <x:c r="C24" s="25" t="n">
        <x:v>5</x:v>
      </x:c>
      <x:c r="D24" s="25" t="str">
        <x:f>IF(B24=C24,"PASS","FAIL")</x:f>
        <x:v>PASS</x:v>
      </x:c>
      <x:c r="E24" s="25" t="str">
        <x:v>Action frame balanced within the held-out cell.</x:v>
      </x:c>
    </x:row>
    <x:row r="25" ht="30" customHeight="1">
      <x:c r="A25" s="25" t="str">
        <x:v>Primary wording: pencil sharpener × between — Move</x:v>
      </x:c>
      <x:c r="B25" s="25" t="n">
        <x:f>COUNTIFS('Evaluation Plan'!J2:J151,"Concept/compositional transfer",'Evaluation Plan'!M2:M151,"pencil sharpener",'Evaluation Plan'!L2:L151,"between",'Evaluation Plan'!Q2:Q151,"Primary held-out relation × candidate-category composition — Move")</x:f>
        <x:v>5</x:v>
      </x:c>
      <x:c r="C25" s="25" t="n">
        <x:v>5</x:v>
      </x:c>
      <x:c r="D25" s="25" t="str">
        <x:f>IF(B25=C25,"PASS","FAIL")</x:f>
        <x:v>PASS</x:v>
      </x:c>
      <x:c r="E25" s="25" t="str">
        <x:v>Action frame balanced within the held-out cell.</x:v>
      </x:c>
    </x:row>
    <x:row r="26" ht="30" customHeight="1">
      <x:c r="A26" s="25" t="str">
        <x:v>Language held-out: airplane toy × furthest</x:v>
      </x:c>
      <x:c r="B26" s="25" t="n">
        <x:f>COUNTIFS('Evaluation Plan'!J2:J151,"Language robustness",'Evaluation Plan'!M2:M151,"airplane toy",'Evaluation Plan'!L2:L151,"furthest")</x:f>
        <x:v>4</x:v>
      </x:c>
      <x:c r="C26" s="25" t="n">
        <x:v>4</x:v>
      </x:c>
      <x:c r="D26" s="25" t="str">
        <x:f>IF(B26=C26,"PASS","FAIL")</x:f>
        <x:v>PASS</x:v>
      </x:c>
      <x:c r="E26" s="25" t="str">
        <x:v>Exact-scene transfer paraphrases.</x:v>
      </x:c>
    </x:row>
    <x:row r="27" ht="30" customHeight="1">
      <x:c r="A27" s="25" t="str">
        <x:v>Language held-out: crushed soda can × closest</x:v>
      </x:c>
      <x:c r="B27" s="25" t="n">
        <x:f>COUNTIFS('Evaluation Plan'!J2:J151,"Language robustness",'Evaluation Plan'!M2:M151,"crushed soda can",'Evaluation Plan'!L2:L151,"closest")</x:f>
        <x:v>3</x:v>
      </x:c>
      <x:c r="C27" s="25" t="n">
        <x:v>3</x:v>
      </x:c>
      <x:c r="D27" s="25" t="str">
        <x:f>IF(B27=C27,"PASS","FAIL")</x:f>
        <x:v>PASS</x:v>
      </x:c>
      <x:c r="E27" s="25" t="str">
        <x:v>Exact-scene transfer paraphrases.</x:v>
      </x:c>
    </x:row>
    <x:row r="28" ht="30" customHeight="1">
      <x:c r="A28" s="25" t="str">
        <x:v>Language held-out: pencil sharpener × between</x:v>
      </x:c>
      <x:c r="B28" s="25" t="n">
        <x:f>COUNTIFS('Evaluation Plan'!J2:J151,"Language robustness",'Evaluation Plan'!M2:M151,"pencil sharpener",'Evaluation Plan'!L2:L151,"between")</x:f>
        <x:v>3</x:v>
      </x:c>
      <x:c r="C28" s="25" t="n">
        <x:v>3</x:v>
      </x:c>
      <x:c r="D28" s="25" t="str">
        <x:f>IF(B28=C28,"PASS","FAIL")</x:f>
        <x:v>PASS</x:v>
      </x:c>
      <x:c r="E28" s="25" t="str">
        <x:v>Exact-scene transfer paraphrases.</x:v>
      </x:c>
    </x:row>
    <x:row r="29" ht="30" customHeight="1">
      <x:c r="A29" s="25" t="str">
        <x:v>Held-out outside primary/language: airplane toy × furthest</x:v>
      </x:c>
      <x:c r="B29" s="25" t="n">
        <x:f>COUNTIFS('Evaluation Plan'!M2:M151,"airplane toy",'Evaluation Plan'!L2:L151,"furthest")-17-4</x:f>
        <x:v>0</x:v>
      </x:c>
      <x:c r="C29" s="25" t="n">
        <x:v>0</x:v>
      </x:c>
      <x:c r="D29" s="25" t="str">
        <x:f>IF(B29=C29,"PASS","FAIL")</x:f>
        <x:v>PASS</x:v>
      </x:c>
      <x:c r="E29" s="25" t="str">
        <x:v>No other condition uses a primary held-out cell.</x:v>
      </x:c>
    </x:row>
    <x:row r="30" ht="30" customHeight="1">
      <x:c r="A30" s="25" t="str">
        <x:v>Held-out outside primary/language: crushed soda can × closest</x:v>
      </x:c>
      <x:c r="B30" s="25" t="n">
        <x:f>COUNTIFS('Evaluation Plan'!M2:M151,"crushed soda can",'Evaluation Plan'!L2:L151,"closest")-17-3</x:f>
        <x:v>0</x:v>
      </x:c>
      <x:c r="C30" s="25" t="n">
        <x:v>0</x:v>
      </x:c>
      <x:c r="D30" s="25" t="str">
        <x:f>IF(B30=C30,"PASS","FAIL")</x:f>
        <x:v>PASS</x:v>
      </x:c>
      <x:c r="E30" s="25" t="str">
        <x:v>No other condition uses a primary held-out cell.</x:v>
      </x:c>
    </x:row>
    <x:row r="31" ht="30" customHeight="1">
      <x:c r="A31" s="25" t="str">
        <x:v>Held-out outside primary/language: pencil sharpener × between</x:v>
      </x:c>
      <x:c r="B31" s="25" t="n">
        <x:f>COUNTIFS('Evaluation Plan'!M2:M151,"pencil sharpener",'Evaluation Plan'!L2:L151,"between")-16-3</x:f>
        <x:v>0</x:v>
      </x:c>
      <x:c r="C31" s="25" t="n">
        <x:v>0</x:v>
      </x:c>
      <x:c r="D31" s="25" t="str">
        <x:f>IF(B31=C31,"PASS","FAIL")</x:f>
        <x:v>PASS</x:v>
      </x:c>
      <x:c r="E31" s="25" t="str">
        <x:v>No other condition uses a primary held-out cell.</x:v>
      </x:c>
    </x:row>
    <x:row r="32" ht="30" customHeight="1">
      <x:c r="A32" s="25" t="str">
        <x:v>Primary four-object scenes</x:v>
      </x:c>
      <x:c r="B32" s="25" t="n">
        <x:f>COUNTIFS('Evaluation Plan'!J2:J151,"Concept/compositional transfer",'Evaluation Plan'!N2:N151,4)</x:f>
        <x:v>26</x:v>
      </x:c>
      <x:c r="C32" s="25" t="n">
        <x:v>26</x:v>
      </x:c>
      <x:c r="D32" s="25" t="str">
        <x:f>IF(B32=C32,"PASS","FAIL")</x:f>
        <x:v>PASS</x:v>
      </x:c>
      <x:c r="E32" s="25" t="str">
        <x:v>Between is not identifiable from object count.</x:v>
      </x:c>
    </x:row>
    <x:row r="33" ht="30" customHeight="1">
      <x:c r="A33" s="25" t="str">
        <x:v>Primary five-object scenes</x:v>
      </x:c>
      <x:c r="B33" s="25" t="n">
        <x:f>COUNTIFS('Evaluation Plan'!J2:J151,"Concept/compositional transfer",'Evaluation Plan'!N2:N151,5)</x:f>
        <x:v>24</x:v>
      </x:c>
      <x:c r="C33" s="25" t="n">
        <x:v>24</x:v>
      </x:c>
      <x:c r="D33" s="25" t="str">
        <x:f>IF(B33=C33,"PASS","FAIL")</x:f>
        <x:v>PASS</x:v>
      </x:c>
      <x:c r="E33" s="25" t="str">
        <x:v>Between is not identifiable from object count.</x:v>
      </x:c>
    </x:row>
    <x:row r="34" ht="30" customHeight="1">
      <x:c r="A34" s="25" t="str">
        <x:v>Matched control total</x:v>
      </x:c>
      <x:c r="B34" s="25" t="n">
        <x:f>COUNTIF('Evaluation Plan'!J2:J151,"Matched manipulation control")</x:f>
        <x:v>20</x:v>
      </x:c>
      <x:c r="C34" s="25" t="n">
        <x:v>20</x:v>
      </x:c>
      <x:c r="D34" s="25" t="str">
        <x:f>IF(B34=C34,"PASS","FAIL")</x:f>
        <x:v>PASS</x:v>
      </x:c>
      <x:c r="E34" s="25" t="str">
        <x:v>Exact-scene, same-target direct controls.</x:v>
      </x:c>
    </x:row>
    <x:row r="35" ht="30" customHeight="1">
      <x:c r="A35" s="25" t="str">
        <x:v>Language robustness total</x:v>
      </x:c>
      <x:c r="B35" s="25" t="n">
        <x:f>COUNTIF('Evaluation Plan'!J2:J151,"Language robustness")</x:f>
        <x:v>20</x:v>
      </x:c>
      <x:c r="C35" s="25" t="n">
        <x:v>20</x:v>
      </x:c>
      <x:c r="D35" s="25" t="str">
        <x:f>IF(B35=C35,"PASS","FAIL")</x:f>
        <x:v>PASS</x:v>
      </x:c>
      <x:c r="E35" s="25" t="str">
        <x:v>Ten transfer + ten control paraphrases.</x:v>
      </x:c>
    </x:row>
    <x:row r="36" ht="30" customHeight="1">
      <x:c r="A36" s="25" t="str">
        <x:v>Language transfer paraphrases</x:v>
      </x:c>
      <x:c r="B36" s="25" t="n">
        <x:f>COUNTIFS('Evaluation Plan'!J2:J151,"Language robustness",'Evaluation Plan'!Q2:Q151,"Primary compositional-transfer prompt paraphrase")</x:f>
        <x:v>10</x:v>
      </x:c>
      <x:c r="C36" s="25" t="n">
        <x:v>10</x:v>
      </x:c>
      <x:c r="D36" s="25" t="str">
        <x:f>IF(B36=C36,"PASS","FAIL")</x:f>
        <x:v>PASS</x:v>
      </x:c>
      <x:c r="E36" s="25" t="str">
        <x:v>Exact canonical transfer scenes.</x:v>
      </x:c>
    </x:row>
    <x:row r="37" ht="30" customHeight="1">
      <x:c r="A37" s="25" t="str">
        <x:v>Language control paraphrases</x:v>
      </x:c>
      <x:c r="B37" s="25" t="n">
        <x:f>COUNTIFS('Evaluation Plan'!J2:J151,"Language robustness",'Evaluation Plan'!Q2:Q151,"Matched-control direct-name prompt paraphrase")</x:f>
        <x:v>10</x:v>
      </x:c>
      <x:c r="C37" s="25" t="n">
        <x:v>10</x:v>
      </x:c>
      <x:c r="D37" s="25" t="str">
        <x:f>IF(B37=C37,"PASS","FAIL")</x:f>
        <x:v>PASS</x:v>
      </x:c>
      <x:c r="E37" s="25" t="str">
        <x:v>Exact matched-control scenes.</x:v>
      </x:c>
    </x:row>
    <x:row r="38" ht="30" customHeight="1">
      <x:c r="A38" s="25" t="str">
        <x:v>Cross-task block total</x:v>
      </x:c>
      <x:c r="B38" s="25" t="n">
        <x:f>COUNTIF('Evaluation Plan'!J2:J151,"Cross-task block reasoning")</x:f>
        <x:v>20</x:v>
      </x:c>
      <x:c r="C38" s="25" t="n">
        <x:v>20</x:v>
      </x:c>
      <x:c r="D38" s="25" t="str">
        <x:f>IF(B38=C38,"PASS","FAIL")</x:f>
        <x:v>PASS</x:v>
      </x:c>
      <x:c r="E38" s="25" t="str">
        <x:v>Reasoning-only diagnostic.</x:v>
      </x:c>
    </x:row>
    <x:row r="39" ht="30" customHeight="1">
      <x:c r="A39" s="25" t="str">
        <x:v>Block relation: closest</x:v>
      </x:c>
      <x:c r="B39" s="25" t="n">
        <x:f>COUNTIFS('Evaluation Plan'!J2:J151,"Cross-task block reasoning",'Evaluation Plan'!L2:L151,"closest")</x:f>
        <x:v>7</x:v>
      </x:c>
      <x:c r="C39" s="25" t="n">
        <x:v>7</x:v>
      </x:c>
      <x:c r="D39" s="25" t="str">
        <x:f>IF(B39=C39,"PASS","FAIL")</x:f>
        <x:v>PASS</x:v>
      </x:c>
      <x:c r="E39" s="25" t="str">
        <x:v>Balanced 7/6/7.</x:v>
      </x:c>
    </x:row>
    <x:row r="40" ht="30" customHeight="1">
      <x:c r="A40" s="25" t="str">
        <x:v>Block relation: between</x:v>
      </x:c>
      <x:c r="B40" s="25" t="n">
        <x:f>COUNTIFS('Evaluation Plan'!J2:J151,"Cross-task block reasoning",'Evaluation Plan'!L2:L151,"between")</x:f>
        <x:v>6</x:v>
      </x:c>
      <x:c r="C40" s="25" t="n">
        <x:v>6</x:v>
      </x:c>
      <x:c r="D40" s="25" t="str">
        <x:f>IF(B40=C40,"PASS","FAIL")</x:f>
        <x:v>PASS</x:v>
      </x:c>
      <x:c r="E40" s="25" t="str">
        <x:v>Balanced 7/6/7.</x:v>
      </x:c>
    </x:row>
    <x:row r="41" ht="30" customHeight="1">
      <x:c r="A41" s="25" t="str">
        <x:v>Block relation: furthest</x:v>
      </x:c>
      <x:c r="B41" s="25" t="n">
        <x:f>COUNTIFS('Evaluation Plan'!J2:J151,"Cross-task block reasoning",'Evaluation Plan'!L2:L151,"furthest")</x:f>
        <x:v>7</x:v>
      </x:c>
      <x:c r="C41" s="25" t="n">
        <x:v>7</x:v>
      </x:c>
      <x:c r="D41" s="25" t="str">
        <x:f>IF(B41=C41,"PASS","FAIL")</x:f>
        <x:v>PASS</x:v>
      </x:c>
      <x:c r="E41" s="25" t="str">
        <x:v>Balanced 7/6/7.</x:v>
      </x:c>
    </x:row>
    <x:row r="42" ht="30" customHeight="1">
      <x:c r="A42" s="25" t="str">
        <x:v>Block target: green block</x:v>
      </x:c>
      <x:c r="B42" s="25" t="n">
        <x:f>COUNTIFS('Evaluation Plan'!J2:J151,"Cross-task block reasoning",'Evaluation Plan'!H2:H151,"green block")</x:f>
        <x:v>10</x:v>
      </x:c>
      <x:c r="C42" s="25" t="n">
        <x:v>10</x:v>
      </x:c>
      <x:c r="D42" s="25" t="str">
        <x:f>IF(B42=C42,"PASS","FAIL")</x:f>
        <x:v>PASS</x:v>
      </x:c>
      <x:c r="E42" s="25" t="str">
        <x:v>Balanced target color.</x:v>
      </x:c>
    </x:row>
    <x:row r="43" ht="30" customHeight="1">
      <x:c r="A43" s="25" t="str">
        <x:v>Block target: blue block</x:v>
      </x:c>
      <x:c r="B43" s="25" t="n">
        <x:f>COUNTIFS('Evaluation Plan'!J2:J151,"Cross-task block reasoning",'Evaluation Plan'!H2:H151,"blue block")</x:f>
        <x:v>10</x:v>
      </x:c>
      <x:c r="C43" s="25" t="n">
        <x:v>10</x:v>
      </x:c>
      <x:c r="D43" s="25" t="str">
        <x:f>IF(B43=C43,"PASS","FAIL")</x:f>
        <x:v>PASS</x:v>
      </x:c>
      <x:c r="E43" s="25" t="str">
        <x:v>Balanced target color.</x:v>
      </x:c>
    </x:row>
    <x:row r="44" ht="30" customHeight="1">
      <x:c r="A44" s="25" t="str">
        <x:v>Block rows with four objects</x:v>
      </x:c>
      <x:c r="B44" s="25" t="n">
        <x:f>COUNTIFS('Evaluation Plan'!J2:J151,"Cross-task block reasoning",'Evaluation Plan'!N2:N151,4)</x:f>
        <x:v>20</x:v>
      </x:c>
      <x:c r="C44" s="25" t="n">
        <x:v>20</x:v>
      </x:c>
      <x:c r="D44" s="25" t="str">
        <x:f>IF(B44=C44,"PASS","FAIL")</x:f>
        <x:v>PASS</x:v>
      </x:c>
      <x:c r="E44" s="25" t="str">
        <x:v>Concept is not correlated with object count.</x:v>
      </x:c>
    </x:row>
    <x:row r="45" ht="30" customHeight="1">
      <x:c r="A45" s="25" t="str">
        <x:v>No-valid-candidate total</x:v>
      </x:c>
      <x:c r="B45" s="25" t="n">
        <x:f>COUNTIF('Evaluation Plan'!J2:J151,"No valid candidate category / no movement")</x:f>
        <x:v>20</x:v>
      </x:c>
      <x:c r="C45" s="25" t="n">
        <x:v>20</x:v>
      </x:c>
      <x:c r="D45" s="25" t="str">
        <x:f>IF(B45=C45,"PASS","FAIL")</x:f>
        <x:v>PASS</x:v>
      </x:c>
      <x:c r="E45" s="25" t="str">
        <x:v>Separate abstention diagnostic.</x:v>
      </x:c>
    </x:row>
    <x:row r="46" ht="30" customHeight="1">
      <x:c r="A46" s="25" t="str">
        <x:v>No-valid category: airplane toy</x:v>
      </x:c>
      <x:c r="B46" s="25" t="n">
        <x:f>COUNTIFS('Evaluation Plan'!J2:J151,"No valid candidate category / no movement",'Evaluation Plan'!M2:M151,"airplane toy")</x:f>
        <x:v>5</x:v>
      </x:c>
      <x:c r="C46" s="25" t="n">
        <x:v>5</x:v>
      </x:c>
      <x:c r="D46" s="25" t="str">
        <x:f>IF(B46=C46,"PASS","FAIL")</x:f>
        <x:v>PASS</x:v>
      </x:c>
      <x:c r="E46" s="25" t="str">
        <x:v>Five per trained candidate category.</x:v>
      </x:c>
    </x:row>
    <x:row r="47" ht="30" customHeight="1">
      <x:c r="A47" s="25" t="str">
        <x:v>No-valid category: crushed soda can</x:v>
      </x:c>
      <x:c r="B47" s="25" t="n">
        <x:f>COUNTIFS('Evaluation Plan'!J2:J151,"No valid candidate category / no movement",'Evaluation Plan'!M2:M151,"crushed soda can")</x:f>
        <x:v>5</x:v>
      </x:c>
      <x:c r="C47" s="25" t="n">
        <x:v>5</x:v>
      </x:c>
      <x:c r="D47" s="25" t="str">
        <x:f>IF(B47=C47,"PASS","FAIL")</x:f>
        <x:v>PASS</x:v>
      </x:c>
      <x:c r="E47" s="25" t="str">
        <x:v>Five per trained candidate category.</x:v>
      </x:c>
    </x:row>
    <x:row r="48" ht="30" customHeight="1">
      <x:c r="A48" s="25" t="str">
        <x:v>No-valid category: pencil sharpener</x:v>
      </x:c>
      <x:c r="B48" s="25" t="n">
        <x:f>COUNTIFS('Evaluation Plan'!J2:J151,"No valid candidate category / no movement",'Evaluation Plan'!M2:M151,"pencil sharpener")</x:f>
        <x:v>5</x:v>
      </x:c>
      <x:c r="C48" s="25" t="n">
        <x:v>5</x:v>
      </x:c>
      <x:c r="D48" s="25" t="str">
        <x:f>IF(B48=C48,"PASS","FAIL")</x:f>
        <x:v>PASS</x:v>
      </x:c>
      <x:c r="E48" s="25" t="str">
        <x:v>Five per trained candidate category.</x:v>
      </x:c>
    </x:row>
    <x:row r="49" ht="30" customHeight="1">
      <x:c r="A49" s="25" t="str">
        <x:v>No-valid category: pen</x:v>
      </x:c>
      <x:c r="B49" s="25" t="n">
        <x:f>COUNTIFS('Evaluation Plan'!J2:J151,"No valid candidate category / no movement",'Evaluation Plan'!M2:M151,"pen")</x:f>
        <x:v>5</x:v>
      </x:c>
      <x:c r="C49" s="25" t="n">
        <x:v>5</x:v>
      </x:c>
      <x:c r="D49" s="25" t="str">
        <x:f>IF(B49=C49,"PASS","FAIL")</x:f>
        <x:v>PASS</x:v>
      </x:c>
      <x:c r="E49" s="25" t="str">
        <x:v>Five per trained candidate category.</x:v>
      </x:c>
    </x:row>
    <x:row r="50" ht="30" customHeight="1">
      <x:c r="A50" s="25" t="str">
        <x:v>No-valid relation: closest</x:v>
      </x:c>
      <x:c r="B50" s="25" t="n">
        <x:f>COUNTIFS('Evaluation Plan'!J2:J151,"No valid candidate category / no movement",'Evaluation Plan'!L2:L151,"closest")</x:f>
        <x:v>7</x:v>
      </x:c>
      <x:c r="C50" s="25" t="n">
        <x:v>7</x:v>
      </x:c>
      <x:c r="D50" s="25" t="str">
        <x:f>IF(B50=C50,"PASS","FAIL")</x:f>
        <x:v>PASS</x:v>
      </x:c>
      <x:c r="E50" s="25" t="str">
        <x:v>Balanced 7/6/7.</x:v>
      </x:c>
    </x:row>
    <x:row r="51" ht="30" customHeight="1">
      <x:c r="A51" s="25" t="str">
        <x:v>No-valid relation: between</x:v>
      </x:c>
      <x:c r="B51" s="25" t="n">
        <x:f>COUNTIFS('Evaluation Plan'!J2:J151,"No valid candidate category / no movement",'Evaluation Plan'!L2:L151,"between")</x:f>
        <x:v>6</x:v>
      </x:c>
      <x:c r="C51" s="25" t="n">
        <x:v>6</x:v>
      </x:c>
      <x:c r="D51" s="25" t="str">
        <x:f>IF(B51=C51,"PASS","FAIL")</x:f>
        <x:v>PASS</x:v>
      </x:c>
      <x:c r="E51" s="25" t="str">
        <x:v>Balanced 7/6/7.</x:v>
      </x:c>
    </x:row>
    <x:row r="52" ht="30" customHeight="1">
      <x:c r="A52" s="25" t="str">
        <x:v>No-valid relation: furthest</x:v>
      </x:c>
      <x:c r="B52" s="25" t="n">
        <x:f>COUNTIFS('Evaluation Plan'!J2:J151,"No valid candidate category / no movement",'Evaluation Plan'!L2:L151,"furthest")</x:f>
        <x:v>7</x:v>
      </x:c>
      <x:c r="C52" s="25" t="n">
        <x:v>7</x:v>
      </x:c>
      <x:c r="D52" s="25" t="str">
        <x:f>IF(B52=C52,"PASS","FAIL")</x:f>
        <x:v>PASS</x:v>
      </x:c>
      <x:c r="E52" s="25" t="str">
        <x:v>Balanced 7/6/7.</x:v>
      </x:c>
    </x:row>
    <x:row r="53" ht="30" customHeight="1">
      <x:c r="A53" s="25" t="str">
        <x:v>No-valid rows with zero candidates</x:v>
      </x:c>
      <x:c r="B53" s="25" t="n">
        <x:f>COUNTIFS('Evaluation Plan'!J2:J151,"No valid candidate category / no movement",'Evaluation Plan'!O2:O151,0)</x:f>
        <x:v>20</x:v>
      </x:c>
      <x:c r="C53" s="25" t="n">
        <x:v>20</x:v>
      </x:c>
      <x:c r="D53" s="25" t="str">
        <x:f>IF(B53=C53,"PASS","FAIL")</x:f>
        <x:v>PASS</x:v>
      </x:c>
      <x:c r="E53" s="25" t="str">
        <x:v>Builder also validates identity absence.</x:v>
      </x:c>
    </x:row>
    <x:row r="54" ht="30" customHeight="1">
      <x:c r="A54" s="25" t="str">
        <x:v>No-valid object count 2</x:v>
      </x:c>
      <x:c r="B54" s="25" t="n">
        <x:f>COUNTIFS('Evaluation Plan'!J2:J151,"No valid candidate category / no movement",'Evaluation Plan'!N2:N151,2)</x:f>
        <x:v>7</x:v>
      </x:c>
      <x:c r="C54" s="25" t="n">
        <x:v>7</x:v>
      </x:c>
      <x:c r="D54" s="25" t="str">
        <x:f>IF(B54=C54,"PASS","FAIL")</x:f>
        <x:v>PASS</x:v>
      </x:c>
      <x:c r="E54" s="25" t="str">
        <x:v>Varied visible-scene complexity.</x:v>
      </x:c>
    </x:row>
    <x:row r="55" ht="30" customHeight="1">
      <x:c r="A55" s="25" t="str">
        <x:v>No-valid object count 3</x:v>
      </x:c>
      <x:c r="B55" s="25" t="n">
        <x:f>COUNTIFS('Evaluation Plan'!J2:J151,"No valid candidate category / no movement",'Evaluation Plan'!N2:N151,3)</x:f>
        <x:v>7</x:v>
      </x:c>
      <x:c r="C55" s="25" t="n">
        <x:v>7</x:v>
      </x:c>
      <x:c r="D55" s="25" t="str">
        <x:f>IF(B55=C55,"PASS","FAIL")</x:f>
        <x:v>PASS</x:v>
      </x:c>
      <x:c r="E55" s="25" t="str">
        <x:v>Varied visible-scene complexity.</x:v>
      </x:c>
    </x:row>
    <x:row r="56" ht="30" customHeight="1">
      <x:c r="A56" s="25" t="str">
        <x:v>No-valid object count 4</x:v>
      </x:c>
      <x:c r="B56" s="25" t="n">
        <x:f>COUNTIFS('Evaluation Plan'!J2:J151,"No valid candidate category / no movement",'Evaluation Plan'!N2:N151,4)</x:f>
        <x:v>6</x:v>
      </x:c>
      <x:c r="C56" s="25" t="n">
        <x:v>6</x:v>
      </x:c>
      <x:c r="D56" s="25" t="str">
        <x:f>IF(B56=C56,"PASS","FAIL")</x:f>
        <x:v>PASS</x:v>
      </x:c>
      <x:c r="E56" s="25" t="str">
        <x:v>Varied visible-scene complexity.</x:v>
      </x:c>
    </x:row>
    <x:row r="57" ht="30" customHeight="1">
      <x:c r="A57" s="25" t="str">
        <x:v>Active rows with one valid target</x:v>
      </x:c>
      <x:c r="B57" s="25" t="n">
        <x:f>COUNTIFS('Evaluation Plan'!J2:J151,"&lt;&gt;No valid candidate category / no movement",'Evaluation Plan'!O2:O151,1)</x:f>
        <x:v>130</x:v>
      </x:c>
      <x:c r="C57" s="25" t="n">
        <x:v>130</x:v>
      </x:c>
      <x:c r="D57" s="25" t="str">
        <x:f>IF(B57=C57,"PASS","FAIL")</x:f>
        <x:v>PASS</x:v>
      </x:c>
      <x:c r="E57" s="25" t="str">
        <x:v>All active rows have a unique target.</x:v>
      </x:c>
    </x:row>
  </x:sheetData>
  <x:conditionalFormatting sqref="D2:D36">
    <x:cfRule type="containsText" dxfId="7" priority="1" operator="containsText" text="PASS"/>
    <x:cfRule type="containsText" dxfId="8" priority="2" operator="containsText" text="CHECK"/>
  </x:conditionalFormatting>
  <x:conditionalFormatting sqref="D2:D57">
    <x:cfRule type="containsText" dxfId="39" priority="3" operator="containsText" text="PASS"/>
    <x:cfRule type="containsText" dxfId="40" priority="4" operator="containsText" text="FAIL"/>
  </x:conditionalFormatting>
  <x:pageMargins left="0.7" right="0.7" top="0.75" bottom="0.75" header="0.3" footer="0.3"/>
  <x:tableParts count="1">
    <x:tablePart xmlns:r="http://schemas.openxmlformats.org/officeDocument/2006/relationships" r:id="Rbd1ee9b991894a8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31.670000076293945" hidden="0" customWidth="1"/>
    <x:col min="4" max="4" width="52.779998779296875" hidden="0" customWidth="1"/>
    <x:col min="5" max="5" width="9.4399995803833" hidden="0" customWidth="1"/>
    <x:col min="6" max="6" width="12.779999732971191" hidden="0" customWidth="1"/>
    <x:col min="7" max="7" width="40.560001373291016" hidden="0" customWidth="1"/>
    <x:col min="8" max="8" width="25.559999465942383" hidden="0" customWidth="1"/>
    <x:col min="9" max="9" width="28.889999389648438" hidden="0" customWidth="1"/>
    <x:col min="10" max="10" width="24.440000534057617" hidden="0" customWidth="1"/>
    <x:col min="11" max="11" width="11.670000076293945" hidden="0" customWidth="1"/>
    <x:col min="12" max="12" width="12.779999732971191" hidden="0" customWidth="1"/>
    <x:col min="13" max="13" width="18.329999923706055" hidden="0" customWidth="1"/>
    <x:col min="14" max="14" width="8.329999923706055" hidden="0" customWidth="1"/>
    <x:col min="15" max="15" width="10" hidden="0" customWidth="1"/>
    <x:col min="16" max="16" width="8.890000343322754" hidden="0" customWidth="1"/>
    <x:col min="17" max="17" width="32.220001220703125" hidden="0" customWidth="1"/>
    <x:col min="18" max="18" width="9.4399995803833" hidden="0" customWidth="1"/>
    <x:col min="19" max="19" width="28.329999923706055" hidden="0" customWidth="1"/>
    <x:col min="20" max="20" width="38.33000183105469" hidden="0" customWidth="1"/>
    <x:col min="21" max="21" width="20.559999465942383" hidden="0" customWidth="1"/>
  </x:cols>
  <x:sheetData>
    <x:row r="1" ht="30" customHeight="1">
      <x:c r="A1" s="30" t="str">
        <x:v>Status</x:v>
      </x:c>
      <x:c r="B1" s="30" t="str">
        <x:v>Episode</x:v>
      </x:c>
      <x:c r="C1" s="30" t="str">
        <x:v>Prompt</x:v>
      </x:c>
      <x:c r="D1" s="30" t="str">
        <x:v>Objects and Relative Positions</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Query Concept</x:v>
      </x:c>
      <x:c r="M1" s="30" t="str">
        <x:v>Candidate Category</x:v>
      </x:c>
      <x:c r="N1" s="30" t="str">
        <x:v>Object Count</x:v>
      </x:c>
      <x:c r="O1" s="30" t="str">
        <x:v>Valid Candidate Count</x:v>
      </x:c>
      <x:c r="P1" s="30" t="str">
        <x:v>Bowl Start</x:v>
      </x:c>
      <x:c r="Q1" s="30" t="str">
        <x:v>Comparison / Subtype</x:v>
      </x:c>
      <x:c r="R1" s="30" t="str">
        <x:v>Collection Block</x:v>
      </x:c>
      <x:c r="S1" s="30" t="str">
        <x:v>Setup Change from Previous</x:v>
      </x:c>
      <x:c r="T1" s="30" t="str">
        <x:v>Design Note</x:v>
      </x:c>
      <x:c r="U1" s="30" t="str">
        <x:v>Reference Media Filename</x:v>
      </x:c>
    </x:row>
    <x:row r="2" ht="51" customHeight="1">
      <x:c r="A2" s="41" t="str">
        <x:v>Not collected</x:v>
      </x:c>
      <x:c r="B2" s="42" t="n">
        <x:f>'Evaluation Plan'!B2</x:f>
        <x:v>0</x:v>
      </x:c>
      <x:c r="C2" s="41" t="str">
        <x:f>'Evaluation Plan'!C2</x:f>
        <x:v>Move the crushed soda can lying between the green pencil sharpener and the green pen into the bowl.</x:v>
      </x:c>
      <x:c r="D2" s="41" t="str">
        <x:f>'Evaluation Plan'!D2</x:f>
        <x:v>Reference A: green pencil sharpener at 14 cm to robot-left of table centre; Reference B: green pen at 14 cm to robot-right of table centre; crushed Coke can: at table centre on the straight Reference A–B segment; crushed Pepsi can: 12 cm toward the robot from table centre, off the Reference A–B segment; Bowl: empty</x:v>
      </x:c>
      <x:c r="E2" s="42" t="str">
        <x:f>'Evaluation Plan'!E2</x:f>
      </x:c>
      <x:c r="F2" s="42" t="str">
        <x:f>'Evaluation Plan'!F2</x:f>
        <x:v>430</x:v>
      </x:c>
      <x:c r="G2" s="41" t="str">
        <x:f>'Evaluation Plan'!G2</x:f>
        <x:v>Exact manifest cell: prompt, relation × candidate-category combination, target identity, and object membership are explicitly represented in training; physical positions are manually recreated with a clear margin.</x:v>
      </x:c>
      <x:c r="H2" s="41" t="str">
        <x:f>'Evaluation Plan'!H2</x:f>
        <x:v>crushed Coke can</x:v>
      </x:c>
      <x:c r="I2" s="41" t="str"/>
      <x:c r="J2" s="43" t="str">
        <x:f>'Evaluation Plan'!J2</x:f>
        <x:v>In-distribution concept baseline</x:v>
      </x:c>
      <x:c r="K2" s="42" t="str">
        <x:f>'Evaluation Plan'!K2</x:f>
        <x:v>RD-ID01</x:v>
      </x:c>
      <x:c r="L2" s="42" t="str">
        <x:f>'Evaluation Plan'!L2</x:f>
        <x:v>between</x:v>
      </x:c>
      <x:c r="M2" s="42" t="str">
        <x:f>'Evaluation Plan'!M2</x:f>
        <x:v>crushed soda can</x:v>
      </x:c>
      <x:c r="N2" s="42" t="n">
        <x:f>'Evaluation Plan'!N2</x:f>
        <x:v>4</x:v>
      </x:c>
      <x:c r="O2" s="42" t="n">
        <x:f>'Evaluation Plan'!O2</x:f>
        <x:v>1</x:v>
      </x:c>
      <x:c r="P2" s="42" t="str">
        <x:f>'Evaluation Plan'!P2</x:f>
        <x:v>Empty</x:v>
      </x:c>
      <x:c r="Q2" s="41" t="str">
        <x:f>'Evaluation Plan'!Q2</x:f>
        <x:v>Exact training-supported relation × candidate-category baseline</x:v>
      </x:c>
      <x:c r="R2" s="42" t="n">
        <x:f>'Evaluation Plan'!R2</x:f>
        <x:v>1</x:v>
      </x:c>
      <x:c r="S2" s="41" t="str">
        <x:f>'Evaluation Plan'!S2</x:f>
        <x:v>Recreate the listed four-object scene with the bowl empty.</x:v>
      </x:c>
      <x:c r="T2" s="41" t="str">
        <x:f>'Evaluation Plan'!T2</x:f>
        <x:v>The relation, candidate category, target identity, and object membership occur together in the cited training episode.</x:v>
      </x:c>
      <x:c r="U2" s="41" t="n">
        <x:f>'Evaluation Plan'!U2</x:f>
        <x:v>0</x:v>
      </x:c>
    </x:row>
    <x:row r="3" ht="51" customHeight="1">
      <x:c r="A3" s="44" t="str">
        <x:v>Not collected</x:v>
      </x:c>
      <x:c r="B3" s="45" t="n">
        <x:f>'Evaluation Plan'!B3</x:f>
        <x:v>1</x:v>
      </x:c>
      <x:c r="C3" s="44" t="str">
        <x:f>'Evaluation Plan'!C3</x:f>
        <x:v>Put the crushed soda can between the red pencil sharpener and the airplane toy without propellers in the bowl.</x:v>
      </x:c>
      <x:c r="D3" s="44" t="str">
        <x:f>'Evaluation Plan'!D3</x:f>
        <x:v>Reference A: red pencil sharpener at 14 cm toward the robot from table centre; Reference B: airplane toy without propellers at 14 cm away from the robot from table centre; crushed Pepsi can: at table centre on the straight Reference A–B segment; crushed Coke can: 12 cm to robot-right of table centre, off the Reference A–B segment; Bowl: empty</x:v>
      </x:c>
      <x:c r="E3" s="45" t="str">
        <x:f>'Evaluation Plan'!E3</x:f>
      </x:c>
      <x:c r="F3" s="45" t="str">
        <x:f>'Evaluation Plan'!F3</x:f>
        <x:v>437</x:v>
      </x:c>
      <x:c r="G3" s="44" t="str">
        <x:f>'Evaluation Plan'!G3</x:f>
        <x:v>Exact manifest cell: prompt, relation × candidate-category combination, target identity, and object membership are explicitly represented in training; physical positions are manually recreated with a clear margin.</x:v>
      </x:c>
      <x:c r="H3" s="44" t="str">
        <x:f>'Evaluation Plan'!H3</x:f>
        <x:v>crushed Pepsi can</x:v>
      </x:c>
      <x:c r="I3" s="44" t="str"/>
      <x:c r="J3" s="43" t="str">
        <x:f>'Evaluation Plan'!J3</x:f>
        <x:v>In-distribution concept baseline</x:v>
      </x:c>
      <x:c r="K3" s="45" t="str">
        <x:f>'Evaluation Plan'!K3</x:f>
        <x:v>RD-ID02</x:v>
      </x:c>
      <x:c r="L3" s="45" t="str">
        <x:f>'Evaluation Plan'!L3</x:f>
        <x:v>between</x:v>
      </x:c>
      <x:c r="M3" s="45" t="str">
        <x:f>'Evaluation Plan'!M3</x:f>
        <x:v>crushed soda can</x:v>
      </x:c>
      <x:c r="N3" s="45" t="n">
        <x:f>'Evaluation Plan'!N3</x:f>
        <x:v>4</x:v>
      </x:c>
      <x:c r="O3" s="45" t="n">
        <x:f>'Evaluation Plan'!O3</x:f>
        <x:v>1</x:v>
      </x:c>
      <x:c r="P3" s="45" t="str">
        <x:f>'Evaluation Plan'!P3</x:f>
        <x:v>Empty</x:v>
      </x:c>
      <x:c r="Q3" s="44" t="str">
        <x:f>'Evaluation Plan'!Q3</x:f>
        <x:v>Exact training-supported relation × candidate-category baseline</x:v>
      </x:c>
      <x:c r="R3" s="45" t="n">
        <x:f>'Evaluation Plan'!R3</x:f>
        <x:v>1</x:v>
      </x:c>
      <x:c r="S3" s="44" t="str">
        <x:f>'Evaluation Plan'!S3</x:f>
        <x:v>Recreate the listed four-object scene with the bowl empty.</x:v>
      </x:c>
      <x:c r="T3" s="44" t="str">
        <x:f>'Evaluation Plan'!T3</x:f>
        <x:v>The relation, candidate category, target identity, and object membership occur together in the cited training episode.</x:v>
      </x:c>
      <x:c r="U3" s="44" t="n">
        <x:f>'Evaluation Plan'!U3</x:f>
        <x:v>0</x:v>
      </x:c>
    </x:row>
    <x:row r="4" ht="51" customHeight="1">
      <x:c r="A4" s="41" t="str">
        <x:v>Not collected</x:v>
      </x:c>
      <x:c r="B4" s="42" t="n">
        <x:f>'Evaluation Plan'!B4</x:f>
        <x:v>2</x:v>
      </x:c>
      <x:c r="C4" s="41" t="str">
        <x:f>'Evaluation Plan'!C4</x:f>
        <x:v>Pick up the crushed soda can positioned between the airplane toy with propellers and the green pencil sharpener, then place it in the bowl.</x:v>
      </x:c>
      <x:c r="D4" s="41" t="str">
        <x:f>'Evaluation Plan'!D4</x:f>
        <x:v>Reference A: airplane toy with propellers at 14 cm toward robot-left from table centre; Reference B: green pencil sharpener at 14 cm away toward robot-right from table centre; crushed Coke can: at table centre on the straight Reference A–B segment; crushed Pepsi can: 12 cm toward robot-right from table centre, off the Reference A–B segment; Bowl: empty</x:v>
      </x:c>
      <x:c r="E4" s="42" t="str">
        <x:f>'Evaluation Plan'!E4</x:f>
      </x:c>
      <x:c r="F4" s="42" t="str">
        <x:f>'Evaluation Plan'!F4</x:f>
        <x:v>431</x:v>
      </x:c>
      <x:c r="G4" s="41" t="str">
        <x:f>'Evaluation Plan'!G4</x:f>
        <x:v>Exact manifest cell: prompt, relation × candidate-category combination, target identity, and object membership are explicitly represented in training; physical positions are manually recreated with a clear margin.</x:v>
      </x:c>
      <x:c r="H4" s="41" t="str">
        <x:f>'Evaluation Plan'!H4</x:f>
        <x:v>crushed Coke can</x:v>
      </x:c>
      <x:c r="I4" s="41" t="str"/>
      <x:c r="J4" s="43" t="str">
        <x:f>'Evaluation Plan'!J4</x:f>
        <x:v>In-distribution concept baseline</x:v>
      </x:c>
      <x:c r="K4" s="42" t="str">
        <x:f>'Evaluation Plan'!K4</x:f>
        <x:v>RD-ID03</x:v>
      </x:c>
      <x:c r="L4" s="42" t="str">
        <x:f>'Evaluation Plan'!L4</x:f>
        <x:v>between</x:v>
      </x:c>
      <x:c r="M4" s="42" t="str">
        <x:f>'Evaluation Plan'!M4</x:f>
        <x:v>crushed soda can</x:v>
      </x:c>
      <x:c r="N4" s="42" t="n">
        <x:f>'Evaluation Plan'!N4</x:f>
        <x:v>4</x:v>
      </x:c>
      <x:c r="O4" s="42" t="n">
        <x:f>'Evaluation Plan'!O4</x:f>
        <x:v>1</x:v>
      </x:c>
      <x:c r="P4" s="42" t="str">
        <x:f>'Evaluation Plan'!P4</x:f>
        <x:v>Empty</x:v>
      </x:c>
      <x:c r="Q4" s="41" t="str">
        <x:f>'Evaluation Plan'!Q4</x:f>
        <x:v>Exact training-supported relation × candidate-category baseline</x:v>
      </x:c>
      <x:c r="R4" s="42" t="n">
        <x:f>'Evaluation Plan'!R4</x:f>
        <x:v>1</x:v>
      </x:c>
      <x:c r="S4" s="41" t="str">
        <x:f>'Evaluation Plan'!S4</x:f>
        <x:v>Recreate the listed four-object scene with the bowl empty.</x:v>
      </x:c>
      <x:c r="T4" s="41" t="str">
        <x:f>'Evaluation Plan'!T4</x:f>
        <x:v>The relation, candidate category, target identity, and object membership occur together in the cited training episode.</x:v>
      </x:c>
      <x:c r="U4" s="41" t="n">
        <x:f>'Evaluation Plan'!U4</x:f>
        <x:v>0</x:v>
      </x:c>
    </x:row>
    <x:row r="5" ht="51" customHeight="1">
      <x:c r="A5" s="44" t="str">
        <x:v>Not collected</x:v>
      </x:c>
      <x:c r="B5" s="45" t="n">
        <x:f>'Evaluation Plan'!B5</x:f>
        <x:v>3</x:v>
      </x:c>
      <x:c r="C5" s="44" t="str">
        <x:f>'Evaluation Plan'!C5</x:f>
        <x:v>Pick up the crushed soda can furthest from the yellow pen and place it in the bowl.</x:v>
      </x:c>
      <x:c r="D5" s="44" t="str">
        <x:f>'Evaluation Plan'!D5</x:f>
        <x:v>Reference: yellow pen at table centre; crushed Pepsi can: 10 cm away from the robot from the reference; crushed Coke can: 24 cm toward the robot from the reference; airplane toy with propellers: at the far robot-left corner, outside the distance comparison; Bowl: empty</x:v>
      </x:c>
      <x:c r="E5" s="45" t="str">
        <x:f>'Evaluation Plan'!E5</x:f>
      </x:c>
      <x:c r="F5" s="45" t="str">
        <x:f>'Evaluation Plan'!F5</x:f>
        <x:v>416</x:v>
      </x:c>
      <x:c r="G5" s="44" t="str">
        <x:f>'Evaluation Plan'!G5</x:f>
        <x:v>Exact manifest cell: prompt, relation × candidate-category combination, target identity, and object membership are explicitly represented in training; physical positions are manually recreated with a clear margin.</x:v>
      </x:c>
      <x:c r="H5" s="44" t="str">
        <x:f>'Evaluation Plan'!H5</x:f>
        <x:v>crushed Coke can</x:v>
      </x:c>
      <x:c r="I5" s="44" t="str"/>
      <x:c r="J5" s="43" t="str">
        <x:f>'Evaluation Plan'!J5</x:f>
        <x:v>In-distribution concept baseline</x:v>
      </x:c>
      <x:c r="K5" s="45" t="str">
        <x:f>'Evaluation Plan'!K5</x:f>
        <x:v>RD-ID04</x:v>
      </x:c>
      <x:c r="L5" s="45" t="str">
        <x:f>'Evaluation Plan'!L5</x:f>
        <x:v>furthest</x:v>
      </x:c>
      <x:c r="M5" s="45" t="str">
        <x:f>'Evaluation Plan'!M5</x:f>
        <x:v>crushed soda can</x:v>
      </x:c>
      <x:c r="N5" s="45" t="n">
        <x:f>'Evaluation Plan'!N5</x:f>
        <x:v>4</x:v>
      </x:c>
      <x:c r="O5" s="45" t="n">
        <x:f>'Evaluation Plan'!O5</x:f>
        <x:v>1</x:v>
      </x:c>
      <x:c r="P5" s="45" t="str">
        <x:f>'Evaluation Plan'!P5</x:f>
        <x:v>Empty</x:v>
      </x:c>
      <x:c r="Q5" s="44" t="str">
        <x:f>'Evaluation Plan'!Q5</x:f>
        <x:v>Exact training-supported relation × candidate-category baseline</x:v>
      </x:c>
      <x:c r="R5" s="45" t="n">
        <x:f>'Evaluation Plan'!R5</x:f>
        <x:v>1</x:v>
      </x:c>
      <x:c r="S5" s="44" t="str">
        <x:f>'Evaluation Plan'!S5</x:f>
        <x:v>Recreate the listed four-object scene with the bowl empty.</x:v>
      </x:c>
      <x:c r="T5" s="44" t="str">
        <x:f>'Evaluation Plan'!T5</x:f>
        <x:v>The relation, candidate category, target identity, and object membership occur together in the cited training episode.</x:v>
      </x:c>
      <x:c r="U5" s="44" t="n">
        <x:f>'Evaluation Plan'!U5</x:f>
        <x:v>0</x:v>
      </x:c>
    </x:row>
    <x:row r="6" ht="51" customHeight="1">
      <x:c r="A6" s="41" t="str">
        <x:v>Not collected</x:v>
      </x:c>
      <x:c r="B6" s="42" t="n">
        <x:f>'Evaluation Plan'!B6</x:f>
        <x:v>4</x:v>
      </x:c>
      <x:c r="C6" s="41" t="str">
        <x:f>'Evaluation Plan'!C6</x:f>
        <x:v>Pick up the crushed soda can furthest from the airplane toy without propellers and place it in the bowl.</x:v>
      </x:c>
      <x:c r="D6" s="41" t="str">
        <x:f>'Evaluation Plan'!D6</x:f>
        <x:v>Reference: airplane toy without propellers at table centre; crushed Pepsi can: 10 cm toward robot-left from the reference; crushed Coke can: 24 cm away toward robot-right from the reference; green pencil sharpener: at the far robot-left corner, outside the distance comparison; Bowl: empty</x:v>
      </x:c>
      <x:c r="E6" s="42" t="str">
        <x:f>'Evaluation Plan'!E6</x:f>
      </x:c>
      <x:c r="F6" s="42" t="str">
        <x:f>'Evaluation Plan'!F6</x:f>
        <x:v>418</x:v>
      </x:c>
      <x:c r="G6" s="41" t="str">
        <x:f>'Evaluation Plan'!G6</x:f>
        <x:v>Exact manifest cell: prompt, relation × candidate-category combination, target identity, and object membership are explicitly represented in training; physical positions are manually recreated with a clear margin.</x:v>
      </x:c>
      <x:c r="H6" s="41" t="str">
        <x:f>'Evaluation Plan'!H6</x:f>
        <x:v>crushed Coke can</x:v>
      </x:c>
      <x:c r="I6" s="41" t="str"/>
      <x:c r="J6" s="43" t="str">
        <x:f>'Evaluation Plan'!J6</x:f>
        <x:v>In-distribution concept baseline</x:v>
      </x:c>
      <x:c r="K6" s="42" t="str">
        <x:f>'Evaluation Plan'!K6</x:f>
        <x:v>RD-ID05</x:v>
      </x:c>
      <x:c r="L6" s="42" t="str">
        <x:f>'Evaluation Plan'!L6</x:f>
        <x:v>furthest</x:v>
      </x:c>
      <x:c r="M6" s="42" t="str">
        <x:f>'Evaluation Plan'!M6</x:f>
        <x:v>crushed soda can</x:v>
      </x:c>
      <x:c r="N6" s="42" t="n">
        <x:f>'Evaluation Plan'!N6</x:f>
        <x:v>4</x:v>
      </x:c>
      <x:c r="O6" s="42" t="n">
        <x:f>'Evaluation Plan'!O6</x:f>
        <x:v>1</x:v>
      </x:c>
      <x:c r="P6" s="42" t="str">
        <x:f>'Evaluation Plan'!P6</x:f>
        <x:v>Empty</x:v>
      </x:c>
      <x:c r="Q6" s="41" t="str">
        <x:f>'Evaluation Plan'!Q6</x:f>
        <x:v>Exact training-supported relation × candidate-category baseline</x:v>
      </x:c>
      <x:c r="R6" s="42" t="n">
        <x:f>'Evaluation Plan'!R6</x:f>
        <x:v>1</x:v>
      </x:c>
      <x:c r="S6" s="41" t="str">
        <x:f>'Evaluation Plan'!S6</x:f>
        <x:v>Recreate the listed four-object scene with the bowl empty.</x:v>
      </x:c>
      <x:c r="T6" s="41" t="str">
        <x:f>'Evaluation Plan'!T6</x:f>
        <x:v>The relation, candidate category, target identity, and object membership occur together in the cited training episode.</x:v>
      </x:c>
      <x:c r="U6" s="41" t="n">
        <x:f>'Evaluation Plan'!U6</x:f>
        <x:v>0</x:v>
      </x:c>
    </x:row>
    <x:row r="7" ht="51" customHeight="1">
      <x:c r="A7" s="44" t="str">
        <x:v>Not collected</x:v>
      </x:c>
      <x:c r="B7" s="45" t="n">
        <x:f>'Evaluation Plan'!B7</x:f>
        <x:v>5</x:v>
      </x:c>
      <x:c r="C7" s="44" t="str">
        <x:f>'Evaluation Plan'!C7</x:f>
        <x:v>Move the pencil sharpener that is closest to the green pen into the bowl.</x:v>
      </x:c>
      <x:c r="D7" s="44" t="str">
        <x:f>'Evaluation Plan'!D7</x:f>
        <x:v>Reference: green pen at table centre; green pencil sharpener: 10 cm toward robot-right from the reference; red pencil sharpener: 24 cm away toward robot-left from the reference; yellow pen: at the far robot-left corner, outside the distance comparison; Bowl: empty</x:v>
      </x:c>
      <x:c r="E7" s="45" t="str">
        <x:f>'Evaluation Plan'!E7</x:f>
      </x:c>
      <x:c r="F7" s="45" t="str">
        <x:f>'Evaluation Plan'!F7</x:f>
        <x:v>464</x:v>
      </x:c>
      <x:c r="G7" s="44" t="str">
        <x:f>'Evaluation Plan'!G7</x:f>
        <x:v>Exact manifest cell: prompt, relation × candidate-category combination, target identity, and object membership are explicitly represented in training; physical positions are manually recreated with a clear margin.</x:v>
      </x:c>
      <x:c r="H7" s="44" t="str">
        <x:f>'Evaluation Plan'!H7</x:f>
        <x:v>green pencil sharpener</x:v>
      </x:c>
      <x:c r="I7" s="44" t="str"/>
      <x:c r="J7" s="43" t="str">
        <x:f>'Evaluation Plan'!J7</x:f>
        <x:v>In-distribution concept baseline</x:v>
      </x:c>
      <x:c r="K7" s="45" t="str">
        <x:f>'Evaluation Plan'!K7</x:f>
        <x:v>RD-ID06</x:v>
      </x:c>
      <x:c r="L7" s="45" t="str">
        <x:f>'Evaluation Plan'!L7</x:f>
        <x:v>closest</x:v>
      </x:c>
      <x:c r="M7" s="45" t="str">
        <x:f>'Evaluation Plan'!M7</x:f>
        <x:v>pencil sharpener</x:v>
      </x:c>
      <x:c r="N7" s="45" t="n">
        <x:f>'Evaluation Plan'!N7</x:f>
        <x:v>4</x:v>
      </x:c>
      <x:c r="O7" s="45" t="n">
        <x:f>'Evaluation Plan'!O7</x:f>
        <x:v>1</x:v>
      </x:c>
      <x:c r="P7" s="45" t="str">
        <x:f>'Evaluation Plan'!P7</x:f>
        <x:v>Empty</x:v>
      </x:c>
      <x:c r="Q7" s="44" t="str">
        <x:f>'Evaluation Plan'!Q7</x:f>
        <x:v>Exact training-supported relation × candidate-category baseline</x:v>
      </x:c>
      <x:c r="R7" s="45" t="n">
        <x:f>'Evaluation Plan'!R7</x:f>
        <x:v>1</x:v>
      </x:c>
      <x:c r="S7" s="44" t="str">
        <x:f>'Evaluation Plan'!S7</x:f>
        <x:v>Recreate the listed four-object scene with the bowl empty.</x:v>
      </x:c>
      <x:c r="T7" s="44" t="str">
        <x:f>'Evaluation Plan'!T7</x:f>
        <x:v>The relation, candidate category, target identity, and object membership occur together in the cited training episode.</x:v>
      </x:c>
      <x:c r="U7" s="44" t="n">
        <x:f>'Evaluation Plan'!U7</x:f>
        <x:v>0</x:v>
      </x:c>
    </x:row>
    <x:row r="8" ht="51" customHeight="1">
      <x:c r="A8" s="41" t="str">
        <x:v>Not collected</x:v>
      </x:c>
      <x:c r="B8" s="42" t="n">
        <x:f>'Evaluation Plan'!B8</x:f>
        <x:v>6</x:v>
      </x:c>
      <x:c r="C8" s="41" t="str">
        <x:f>'Evaluation Plan'!C8</x:f>
        <x:v>Move the pencil sharpener that is closest to the crushed Pepsi can into the bowl.</x:v>
      </x:c>
      <x:c r="D8" s="41" t="str">
        <x:f>'Evaluation Plan'!D8</x:f>
        <x:v>Reference: crushed Pepsi can at table centre; red pencil sharpener: 10 cm to robot-left of the reference; green pencil sharpener: 24 cm to robot-right of the reference; airplane toy with propellers: at the far robot-left corner, outside the distance comparison; Bowl: empty</x:v>
      </x:c>
      <x:c r="E8" s="42" t="str">
        <x:f>'Evaluation Plan'!E8</x:f>
      </x:c>
      <x:c r="F8" s="42" t="str">
        <x:f>'Evaluation Plan'!F8</x:f>
        <x:v>451</x:v>
      </x:c>
      <x:c r="G8" s="41" t="str">
        <x:f>'Evaluation Plan'!G8</x:f>
        <x:v>Exact manifest cell: prompt, relation × candidate-category combination, target identity, and object membership are explicitly represented in training; physical positions are manually recreated with a clear margin.</x:v>
      </x:c>
      <x:c r="H8" s="41" t="str">
        <x:f>'Evaluation Plan'!H8</x:f>
        <x:v>red pencil sharpener</x:v>
      </x:c>
      <x:c r="I8" s="41" t="str"/>
      <x:c r="J8" s="43" t="str">
        <x:f>'Evaluation Plan'!J8</x:f>
        <x:v>In-distribution concept baseline</x:v>
      </x:c>
      <x:c r="K8" s="42" t="str">
        <x:f>'Evaluation Plan'!K8</x:f>
        <x:v>RD-ID07</x:v>
      </x:c>
      <x:c r="L8" s="42" t="str">
        <x:f>'Evaluation Plan'!L8</x:f>
        <x:v>closest</x:v>
      </x:c>
      <x:c r="M8" s="42" t="str">
        <x:f>'Evaluation Plan'!M8</x:f>
        <x:v>pencil sharpener</x:v>
      </x:c>
      <x:c r="N8" s="42" t="n">
        <x:f>'Evaluation Plan'!N8</x:f>
        <x:v>4</x:v>
      </x:c>
      <x:c r="O8" s="42" t="n">
        <x:f>'Evaluation Plan'!O8</x:f>
        <x:v>1</x:v>
      </x:c>
      <x:c r="P8" s="42" t="str">
        <x:f>'Evaluation Plan'!P8</x:f>
        <x:v>Empty</x:v>
      </x:c>
      <x:c r="Q8" s="41" t="str">
        <x:f>'Evaluation Plan'!Q8</x:f>
        <x:v>Exact training-supported relation × candidate-category baseline</x:v>
      </x:c>
      <x:c r="R8" s="42" t="n">
        <x:f>'Evaluation Plan'!R8</x:f>
        <x:v>1</x:v>
      </x:c>
      <x:c r="S8" s="41" t="str">
        <x:f>'Evaluation Plan'!S8</x:f>
        <x:v>Recreate the listed four-object scene with the bowl empty.</x:v>
      </x:c>
      <x:c r="T8" s="41" t="str">
        <x:f>'Evaluation Plan'!T8</x:f>
        <x:v>The relation, candidate category, target identity, and object membership occur together in the cited training episode.</x:v>
      </x:c>
      <x:c r="U8" s="41" t="n">
        <x:f>'Evaluation Plan'!U8</x:f>
        <x:v>0</x:v>
      </x:c>
    </x:row>
    <x:row r="9" ht="51" customHeight="1">
      <x:c r="A9" s="44" t="str">
        <x:v>Not collected</x:v>
      </x:c>
      <x:c r="B9" s="45" t="n">
        <x:f>'Evaluation Plan'!B9</x:f>
        <x:v>7</x:v>
      </x:c>
      <x:c r="C9" s="44" t="str">
        <x:f>'Evaluation Plan'!C9</x:f>
        <x:v>Put the pencil sharpener closest to the yellow pen in the bowl.</x:v>
      </x:c>
      <x:c r="D9" s="44" t="str">
        <x:f>'Evaluation Plan'!D9</x:f>
        <x:v>Reference: yellow pen at table centre; red pencil sharpener: 10 cm to robot-right of the reference; green pencil sharpener: 24 cm to robot-left of the reference; crushed Coke can: at the far robot-left corner, outside the distance comparison; Bowl: empty</x:v>
      </x:c>
      <x:c r="E9" s="45" t="str">
        <x:f>'Evaluation Plan'!E9</x:f>
      </x:c>
      <x:c r="F9" s="45" t="str">
        <x:f>'Evaluation Plan'!F9</x:f>
        <x:v>453</x:v>
      </x:c>
      <x:c r="G9" s="44" t="str">
        <x:f>'Evaluation Plan'!G9</x:f>
        <x:v>Exact manifest cell: prompt, relation × candidate-category combination, target identity, and object membership are explicitly represented in training; physical positions are manually recreated with a clear margin.</x:v>
      </x:c>
      <x:c r="H9" s="44" t="str">
        <x:f>'Evaluation Plan'!H9</x:f>
        <x:v>red pencil sharpener</x:v>
      </x:c>
      <x:c r="I9" s="44" t="str"/>
      <x:c r="J9" s="43" t="str">
        <x:f>'Evaluation Plan'!J9</x:f>
        <x:v>In-distribution concept baseline</x:v>
      </x:c>
      <x:c r="K9" s="45" t="str">
        <x:f>'Evaluation Plan'!K9</x:f>
        <x:v>RD-ID08</x:v>
      </x:c>
      <x:c r="L9" s="45" t="str">
        <x:f>'Evaluation Plan'!L9</x:f>
        <x:v>closest</x:v>
      </x:c>
      <x:c r="M9" s="45" t="str">
        <x:f>'Evaluation Plan'!M9</x:f>
        <x:v>pencil sharpener</x:v>
      </x:c>
      <x:c r="N9" s="45" t="n">
        <x:f>'Evaluation Plan'!N9</x:f>
        <x:v>4</x:v>
      </x:c>
      <x:c r="O9" s="45" t="n">
        <x:f>'Evaluation Plan'!O9</x:f>
        <x:v>1</x:v>
      </x:c>
      <x:c r="P9" s="45" t="str">
        <x:f>'Evaluation Plan'!P9</x:f>
        <x:v>Empty</x:v>
      </x:c>
      <x:c r="Q9" s="44" t="str">
        <x:f>'Evaluation Plan'!Q9</x:f>
        <x:v>Exact training-supported relation × candidate-category baseline</x:v>
      </x:c>
      <x:c r="R9" s="45" t="n">
        <x:f>'Evaluation Plan'!R9</x:f>
        <x:v>1</x:v>
      </x:c>
      <x:c r="S9" s="44" t="str">
        <x:f>'Evaluation Plan'!S9</x:f>
        <x:v>Recreate the listed four-object scene with the bowl empty.</x:v>
      </x:c>
      <x:c r="T9" s="44" t="str">
        <x:f>'Evaluation Plan'!T9</x:f>
        <x:v>The relation, candidate category, target identity, and object membership occur together in the cited training episode.</x:v>
      </x:c>
      <x:c r="U9" s="44" t="n">
        <x:f>'Evaluation Plan'!U9</x:f>
        <x:v>0</x:v>
      </x:c>
    </x:row>
    <x:row r="10" ht="51" customHeight="1">
      <x:c r="A10" s="41" t="str">
        <x:v>Not collected</x:v>
      </x:c>
      <x:c r="B10" s="42" t="n">
        <x:f>'Evaluation Plan'!B10</x:f>
        <x:v>8</x:v>
      </x:c>
      <x:c r="C10" s="41" t="str">
        <x:f>'Evaluation Plan'!C10</x:f>
        <x:v>Pick up the pencil sharpener furthest from the yellow pen and place it in the bowl.</x:v>
      </x:c>
      <x:c r="D10" s="41" t="str">
        <x:f>'Evaluation Plan'!D10</x:f>
        <x:v>Reference: yellow pen at table centre; red pencil sharpener: 10 cm toward the robot from the reference; green pencil sharpener: 24 cm away from the robot from the reference; airplane toy without propellers: at the far robot-left corner, outside the distance comparison; Bowl: empty</x:v>
      </x:c>
      <x:c r="E10" s="42" t="str">
        <x:f>'Evaluation Plan'!E10</x:f>
      </x:c>
      <x:c r="F10" s="42" t="str">
        <x:f>'Evaluation Plan'!F10</x:f>
        <x:v>466</x:v>
      </x:c>
      <x:c r="G10" s="41" t="str">
        <x:f>'Evaluation Plan'!G10</x:f>
        <x:v>Exact manifest cell: prompt, relation × candidate-category combination, target identity, and object membership are explicitly represented in training; physical positions are manually recreated with a clear margin.</x:v>
      </x:c>
      <x:c r="H10" s="41" t="str">
        <x:f>'Evaluation Plan'!H10</x:f>
        <x:v>green pencil sharpener</x:v>
      </x:c>
      <x:c r="I10" s="41" t="str"/>
      <x:c r="J10" s="43" t="str">
        <x:f>'Evaluation Plan'!J10</x:f>
        <x:v>In-distribution concept baseline</x:v>
      </x:c>
      <x:c r="K10" s="42" t="str">
        <x:f>'Evaluation Plan'!K10</x:f>
        <x:v>RD-ID09</x:v>
      </x:c>
      <x:c r="L10" s="42" t="str">
        <x:f>'Evaluation Plan'!L10</x:f>
        <x:v>furthest</x:v>
      </x:c>
      <x:c r="M10" s="42" t="str">
        <x:f>'Evaluation Plan'!M10</x:f>
        <x:v>pencil sharpener</x:v>
      </x:c>
      <x:c r="N10" s="42" t="n">
        <x:f>'Evaluation Plan'!N10</x:f>
        <x:v>4</x:v>
      </x:c>
      <x:c r="O10" s="42" t="n">
        <x:f>'Evaluation Plan'!O10</x:f>
        <x:v>1</x:v>
      </x:c>
      <x:c r="P10" s="42" t="str">
        <x:f>'Evaluation Plan'!P10</x:f>
        <x:v>Empty</x:v>
      </x:c>
      <x:c r="Q10" s="41" t="str">
        <x:f>'Evaluation Plan'!Q10</x:f>
        <x:v>Exact training-supported relation × candidate-category baseline</x:v>
      </x:c>
      <x:c r="R10" s="42" t="n">
        <x:f>'Evaluation Plan'!R10</x:f>
        <x:v>1</x:v>
      </x:c>
      <x:c r="S10" s="41" t="str">
        <x:f>'Evaluation Plan'!S10</x:f>
        <x:v>Recreate the listed four-object scene with the bowl empty.</x:v>
      </x:c>
      <x:c r="T10" s="41" t="str">
        <x:f>'Evaluation Plan'!T10</x:f>
        <x:v>The relation, candidate category, target identity, and object membership occur together in the cited training episode.</x:v>
      </x:c>
      <x:c r="U10" s="41" t="n">
        <x:f>'Evaluation Plan'!U10</x:f>
        <x:v>0</x:v>
      </x:c>
    </x:row>
    <x:row r="11" ht="51" customHeight="1">
      <x:c r="A11" s="44" t="str">
        <x:v>Not collected</x:v>
      </x:c>
      <x:c r="B11" s="45" t="n">
        <x:f>'Evaluation Plan'!B11</x:f>
        <x:v>9</x:v>
      </x:c>
      <x:c r="C11" s="44" t="str">
        <x:f>'Evaluation Plan'!C11</x:f>
        <x:v>Pick up the pencil sharpener furthest from the airplane toy without propellers and place it in the bowl.</x:v>
      </x:c>
      <x:c r="D11" s="44" t="str">
        <x:f>'Evaluation Plan'!D11</x:f>
        <x:v>Reference: airplane toy without propellers at table centre; red pencil sharpener: 10 cm away from the robot from the reference; green pencil sharpener: 24 cm toward the robot from the reference; crushed Pepsi can: at the far robot-left corner, outside the distance comparison; Bowl: empty</x:v>
      </x:c>
      <x:c r="E11" s="45" t="str">
        <x:f>'Evaluation Plan'!E11</x:f>
      </x:c>
      <x:c r="F11" s="45" t="str">
        <x:f>'Evaluation Plan'!F11</x:f>
        <x:v>468</x:v>
      </x:c>
      <x:c r="G11" s="44" t="str">
        <x:f>'Evaluation Plan'!G11</x:f>
        <x:v>Exact manifest cell: prompt, relation × candidate-category combination, target identity, and object membership are explicitly represented in training; physical positions are manually recreated with a clear margin.</x:v>
      </x:c>
      <x:c r="H11" s="44" t="str">
        <x:f>'Evaluation Plan'!H11</x:f>
        <x:v>green pencil sharpener</x:v>
      </x:c>
      <x:c r="I11" s="44" t="str"/>
      <x:c r="J11" s="43" t="str">
        <x:f>'Evaluation Plan'!J11</x:f>
        <x:v>In-distribution concept baseline</x:v>
      </x:c>
      <x:c r="K11" s="45" t="str">
        <x:f>'Evaluation Plan'!K11</x:f>
        <x:v>RD-ID10</x:v>
      </x:c>
      <x:c r="L11" s="45" t="str">
        <x:f>'Evaluation Plan'!L11</x:f>
        <x:v>furthest</x:v>
      </x:c>
      <x:c r="M11" s="45" t="str">
        <x:f>'Evaluation Plan'!M11</x:f>
        <x:v>pencil sharpener</x:v>
      </x:c>
      <x:c r="N11" s="45" t="n">
        <x:f>'Evaluation Plan'!N11</x:f>
        <x:v>4</x:v>
      </x:c>
      <x:c r="O11" s="45" t="n">
        <x:f>'Evaluation Plan'!O11</x:f>
        <x:v>1</x:v>
      </x:c>
      <x:c r="P11" s="45" t="str">
        <x:f>'Evaluation Plan'!P11</x:f>
        <x:v>Empty</x:v>
      </x:c>
      <x:c r="Q11" s="44" t="str">
        <x:f>'Evaluation Plan'!Q11</x:f>
        <x:v>Exact training-supported relation × candidate-category baseline</x:v>
      </x:c>
      <x:c r="R11" s="45" t="n">
        <x:f>'Evaluation Plan'!R11</x:f>
        <x:v>1</x:v>
      </x:c>
      <x:c r="S11" s="44" t="str">
        <x:f>'Evaluation Plan'!S11</x:f>
        <x:v>Recreate the listed four-object scene with the bowl empty.</x:v>
      </x:c>
      <x:c r="T11" s="44" t="str">
        <x:f>'Evaluation Plan'!T11</x:f>
        <x:v>The relation, candidate category, target identity, and object membership occur together in the cited training episode.</x:v>
      </x:c>
      <x:c r="U11" s="44" t="n">
        <x:f>'Evaluation Plan'!U11</x:f>
        <x:v>0</x:v>
      </x:c>
    </x:row>
    <x:row r="12" ht="51" customHeight="1">
      <x:c r="A12" s="41" t="str">
        <x:v>Not collected</x:v>
      </x:c>
      <x:c r="B12" s="42" t="n">
        <x:f>'Evaluation Plan'!B12</x:f>
        <x:v>10</x:v>
      </x:c>
      <x:c r="C12" s="41" t="str">
        <x:f>'Evaluation Plan'!C12</x:f>
        <x:v>Put the airplane toy closest to the green pencil sharpener in the bowl.</x:v>
      </x:c>
      <x:c r="D12" s="41" t="str">
        <x:f>'Evaluation Plan'!D12</x:f>
        <x:v>Reference: green pencil sharpener at table centre; airplane toy with propellers: 10 cm toward robot-left from the reference; airplane toy without propellers: 24 cm away toward robot-right from the reference; red pencil sharpener: at the far robot-left corner, outside the distance comparison; Bowl: empty</x:v>
      </x:c>
      <x:c r="E12" s="42" t="str">
        <x:f>'Evaluation Plan'!E12</x:f>
      </x:c>
      <x:c r="F12" s="42" t="str">
        <x:f>'Evaluation Plan'!F12</x:f>
        <x:v>564</x:v>
      </x:c>
      <x:c r="G12" s="41" t="str">
        <x:f>'Evaluation Plan'!G12</x:f>
        <x:v>Exact manifest cell: prompt, relation × candidate-category combination, target identity, and object membership are explicitly represented in training; physical positions are manually recreated with a clear margin.</x:v>
      </x:c>
      <x:c r="H12" s="41" t="str">
        <x:f>'Evaluation Plan'!H12</x:f>
        <x:v>airplane toy with propellers</x:v>
      </x:c>
      <x:c r="I12" s="41" t="str"/>
      <x:c r="J12" s="43" t="str">
        <x:f>'Evaluation Plan'!J12</x:f>
        <x:v>In-distribution concept baseline</x:v>
      </x:c>
      <x:c r="K12" s="42" t="str">
        <x:f>'Evaluation Plan'!K12</x:f>
        <x:v>RD-ID11</x:v>
      </x:c>
      <x:c r="L12" s="42" t="str">
        <x:f>'Evaluation Plan'!L12</x:f>
        <x:v>closest</x:v>
      </x:c>
      <x:c r="M12" s="42" t="str">
        <x:f>'Evaluation Plan'!M12</x:f>
        <x:v>airplane toy</x:v>
      </x:c>
      <x:c r="N12" s="42" t="n">
        <x:f>'Evaluation Plan'!N12</x:f>
        <x:v>4</x:v>
      </x:c>
      <x:c r="O12" s="42" t="n">
        <x:f>'Evaluation Plan'!O12</x:f>
        <x:v>1</x:v>
      </x:c>
      <x:c r="P12" s="42" t="str">
        <x:f>'Evaluation Plan'!P12</x:f>
        <x:v>Empty</x:v>
      </x:c>
      <x:c r="Q12" s="41" t="str">
        <x:f>'Evaluation Plan'!Q12</x:f>
        <x:v>Exact training-supported relation × candidate-category baseline</x:v>
      </x:c>
      <x:c r="R12" s="42" t="n">
        <x:f>'Evaluation Plan'!R12</x:f>
        <x:v>1</x:v>
      </x:c>
      <x:c r="S12" s="41" t="str">
        <x:f>'Evaluation Plan'!S12</x:f>
        <x:v>Recreate the listed four-object scene with the bowl empty.</x:v>
      </x:c>
      <x:c r="T12" s="41" t="str">
        <x:f>'Evaluation Plan'!T12</x:f>
        <x:v>The relation, candidate category, target identity, and object membership occur together in the cited training episode.</x:v>
      </x:c>
      <x:c r="U12" s="41" t="n">
        <x:f>'Evaluation Plan'!U12</x:f>
        <x:v>0</x:v>
      </x:c>
    </x:row>
    <x:row r="13" ht="51" customHeight="1">
      <x:c r="A13" s="44" t="str">
        <x:v>Not collected</x:v>
      </x:c>
      <x:c r="B13" s="45" t="n">
        <x:f>'Evaluation Plan'!B13</x:f>
        <x:v>11</x:v>
      </x:c>
      <x:c r="C13" s="44" t="str">
        <x:f>'Evaluation Plan'!C13</x:f>
        <x:v>Pick up the airplane toy nearest to the yellow pen and place it in the bowl.</x:v>
      </x:c>
      <x:c r="D13" s="44" t="str">
        <x:f>'Evaluation Plan'!D13</x:f>
        <x:v>Reference: yellow pen at table centre; airplane toy without propellers: 10 cm toward robot-right from the reference; airplane toy with propellers: 24 cm away toward robot-left from the reference; green pencil sharpener: at the far robot-left corner, outside the distance comparison; Bowl: empty</x:v>
      </x:c>
      <x:c r="E13" s="45" t="str">
        <x:f>'Evaluation Plan'!E13</x:f>
      </x:c>
      <x:c r="F13" s="45" t="str">
        <x:f>'Evaluation Plan'!F13</x:f>
        <x:v>551</x:v>
      </x:c>
      <x:c r="G13" s="44" t="str">
        <x:f>'Evaluation Plan'!G13</x:f>
        <x:v>Exact manifest cell: prompt, relation × candidate-category combination, target identity, and object membership are explicitly represented in training; physical positions are manually recreated with a clear margin.</x:v>
      </x:c>
      <x:c r="H13" s="44" t="str">
        <x:f>'Evaluation Plan'!H13</x:f>
        <x:v>airplane toy without propellers</x:v>
      </x:c>
      <x:c r="I13" s="44" t="str"/>
      <x:c r="J13" s="43" t="str">
        <x:f>'Evaluation Plan'!J13</x:f>
        <x:v>In-distribution concept baseline</x:v>
      </x:c>
      <x:c r="K13" s="45" t="str">
        <x:f>'Evaluation Plan'!K13</x:f>
        <x:v>RD-ID12</x:v>
      </x:c>
      <x:c r="L13" s="45" t="str">
        <x:f>'Evaluation Plan'!L13</x:f>
        <x:v>closest</x:v>
      </x:c>
      <x:c r="M13" s="45" t="str">
        <x:f>'Evaluation Plan'!M13</x:f>
        <x:v>airplane toy</x:v>
      </x:c>
      <x:c r="N13" s="45" t="n">
        <x:f>'Evaluation Plan'!N13</x:f>
        <x:v>4</x:v>
      </x:c>
      <x:c r="O13" s="45" t="n">
        <x:f>'Evaluation Plan'!O13</x:f>
        <x:v>1</x:v>
      </x:c>
      <x:c r="P13" s="45" t="str">
        <x:f>'Evaluation Plan'!P13</x:f>
        <x:v>Empty</x:v>
      </x:c>
      <x:c r="Q13" s="44" t="str">
        <x:f>'Evaluation Plan'!Q13</x:f>
        <x:v>Exact training-supported relation × candidate-category baseline</x:v>
      </x:c>
      <x:c r="R13" s="45" t="n">
        <x:f>'Evaluation Plan'!R13</x:f>
        <x:v>1</x:v>
      </x:c>
      <x:c r="S13" s="44" t="str">
        <x:f>'Evaluation Plan'!S13</x:f>
        <x:v>Recreate the listed four-object scene with the bowl empty.</x:v>
      </x:c>
      <x:c r="T13" s="44" t="str">
        <x:f>'Evaluation Plan'!T13</x:f>
        <x:v>The relation, candidate category, target identity, and object membership occur together in the cited training episode.</x:v>
      </x:c>
      <x:c r="U13" s="44" t="n">
        <x:f>'Evaluation Plan'!U13</x:f>
        <x:v>0</x:v>
      </x:c>
    </x:row>
    <x:row r="14" ht="51" customHeight="1">
      <x:c r="A14" s="41" t="str">
        <x:v>Not collected</x:v>
      </x:c>
      <x:c r="B14" s="42" t="n">
        <x:f>'Evaluation Plan'!B14</x:f>
        <x:v>12</x:v>
      </x:c>
      <x:c r="C14" s="41" t="str">
        <x:f>'Evaluation Plan'!C14</x:f>
        <x:v>Move the airplane toy lying between the crushed Pepsi can and the red pencil sharpener into the bowl.</x:v>
      </x:c>
      <x:c r="D14" s="41" t="str">
        <x:f>'Evaluation Plan'!D14</x:f>
        <x:v>Reference A: crushed Pepsi can at 14 cm to robot-left of table centre; Reference B: red pencil sharpener at 14 cm to robot-right of table centre; airplane toy with propellers: at table centre on the straight Reference A–B segment; airplane toy without propellers: 12 cm toward the robot from table centre, off the Reference A–B segment; Bowl: empty</x:v>
      </x:c>
      <x:c r="E14" s="42" t="str">
        <x:f>'Evaluation Plan'!E14</x:f>
      </x:c>
      <x:c r="F14" s="42" t="str">
        <x:f>'Evaluation Plan'!F14</x:f>
        <x:v>582</x:v>
      </x:c>
      <x:c r="G14" s="41" t="str">
        <x:f>'Evaluation Plan'!G14</x:f>
        <x:v>Exact manifest cell: prompt, relation × candidate-category combination, target identity, and object membership are explicitly represented in training; physical positions are manually recreated with a clear margin.</x:v>
      </x:c>
      <x:c r="H14" s="41" t="str">
        <x:f>'Evaluation Plan'!H14</x:f>
        <x:v>airplane toy with propellers</x:v>
      </x:c>
      <x:c r="I14" s="41" t="str"/>
      <x:c r="J14" s="43" t="str">
        <x:f>'Evaluation Plan'!J14</x:f>
        <x:v>In-distribution concept baseline</x:v>
      </x:c>
      <x:c r="K14" s="42" t="str">
        <x:f>'Evaluation Plan'!K14</x:f>
        <x:v>RD-ID13</x:v>
      </x:c>
      <x:c r="L14" s="42" t="str">
        <x:f>'Evaluation Plan'!L14</x:f>
        <x:v>between</x:v>
      </x:c>
      <x:c r="M14" s="42" t="str">
        <x:f>'Evaluation Plan'!M14</x:f>
        <x:v>airplane toy</x:v>
      </x:c>
      <x:c r="N14" s="42" t="n">
        <x:f>'Evaluation Plan'!N14</x:f>
        <x:v>4</x:v>
      </x:c>
      <x:c r="O14" s="42" t="n">
        <x:f>'Evaluation Plan'!O14</x:f>
        <x:v>1</x:v>
      </x:c>
      <x:c r="P14" s="42" t="str">
        <x:f>'Evaluation Plan'!P14</x:f>
        <x:v>Empty</x:v>
      </x:c>
      <x:c r="Q14" s="41" t="str">
        <x:f>'Evaluation Plan'!Q14</x:f>
        <x:v>Exact training-supported relation × candidate-category baseline</x:v>
      </x:c>
      <x:c r="R14" s="42" t="n">
        <x:f>'Evaluation Plan'!R14</x:f>
        <x:v>1</x:v>
      </x:c>
      <x:c r="S14" s="41" t="str">
        <x:f>'Evaluation Plan'!S14</x:f>
        <x:v>Recreate the listed four-object scene with the bowl empty.</x:v>
      </x:c>
      <x:c r="T14" s="41" t="str">
        <x:f>'Evaluation Plan'!T14</x:f>
        <x:v>The relation, candidate category, target identity, and object membership occur together in the cited training episode.</x:v>
      </x:c>
      <x:c r="U14" s="41" t="n">
        <x:f>'Evaluation Plan'!U14</x:f>
        <x:v>0</x:v>
      </x:c>
    </x:row>
    <x:row r="15" ht="51" customHeight="1">
      <x:c r="A15" s="44" t="str">
        <x:v>Not collected</x:v>
      </x:c>
      <x:c r="B15" s="45" t="n">
        <x:f>'Evaluation Plan'!B15</x:f>
        <x:v>13</x:v>
      </x:c>
      <x:c r="C15" s="44" t="str">
        <x:f>'Evaluation Plan'!C15</x:f>
        <x:v>Put the airplane toy between the crushed Coke can and the green pen in the bowl.</x:v>
      </x:c>
      <x:c r="D15" s="44" t="str">
        <x:f>'Evaluation Plan'!D15</x:f>
        <x:v>Reference A: crushed Coke can at 14 cm toward the robot from table centre; Reference B: green pen at 14 cm away from the robot from table centre; airplane toy without propellers: at table centre on the straight Reference A–B segment; airplane toy with propellers: 12 cm to robot-right of table centre, off the Reference A–B segment; Bowl: empty</x:v>
      </x:c>
      <x:c r="E15" s="45" t="str">
        <x:f>'Evaluation Plan'!E15</x:f>
      </x:c>
      <x:c r="F15" s="45" t="str">
        <x:f>'Evaluation Plan'!F15</x:f>
        <x:v>586</x:v>
      </x:c>
      <x:c r="G15" s="44" t="str">
        <x:f>'Evaluation Plan'!G15</x:f>
        <x:v>Exact manifest cell: prompt, relation × candidate-category combination, target identity, and object membership are explicitly represented in training; physical positions are manually recreated with a clear margin.</x:v>
      </x:c>
      <x:c r="H15" s="44" t="str">
        <x:f>'Evaluation Plan'!H15</x:f>
        <x:v>airplane toy without propellers</x:v>
      </x:c>
      <x:c r="I15" s="44" t="str"/>
      <x:c r="J15" s="43" t="str">
        <x:f>'Evaluation Plan'!J15</x:f>
        <x:v>In-distribution concept baseline</x:v>
      </x:c>
      <x:c r="K15" s="45" t="str">
        <x:f>'Evaluation Plan'!K15</x:f>
        <x:v>RD-ID14</x:v>
      </x:c>
      <x:c r="L15" s="45" t="str">
        <x:f>'Evaluation Plan'!L15</x:f>
        <x:v>between</x:v>
      </x:c>
      <x:c r="M15" s="45" t="str">
        <x:f>'Evaluation Plan'!M15</x:f>
        <x:v>airplane toy</x:v>
      </x:c>
      <x:c r="N15" s="45" t="n">
        <x:f>'Evaluation Plan'!N15</x:f>
        <x:v>4</x:v>
      </x:c>
      <x:c r="O15" s="45" t="n">
        <x:f>'Evaluation Plan'!O15</x:f>
        <x:v>1</x:v>
      </x:c>
      <x:c r="P15" s="45" t="str">
        <x:f>'Evaluation Plan'!P15</x:f>
        <x:v>Empty</x:v>
      </x:c>
      <x:c r="Q15" s="44" t="str">
        <x:f>'Evaluation Plan'!Q15</x:f>
        <x:v>Exact training-supported relation × candidate-category baseline</x:v>
      </x:c>
      <x:c r="R15" s="45" t="n">
        <x:f>'Evaluation Plan'!R15</x:f>
        <x:v>1</x:v>
      </x:c>
      <x:c r="S15" s="44" t="str">
        <x:f>'Evaluation Plan'!S15</x:f>
        <x:v>Recreate the listed four-object scene with the bowl empty.</x:v>
      </x:c>
      <x:c r="T15" s="44" t="str">
        <x:f>'Evaluation Plan'!T15</x:f>
        <x:v>The relation, candidate category, target identity, and object membership occur together in the cited training episode.</x:v>
      </x:c>
      <x:c r="U15" s="44" t="n">
        <x:f>'Evaluation Plan'!U15</x:f>
        <x:v>0</x:v>
      </x:c>
    </x:row>
    <x:row r="16" ht="51" customHeight="1">
      <x:c r="A16" s="41" t="str">
        <x:v>Not collected</x:v>
      </x:c>
      <x:c r="B16" s="42" t="n">
        <x:f>'Evaluation Plan'!B16</x:f>
        <x:v>14</x:v>
      </x:c>
      <x:c r="C16" s="41" t="str">
        <x:f>'Evaluation Plan'!C16</x:f>
        <x:v>Pick up the airplane toy positioned between the green pencil sharpener and the yellow pen, then place it in the bowl.</x:v>
      </x:c>
      <x:c r="D16" s="41" t="str">
        <x:f>'Evaluation Plan'!D16</x:f>
        <x:v>Reference A: green pencil sharpener at 14 cm toward robot-left from table centre; Reference B: yellow pen at 14 cm away toward robot-right from table centre; airplane toy with propellers: at table centre on the straight Reference A–B segment; airplane toy without propellers: 12 cm toward robot-right from table centre, off the Reference A–B segment; Bowl: empty</x:v>
      </x:c>
      <x:c r="E16" s="42" t="str">
        <x:f>'Evaluation Plan'!E16</x:f>
      </x:c>
      <x:c r="F16" s="42" t="str">
        <x:f>'Evaluation Plan'!F16</x:f>
        <x:v>583</x:v>
      </x:c>
      <x:c r="G16" s="41" t="str">
        <x:f>'Evaluation Plan'!G16</x:f>
        <x:v>Exact manifest cell: prompt, relation × candidate-category combination, target identity, and object membership are explicitly represented in training; physical positions are manually recreated with a clear margin.</x:v>
      </x:c>
      <x:c r="H16" s="41" t="str">
        <x:f>'Evaluation Plan'!H16</x:f>
        <x:v>airplane toy with propellers</x:v>
      </x:c>
      <x:c r="I16" s="41" t="str"/>
      <x:c r="J16" s="43" t="str">
        <x:f>'Evaluation Plan'!J16</x:f>
        <x:v>In-distribution concept baseline</x:v>
      </x:c>
      <x:c r="K16" s="42" t="str">
        <x:f>'Evaluation Plan'!K16</x:f>
        <x:v>RD-ID15</x:v>
      </x:c>
      <x:c r="L16" s="42" t="str">
        <x:f>'Evaluation Plan'!L16</x:f>
        <x:v>between</x:v>
      </x:c>
      <x:c r="M16" s="42" t="str">
        <x:f>'Evaluation Plan'!M16</x:f>
        <x:v>airplane toy</x:v>
      </x:c>
      <x:c r="N16" s="42" t="n">
        <x:f>'Evaluation Plan'!N16</x:f>
        <x:v>4</x:v>
      </x:c>
      <x:c r="O16" s="42" t="n">
        <x:f>'Evaluation Plan'!O16</x:f>
        <x:v>1</x:v>
      </x:c>
      <x:c r="P16" s="42" t="str">
        <x:f>'Evaluation Plan'!P16</x:f>
        <x:v>Empty</x:v>
      </x:c>
      <x:c r="Q16" s="41" t="str">
        <x:f>'Evaluation Plan'!Q16</x:f>
        <x:v>Exact training-supported relation × candidate-category baseline</x:v>
      </x:c>
      <x:c r="R16" s="42" t="n">
        <x:f>'Evaluation Plan'!R16</x:f>
        <x:v>1</x:v>
      </x:c>
      <x:c r="S16" s="41" t="str">
        <x:f>'Evaluation Plan'!S16</x:f>
        <x:v>Recreate the listed four-object scene with the bowl empty.</x:v>
      </x:c>
      <x:c r="T16" s="41" t="str">
        <x:f>'Evaluation Plan'!T16</x:f>
        <x:v>The relation, candidate category, target identity, and object membership occur together in the cited training episode.</x:v>
      </x:c>
      <x:c r="U16" s="41" t="n">
        <x:f>'Evaluation Plan'!U16</x:f>
        <x:v>0</x:v>
      </x:c>
    </x:row>
    <x:row r="17" ht="51" customHeight="1">
      <x:c r="A17" s="44" t="str">
        <x:v>Not collected</x:v>
      </x:c>
      <x:c r="B17" s="45" t="n">
        <x:f>'Evaluation Plan'!B17</x:f>
        <x:v>15</x:v>
      </x:c>
      <x:c r="C17" s="44" t="str">
        <x:f>'Evaluation Plan'!C17</x:f>
        <x:v>Put the pen closest to the crushed Coke can in the bowl.</x:v>
      </x:c>
      <x:c r="D17" s="44" t="str">
        <x:f>'Evaluation Plan'!D17</x:f>
        <x:v>Reference: crushed Coke can at table centre; green pen: 10 cm away from the robot from the reference; yellow pen: 24 cm toward the robot from the reference; crushed Pepsi can: at the far robot-left corner, outside the distance comparison; Bowl: empty</x:v>
      </x:c>
      <x:c r="E17" s="45" t="str">
        <x:f>'Evaluation Plan'!E17</x:f>
      </x:c>
      <x:c r="F17" s="45" t="str">
        <x:f>'Evaluation Plan'!F17</x:f>
        <x:v>514</x:v>
      </x:c>
      <x:c r="G17" s="44" t="str">
        <x:f>'Evaluation Plan'!G17</x:f>
        <x:v>Exact manifest cell: prompt, relation × candidate-category combination, target identity, and object membership are explicitly represented in training; physical positions are manually recreated with a clear margin.</x:v>
      </x:c>
      <x:c r="H17" s="44" t="str">
        <x:f>'Evaluation Plan'!H17</x:f>
        <x:v>green pen</x:v>
      </x:c>
      <x:c r="I17" s="44" t="str"/>
      <x:c r="J17" s="43" t="str">
        <x:f>'Evaluation Plan'!J17</x:f>
        <x:v>In-distribution concept baseline</x:v>
      </x:c>
      <x:c r="K17" s="45" t="str">
        <x:f>'Evaluation Plan'!K17</x:f>
        <x:v>RD-ID16</x:v>
      </x:c>
      <x:c r="L17" s="45" t="str">
        <x:f>'Evaluation Plan'!L17</x:f>
        <x:v>closest</x:v>
      </x:c>
      <x:c r="M17" s="45" t="str">
        <x:f>'Evaluation Plan'!M17</x:f>
        <x:v>pen</x:v>
      </x:c>
      <x:c r="N17" s="45" t="n">
        <x:f>'Evaluation Plan'!N17</x:f>
        <x:v>4</x:v>
      </x:c>
      <x:c r="O17" s="45" t="n">
        <x:f>'Evaluation Plan'!O17</x:f>
        <x:v>1</x:v>
      </x:c>
      <x:c r="P17" s="45" t="str">
        <x:f>'Evaluation Plan'!P17</x:f>
        <x:v>Empty</x:v>
      </x:c>
      <x:c r="Q17" s="44" t="str">
        <x:f>'Evaluation Plan'!Q17</x:f>
        <x:v>Exact training-supported relation × candidate-category baseline</x:v>
      </x:c>
      <x:c r="R17" s="45" t="n">
        <x:f>'Evaluation Plan'!R17</x:f>
        <x:v>1</x:v>
      </x:c>
      <x:c r="S17" s="44" t="str">
        <x:f>'Evaluation Plan'!S17</x:f>
        <x:v>Recreate the listed four-object scene with the bowl empty.</x:v>
      </x:c>
      <x:c r="T17" s="44" t="str">
        <x:f>'Evaluation Plan'!T17</x:f>
        <x:v>The relation, candidate category, target identity, and object membership occur together in the cited training episode.</x:v>
      </x:c>
      <x:c r="U17" s="44" t="n">
        <x:f>'Evaluation Plan'!U17</x:f>
        <x:v>0</x:v>
      </x:c>
    </x:row>
    <x:row r="18" ht="51" customHeight="1">
      <x:c r="A18" s="41" t="str">
        <x:v>Not collected</x:v>
      </x:c>
      <x:c r="B18" s="42" t="n">
        <x:f>'Evaluation Plan'!B18</x:f>
        <x:v>16</x:v>
      </x:c>
      <x:c r="C18" s="41" t="str">
        <x:f>'Evaluation Plan'!C18</x:f>
        <x:v>Put the pen closest to the red pencil sharpener in the bowl.</x:v>
      </x:c>
      <x:c r="D18" s="41" t="str">
        <x:f>'Evaluation Plan'!D18</x:f>
        <x:v>Reference: red pencil sharpener at table centre; yellow pen: 10 cm toward robot-left from the reference; green pen: 24 cm away toward robot-right from the reference; airplane toy without propellers: at the far robot-left corner, outside the distance comparison; Bowl: empty</x:v>
      </x:c>
      <x:c r="E18" s="42" t="str">
        <x:f>'Evaluation Plan'!E18</x:f>
      </x:c>
      <x:c r="F18" s="42" t="str">
        <x:f>'Evaluation Plan'!F18</x:f>
        <x:v>501</x:v>
      </x:c>
      <x:c r="G18" s="41" t="str">
        <x:f>'Evaluation Plan'!G18</x:f>
        <x:v>Exact manifest cell: prompt, relation × candidate-category combination, target identity, and object membership are explicitly represented in training; physical positions are manually recreated with a clear margin.</x:v>
      </x:c>
      <x:c r="H18" s="41" t="str">
        <x:f>'Evaluation Plan'!H18</x:f>
        <x:v>yellow pen</x:v>
      </x:c>
      <x:c r="I18" s="41" t="str"/>
      <x:c r="J18" s="43" t="str">
        <x:f>'Evaluation Plan'!J18</x:f>
        <x:v>In-distribution concept baseline</x:v>
      </x:c>
      <x:c r="K18" s="42" t="str">
        <x:f>'Evaluation Plan'!K18</x:f>
        <x:v>RD-ID17</x:v>
      </x:c>
      <x:c r="L18" s="42" t="str">
        <x:f>'Evaluation Plan'!L18</x:f>
        <x:v>closest</x:v>
      </x:c>
      <x:c r="M18" s="42" t="str">
        <x:f>'Evaluation Plan'!M18</x:f>
        <x:v>pen</x:v>
      </x:c>
      <x:c r="N18" s="42" t="n">
        <x:f>'Evaluation Plan'!N18</x:f>
        <x:v>4</x:v>
      </x:c>
      <x:c r="O18" s="42" t="n">
        <x:f>'Evaluation Plan'!O18</x:f>
        <x:v>1</x:v>
      </x:c>
      <x:c r="P18" s="42" t="str">
        <x:f>'Evaluation Plan'!P18</x:f>
        <x:v>Empty</x:v>
      </x:c>
      <x:c r="Q18" s="41" t="str">
        <x:f>'Evaluation Plan'!Q18</x:f>
        <x:v>Exact training-supported relation × candidate-category baseline</x:v>
      </x:c>
      <x:c r="R18" s="42" t="n">
        <x:f>'Evaluation Plan'!R18</x:f>
        <x:v>1</x:v>
      </x:c>
      <x:c r="S18" s="41" t="str">
        <x:f>'Evaluation Plan'!S18</x:f>
        <x:v>Recreate the listed four-object scene with the bowl empty.</x:v>
      </x:c>
      <x:c r="T18" s="41" t="str">
        <x:f>'Evaluation Plan'!T18</x:f>
        <x:v>The relation, candidate category, target identity, and object membership occur together in the cited training episode.</x:v>
      </x:c>
      <x:c r="U18" s="41" t="n">
        <x:f>'Evaluation Plan'!U18</x:f>
        <x:v>0</x:v>
      </x:c>
    </x:row>
    <x:row r="19" ht="51" customHeight="1">
      <x:c r="A19" s="44" t="str">
        <x:v>Not collected</x:v>
      </x:c>
      <x:c r="B19" s="45" t="n">
        <x:f>'Evaluation Plan'!B19</x:f>
        <x:v>17</x:v>
      </x:c>
      <x:c r="C19" s="44" t="str">
        <x:f>'Evaluation Plan'!C19</x:f>
        <x:v>Pick up the pen furthest from the crushed Pepsi can and place it in the bowl.</x:v>
      </x:c>
      <x:c r="D19" s="44" t="str">
        <x:f>'Evaluation Plan'!D19</x:f>
        <x:v>Reference: crushed Pepsi can at table centre; yellow pen: 10 cm toward robot-right from the reference; green pen: 24 cm away toward robot-left from the reference; green pencil sharpener: at the far robot-left corner, outside the distance comparison; Bowl: empty</x:v>
      </x:c>
      <x:c r="E19" s="45" t="str">
        <x:f>'Evaluation Plan'!E19</x:f>
      </x:c>
      <x:c r="F19" s="45" t="str">
        <x:f>'Evaluation Plan'!F19</x:f>
        <x:v>516</x:v>
      </x:c>
      <x:c r="G19" s="44" t="str">
        <x:f>'Evaluation Plan'!G19</x:f>
        <x:v>Exact manifest cell: prompt, relation × candidate-category combination, target identity, and object membership are explicitly represented in training; physical positions are manually recreated with a clear margin.</x:v>
      </x:c>
      <x:c r="H19" s="44" t="str">
        <x:f>'Evaluation Plan'!H19</x:f>
        <x:v>green pen</x:v>
      </x:c>
      <x:c r="I19" s="44" t="str"/>
      <x:c r="J19" s="43" t="str">
        <x:f>'Evaluation Plan'!J19</x:f>
        <x:v>In-distribution concept baseline</x:v>
      </x:c>
      <x:c r="K19" s="45" t="str">
        <x:f>'Evaluation Plan'!K19</x:f>
        <x:v>RD-ID18</x:v>
      </x:c>
      <x:c r="L19" s="45" t="str">
        <x:f>'Evaluation Plan'!L19</x:f>
        <x:v>furthest</x:v>
      </x:c>
      <x:c r="M19" s="45" t="str">
        <x:f>'Evaluation Plan'!M19</x:f>
        <x:v>pen</x:v>
      </x:c>
      <x:c r="N19" s="45" t="n">
        <x:f>'Evaluation Plan'!N19</x:f>
        <x:v>4</x:v>
      </x:c>
      <x:c r="O19" s="45" t="n">
        <x:f>'Evaluation Plan'!O19</x:f>
        <x:v>1</x:v>
      </x:c>
      <x:c r="P19" s="45" t="str">
        <x:f>'Evaluation Plan'!P19</x:f>
        <x:v>Empty</x:v>
      </x:c>
      <x:c r="Q19" s="44" t="str">
        <x:f>'Evaluation Plan'!Q19</x:f>
        <x:v>Exact training-supported relation × candidate-category baseline</x:v>
      </x:c>
      <x:c r="R19" s="45" t="n">
        <x:f>'Evaluation Plan'!R19</x:f>
        <x:v>1</x:v>
      </x:c>
      <x:c r="S19" s="44" t="str">
        <x:f>'Evaluation Plan'!S19</x:f>
        <x:v>Recreate the listed four-object scene with the bowl empty.</x:v>
      </x:c>
      <x:c r="T19" s="44" t="str">
        <x:f>'Evaluation Plan'!T19</x:f>
        <x:v>The relation, candidate category, target identity, and object membership occur together in the cited training episode.</x:v>
      </x:c>
      <x:c r="U19" s="44" t="n">
        <x:f>'Evaluation Plan'!U19</x:f>
        <x:v>0</x:v>
      </x:c>
    </x:row>
    <x:row r="20" ht="51" customHeight="1">
      <x:c r="A20" s="41" t="str">
        <x:v>Not collected</x:v>
      </x:c>
      <x:c r="B20" s="42" t="n">
        <x:f>'Evaluation Plan'!B20</x:f>
        <x:v>18</x:v>
      </x:c>
      <x:c r="C20" s="41" t="str">
        <x:f>'Evaluation Plan'!C20</x:f>
        <x:v>Pick up the pen furthest from the airplane toy without propellers and place it in the bowl.</x:v>
      </x:c>
      <x:c r="D20" s="41" t="str">
        <x:f>'Evaluation Plan'!D20</x:f>
        <x:v>Reference: airplane toy without propellers at table centre; yellow pen: 10 cm to robot-left of the reference; green pen: 24 cm to robot-right of the reference; crushed Coke can: at the far robot-left corner, outside the distance comparison; Bowl: empty</x:v>
      </x:c>
      <x:c r="E20" s="42" t="str">
        <x:f>'Evaluation Plan'!E20</x:f>
      </x:c>
      <x:c r="F20" s="42" t="str">
        <x:f>'Evaluation Plan'!F20</x:f>
        <x:v>518</x:v>
      </x:c>
      <x:c r="G20" s="41" t="str">
        <x:f>'Evaluation Plan'!G20</x:f>
        <x:v>Exact manifest cell: prompt, relation × candidate-category combination, target identity, and object membership are explicitly represented in training; physical positions are manually recreated with a clear margin.</x:v>
      </x:c>
      <x:c r="H20" s="41" t="str">
        <x:f>'Evaluation Plan'!H20</x:f>
        <x:v>green pen</x:v>
      </x:c>
      <x:c r="I20" s="41" t="str"/>
      <x:c r="J20" s="43" t="str">
        <x:f>'Evaluation Plan'!J20</x:f>
        <x:v>In-distribution concept baseline</x:v>
      </x:c>
      <x:c r="K20" s="42" t="str">
        <x:f>'Evaluation Plan'!K20</x:f>
        <x:v>RD-ID19</x:v>
      </x:c>
      <x:c r="L20" s="42" t="str">
        <x:f>'Evaluation Plan'!L20</x:f>
        <x:v>furthest</x:v>
      </x:c>
      <x:c r="M20" s="42" t="str">
        <x:f>'Evaluation Plan'!M20</x:f>
        <x:v>pen</x:v>
      </x:c>
      <x:c r="N20" s="42" t="n">
        <x:f>'Evaluation Plan'!N20</x:f>
        <x:v>4</x:v>
      </x:c>
      <x:c r="O20" s="42" t="n">
        <x:f>'Evaluation Plan'!O20</x:f>
        <x:v>1</x:v>
      </x:c>
      <x:c r="P20" s="42" t="str">
        <x:f>'Evaluation Plan'!P20</x:f>
        <x:v>Empty</x:v>
      </x:c>
      <x:c r="Q20" s="41" t="str">
        <x:f>'Evaluation Plan'!Q20</x:f>
        <x:v>Exact training-supported relation × candidate-category baseline</x:v>
      </x:c>
      <x:c r="R20" s="42" t="n">
        <x:f>'Evaluation Plan'!R20</x:f>
        <x:v>1</x:v>
      </x:c>
      <x:c r="S20" s="41" t="str">
        <x:f>'Evaluation Plan'!S20</x:f>
        <x:v>Recreate the listed four-object scene with the bowl empty.</x:v>
      </x:c>
      <x:c r="T20" s="41" t="str">
        <x:f>'Evaluation Plan'!T20</x:f>
        <x:v>The relation, candidate category, target identity, and object membership occur together in the cited training episode.</x:v>
      </x:c>
      <x:c r="U20" s="41" t="n">
        <x:f>'Evaluation Plan'!U20</x:f>
        <x:v>0</x:v>
      </x:c>
    </x:row>
    <x:row r="21" ht="51" customHeight="1">
      <x:c r="A21" s="44" t="str">
        <x:v>Not collected</x:v>
      </x:c>
      <x:c r="B21" s="45" t="n">
        <x:f>'Evaluation Plan'!B21</x:f>
        <x:v>19</x:v>
      </x:c>
      <x:c r="C21" s="44" t="str">
        <x:f>'Evaluation Plan'!C21</x:f>
        <x:v>Pick up the pen furthest from the red pencil sharpener and place it in the bowl.</x:v>
      </x:c>
      <x:c r="D21" s="44" t="str">
        <x:f>'Evaluation Plan'!D21</x:f>
        <x:v>Reference: red pencil sharpener at table centre; yellow pen: 10 cm to robot-right of the reference; green pen: 24 cm to robot-left of the reference; green pencil sharpener: at the far robot-left corner, outside the distance comparison; Bowl: empty</x:v>
      </x:c>
      <x:c r="E21" s="45" t="str">
        <x:f>'Evaluation Plan'!E21</x:f>
      </x:c>
      <x:c r="F21" s="45" t="str">
        <x:f>'Evaluation Plan'!F21</x:f>
        <x:v>520</x:v>
      </x:c>
      <x:c r="G21" s="44" t="str">
        <x:f>'Evaluation Plan'!G21</x:f>
        <x:v>Exact manifest cell: prompt, relation × candidate-category combination, target identity, and object membership are explicitly represented in training; physical positions are manually recreated with a clear margin.</x:v>
      </x:c>
      <x:c r="H21" s="44" t="str">
        <x:f>'Evaluation Plan'!H21</x:f>
        <x:v>green pen</x:v>
      </x:c>
      <x:c r="I21" s="44" t="str"/>
      <x:c r="J21" s="43" t="str">
        <x:f>'Evaluation Plan'!J21</x:f>
        <x:v>In-distribution concept baseline</x:v>
      </x:c>
      <x:c r="K21" s="45" t="str">
        <x:f>'Evaluation Plan'!K21</x:f>
        <x:v>RD-ID20</x:v>
      </x:c>
      <x:c r="L21" s="45" t="str">
        <x:f>'Evaluation Plan'!L21</x:f>
        <x:v>furthest</x:v>
      </x:c>
      <x:c r="M21" s="45" t="str">
        <x:f>'Evaluation Plan'!M21</x:f>
        <x:v>pen</x:v>
      </x:c>
      <x:c r="N21" s="45" t="n">
        <x:f>'Evaluation Plan'!N21</x:f>
        <x:v>4</x:v>
      </x:c>
      <x:c r="O21" s="45" t="n">
        <x:f>'Evaluation Plan'!O21</x:f>
        <x:v>1</x:v>
      </x:c>
      <x:c r="P21" s="45" t="str">
        <x:f>'Evaluation Plan'!P21</x:f>
        <x:v>Empty</x:v>
      </x:c>
      <x:c r="Q21" s="44" t="str">
        <x:f>'Evaluation Plan'!Q21</x:f>
        <x:v>Exact training-supported relation × candidate-category baseline</x:v>
      </x:c>
      <x:c r="R21" s="45" t="n">
        <x:f>'Evaluation Plan'!R21</x:f>
        <x:v>1</x:v>
      </x:c>
      <x:c r="S21" s="44" t="str">
        <x:f>'Evaluation Plan'!S21</x:f>
        <x:v>Recreate the listed four-object scene with the bowl empty.</x:v>
      </x:c>
      <x:c r="T21" s="44" t="str">
        <x:f>'Evaluation Plan'!T21</x:f>
        <x:v>The relation, candidate category, target identity, and object membership occur together in the cited training episode.</x:v>
      </x:c>
      <x:c r="U21" s="44" t="n">
        <x:f>'Evaluation Plan'!U21</x:f>
        <x:v>0</x:v>
      </x:c>
    </x:row>
    <x:row r="22" ht="51" customHeight="1">
      <x:c r="A22" s="41" t="str">
        <x:v>Not collected</x:v>
      </x:c>
      <x:c r="B22" s="42" t="n">
        <x:f>'Evaluation Plan'!B22</x:f>
        <x:v>20</x:v>
      </x:c>
      <x:c r="C22" s="41" t="str">
        <x:f>'Evaluation Plan'!C22</x:f>
        <x:v>Pick up the airplane toy furthest from the green pen and place it in the bowl.</x:v>
      </x:c>
      <x:c r="D22" s="41" t="str">
        <x:f>'Evaluation Plan'!D22</x:f>
        <x:v>Reference: green pen at table centre; airplane toy without propellers: 10 cm to robot-left of the reference; airplane toy with propellers: 24 cm to robot-right of the reference; crushed Coke can: at the far robot-left corner, outside the distance comparison; Bowl: empty</x:v>
      </x:c>
      <x:c r="E22" s="42" t="str">
        <x:f>'Evaluation Plan'!E22</x:f>
      </x:c>
      <x:c r="F22" s="42" t="str">
        <x:f>'Evaluation Plan'!F22</x:f>
        <x:v>566</x:v>
      </x:c>
      <x:c r="G22" s="41" t="str">
        <x:f>'Evaluation Plan'!G22</x:f>
        <x:v>Masked source trajectory: the target identity and physical manipulation are trained under a direct-name prompt, while this relation × candidate-category composition is intentionally absent.</x:v>
      </x:c>
      <x:c r="H22" s="41" t="str">
        <x:f>'Evaluation Plan'!H22</x:f>
        <x:v>airplane toy with propellers</x:v>
      </x:c>
      <x:c r="I22" s="41" t="str"/>
      <x:c r="J22" s="46" t="str">
        <x:f>'Evaluation Plan'!J22</x:f>
        <x:v>Concept/compositional transfer</x:v>
      </x:c>
      <x:c r="K22" s="42" t="str">
        <x:f>'Evaluation Plan'!K22</x:f>
        <x:v>RD-CT01</x:v>
      </x:c>
      <x:c r="L22" s="42" t="str">
        <x:f>'Evaluation Plan'!L22</x:f>
        <x:v>furthest</x:v>
      </x:c>
      <x:c r="M22" s="42" t="str">
        <x:f>'Evaluation Plan'!M22</x:f>
        <x:v>airplane toy</x:v>
      </x:c>
      <x:c r="N22" s="42" t="n">
        <x:f>'Evaluation Plan'!N22</x:f>
        <x:v>4</x:v>
      </x:c>
      <x:c r="O22" s="42" t="n">
        <x:f>'Evaluation Plan'!O22</x:f>
        <x:v>1</x:v>
      </x:c>
      <x:c r="P22" s="42" t="str">
        <x:f>'Evaluation Plan'!P22</x:f>
        <x:v>Empty</x:v>
      </x:c>
      <x:c r="Q22" s="41" t="str">
        <x:f>'Evaluation Plan'!Q22</x:f>
        <x:v>Primary held-out relation × candidate-category composition — Pick up</x:v>
      </x:c>
      <x:c r="R22" s="42" t="n">
        <x:f>'Evaluation Plan'!R22</x:f>
        <x:v>2</x:v>
      </x:c>
      <x:c r="S22" s="41" t="str">
        <x:f>'Evaluation Plan'!S22</x:f>
        <x:v>Build the listed relation scene with the bowl empty.</x:v>
      </x:c>
      <x:c r="T22" s="41" t="str">
        <x:f>'Evaluation Plan'!T22</x:f>
        <x:v>Both candidates are present. The held-out relation is the only information that identifies the target.</x:v>
      </x:c>
      <x:c r="U22" s="41" t="n">
        <x:f>'Evaluation Plan'!U22</x:f>
        <x:v>0</x:v>
      </x:c>
    </x:row>
    <x:row r="23" ht="51" customHeight="1">
      <x:c r="A23" s="32" t="str">
        <x:v>Not collected</x:v>
      </x:c>
      <x:c r="B23" s="34" t="n">
        <x:f>'Evaluation Plan'!B23</x:f>
        <x:v>21</x:v>
      </x:c>
      <x:c r="C23" s="32" t="str">
        <x:f>'Evaluation Plan'!C23</x:f>
        <x:v>Put the airplane toy with propellers in the bowl.</x:v>
      </x:c>
      <x:c r="D23" s="32" t="str">
        <x:f>'Evaluation Plan'!D23</x:f>
        <x:v>Reference: green pen at table centre; airplane toy without propellers: 10 cm to robot-left of the reference; airplane toy with propellers: 24 cm to robot-right of the reference; crushed Coke can: at the far robot-left corner, outside the distance comparison; Bowl: empty</x:v>
      </x:c>
      <x:c r="E23" s="34" t="n">
        <x:f>'Evaluation Plan'!E23</x:f>
        <x:v>20</x:v>
      </x:c>
      <x:c r="F23" s="34" t="str">
        <x:f>'Evaluation Plan'!F23</x:f>
        <x:v>566</x:v>
      </x:c>
      <x:c r="G23" s="32" t="str">
        <x:f>'Evaluation Plan'!G23</x:f>
        <x:v>Exact masked-cell training prompt for the same target identity. The evaluation scene and physical endpoint are identical to the paired transfer row.</x:v>
      </x:c>
      <x:c r="H23" s="32" t="str">
        <x:f>'Evaluation Plan'!H23</x:f>
        <x:v>airplane toy with propellers</x:v>
      </x:c>
      <x:c r="I23" s="32" t="str"/>
      <x:c r="J23" s="37" t="str">
        <x:f>'Evaluation Plan'!J23</x:f>
        <x:v>Matched manipulation control</x:v>
      </x:c>
      <x:c r="K23" s="34" t="str">
        <x:f>'Evaluation Plan'!K23</x:f>
        <x:v>RD-CT01</x:v>
      </x:c>
      <x:c r="L23" s="34" t="str">
        <x:f>'Evaluation Plan'!L23</x:f>
        <x:v>direct name</x:v>
      </x:c>
      <x:c r="M23" s="34" t="str">
        <x:f>'Evaluation Plan'!M23</x:f>
        <x:v>airplane toy</x:v>
      </x:c>
      <x:c r="N23" s="34" t="n">
        <x:f>'Evaluation Plan'!N23</x:f>
        <x:v>4</x:v>
      </x:c>
      <x:c r="O23" s="34" t="n">
        <x:f>'Evaluation Plan'!O23</x:f>
        <x:v>1</x:v>
      </x:c>
      <x:c r="P23" s="34" t="str">
        <x:f>'Evaluation Plan'!P23</x:f>
        <x:v>Empty</x:v>
      </x:c>
      <x:c r="Q23" s="32" t="str">
        <x:f>'Evaluation Plan'!Q23</x:f>
        <x:v>Exact-scene direct-identity manipulation control</x:v>
      </x:c>
      <x:c r="R23" s="34" t="n">
        <x:f>'Evaluation Plan'!R23</x:f>
        <x:v>2</x:v>
      </x:c>
      <x:c r="S23" s="32" t="str">
        <x:f>'Evaluation Plan'!S23</x:f>
        <x:v>Reset the moved object exactly; preserve the scene; change only the instruction.</x:v>
      </x:c>
      <x:c r="T23" s="32" t="str">
        <x:f>'Evaluation Plan'!T23</x:f>
        <x:v>Controls recognition and manipulation of the same target without requiring referential reasoning.</x:v>
      </x:c>
      <x:c r="U23" s="32" t="n">
        <x:f>'Evaluation Plan'!U23</x:f>
        <x:v>0</x:v>
      </x:c>
    </x:row>
    <x:row r="24" ht="51" customHeight="1">
      <x:c r="A24" s="31" t="str">
        <x:v>Not collected</x:v>
      </x:c>
      <x:c r="B24" s="33" t="n">
        <x:f>'Evaluation Plan'!B24</x:f>
        <x:v>22</x:v>
      </x:c>
      <x:c r="C24" s="31" t="str">
        <x:f>'Evaluation Plan'!C24</x:f>
        <x:v>Choose the airplane toy farthest from the green pen and put it in the bowl.</x:v>
      </x:c>
      <x:c r="D24" s="31" t="str">
        <x:f>'Evaluation Plan'!D24</x:f>
        <x:v>Reference: green pen at table centre; airplane toy without propellers: 10 cm to robot-left of the reference; airplane toy with propellers: 24 cm to robot-right of the reference; crushed Coke can: at the far robot-left corner, outside the distance comparison; Bowl: empty</x:v>
      </x:c>
      <x:c r="E24" s="33" t="n">
        <x:f>'Evaluation Plan'!E24</x:f>
        <x:v>20</x:v>
      </x:c>
      <x:c r="F24" s="33" t="str">
        <x:f>'Evaluation Plan'!F24</x:f>
        <x:v>566</x:v>
      </x:c>
      <x:c r="G24" s="31" t="str">
        <x:f>'Evaluation Plan'!G24</x:f>
        <x:v>Exact canonical transfer scene and masked trajectory reference; only the instruction wording changes. This remains a separate language diagnostic.</x:v>
      </x:c>
      <x:c r="H24" s="31" t="str">
        <x:f>'Evaluation Plan'!H24</x:f>
        <x:v>airplane toy with propellers</x:v>
      </x:c>
      <x:c r="I24" s="31" t="str"/>
      <x:c r="J24" s="38" t="str">
        <x:f>'Evaluation Plan'!J24</x:f>
        <x:v>Language robustness</x:v>
      </x:c>
      <x:c r="K24" s="33" t="str">
        <x:f>'Evaluation Plan'!K24</x:f>
        <x:v>RD-CT01</x:v>
      </x:c>
      <x:c r="L24" s="33" t="str">
        <x:f>'Evaluation Plan'!L24</x:f>
        <x:v>furthest</x:v>
      </x:c>
      <x:c r="M24" s="33" t="str">
        <x:f>'Evaluation Plan'!M24</x:f>
        <x:v>airplane toy</x:v>
      </x:c>
      <x:c r="N24" s="33" t="n">
        <x:f>'Evaluation Plan'!N24</x:f>
        <x:v>4</x:v>
      </x:c>
      <x:c r="O24" s="33" t="n">
        <x:f>'Evaluation Plan'!O24</x:f>
        <x:v>1</x:v>
      </x:c>
      <x:c r="P24" s="33" t="str">
        <x:f>'Evaluation Plan'!P24</x:f>
        <x:v>Empty</x:v>
      </x:c>
      <x:c r="Q24" s="31" t="str">
        <x:f>'Evaluation Plan'!Q24</x:f>
        <x:v>Primary compositional-transfer prompt paraphrase</x:v>
      </x:c>
      <x:c r="R24" s="33" t="n">
        <x:f>'Evaluation Plan'!R24</x:f>
        <x:v>2</x:v>
      </x:c>
      <x:c r="S24" s="31" t="str">
        <x:f>'Evaluation Plan'!S24</x:f>
        <x:v>Reset the moved object exactly; preserve the scene; change only the wording.</x:v>
      </x:c>
      <x:c r="T24" s="31" t="str">
        <x:f>'Evaluation Plan'!T24</x:f>
        <x:v>One of 10 exact-scene paraphrases of canonical transfer trials.</x:v>
      </x:c>
      <x:c r="U24" s="31" t="n">
        <x:f>'Evaluation Plan'!U24</x:f>
        <x:v>0</x:v>
      </x:c>
    </x:row>
    <x:row r="25" ht="51" customHeight="1">
      <x:c r="A25" s="32" t="str">
        <x:v>Not collected</x:v>
      </x:c>
      <x:c r="B25" s="34" t="n">
        <x:f>'Evaluation Plan'!B25</x:f>
        <x:v>23</x:v>
      </x:c>
      <x:c r="C25" s="32" t="str">
        <x:f>'Evaluation Plan'!C25</x:f>
        <x:v>Take the airplane toy with propellers and set it in the bowl.</x:v>
      </x:c>
      <x:c r="D25" s="32" t="str">
        <x:f>'Evaluation Plan'!D25</x:f>
        <x:v>Reference: green pen at table centre; airplane toy without propellers: 10 cm to robot-left of the reference; airplane toy with propellers: 24 cm to robot-right of the reference; crushed Coke can: at the far robot-left corner, outside the distance comparison; Bowl: empty</x:v>
      </x:c>
      <x:c r="E25" s="34" t="n">
        <x:f>'Evaluation Plan'!E25</x:f>
        <x:v>21</x:v>
      </x:c>
      <x:c r="F25" s="34" t="str">
        <x:f>'Evaluation Plan'!F25</x:f>
        <x:v>566</x:v>
      </x:c>
      <x:c r="G25" s="32" t="str">
        <x:f>'Evaluation Plan'!G25</x:f>
        <x:v>Exact matched-control scene and target; only the direct-name instruction wording changes.</x:v>
      </x:c>
      <x:c r="H25" s="32" t="str">
        <x:f>'Evaluation Plan'!H25</x:f>
        <x:v>airplane toy with propellers</x:v>
      </x:c>
      <x:c r="I25" s="32" t="str"/>
      <x:c r="J25" s="38" t="str">
        <x:f>'Evaluation Plan'!J25</x:f>
        <x:v>Language robustness</x:v>
      </x:c>
      <x:c r="K25" s="34" t="str">
        <x:f>'Evaluation Plan'!K25</x:f>
        <x:v>RD-CT01</x:v>
      </x:c>
      <x:c r="L25" s="34" t="str">
        <x:f>'Evaluation Plan'!L25</x:f>
        <x:v>direct-name paraphrase</x:v>
      </x:c>
      <x:c r="M25" s="34" t="str">
        <x:f>'Evaluation Plan'!M25</x:f>
        <x:v>airplane toy</x:v>
      </x:c>
      <x:c r="N25" s="34" t="n">
        <x:f>'Evaluation Plan'!N25</x:f>
        <x:v>4</x:v>
      </x:c>
      <x:c r="O25" s="34" t="n">
        <x:f>'Evaluation Plan'!O25</x:f>
        <x:v>1</x:v>
      </x:c>
      <x:c r="P25" s="34" t="str">
        <x:f>'Evaluation Plan'!P25</x:f>
        <x:v>Empty</x:v>
      </x:c>
      <x:c r="Q25" s="32" t="str">
        <x:f>'Evaluation Plan'!Q25</x:f>
        <x:v>Matched-control direct-name prompt paraphrase</x:v>
      </x:c>
      <x:c r="R25" s="34" t="n">
        <x:f>'Evaluation Plan'!R25</x:f>
        <x:v>2</x:v>
      </x:c>
      <x:c r="S25" s="32" t="str">
        <x:f>'Evaluation Plan'!S25</x:f>
        <x:v>Reset the moved object exactly; preserve the scene; change only the wording.</x:v>
      </x:c>
      <x:c r="T25" s="32" t="str">
        <x:f>'Evaluation Plan'!T25</x:f>
        <x:v>One of 10 exact-scene paraphrases of matched manipulation controls.</x:v>
      </x:c>
      <x:c r="U25" s="32" t="n">
        <x:f>'Evaluation Plan'!U25</x:f>
        <x:v>0</x:v>
      </x:c>
    </x:row>
    <x:row r="26" ht="51" customHeight="1">
      <x:c r="A26" s="41" t="str">
        <x:v>Not collected</x:v>
      </x:c>
      <x:c r="B26" s="42" t="n">
        <x:f>'Evaluation Plan'!B26</x:f>
        <x:v>24</x:v>
      </x:c>
      <x:c r="C26" s="41" t="str">
        <x:f>'Evaluation Plan'!C26</x:f>
        <x:v>Pick up the crushed soda can closest to the green pen and place it in the bowl.</x:v>
      </x:c>
      <x:c r="D26" s="41" t="str">
        <x:f>'Evaluation Plan'!D26</x:f>
        <x:v>Reference: green pen at table centre; crushed Coke can: 10 cm to robot-left of the reference; crushed Pepsi can: 24 cm to robot-right of the reference; yellow pen: at the far robot-left corner, outside the distance comparison; Bowl: empty</x:v>
      </x:c>
      <x:c r="E26" s="42" t="str">
        <x:f>'Evaluation Plan'!E26</x:f>
      </x:c>
      <x:c r="F26" s="42" t="str">
        <x:f>'Evaluation Plan'!F26</x:f>
        <x:v>400</x:v>
      </x:c>
      <x:c r="G26" s="41" t="str">
        <x:f>'Evaluation Plan'!G26</x:f>
        <x:v>Masked source trajectory: the target identity and physical manipulation are trained under a direct-name prompt, while this relation × candidate-category composition is intentionally absent.</x:v>
      </x:c>
      <x:c r="H26" s="41" t="str">
        <x:f>'Evaluation Plan'!H26</x:f>
        <x:v>crushed Coke can</x:v>
      </x:c>
      <x:c r="I26" s="41" t="str"/>
      <x:c r="J26" s="46" t="str">
        <x:f>'Evaluation Plan'!J26</x:f>
        <x:v>Concept/compositional transfer</x:v>
      </x:c>
      <x:c r="K26" s="42" t="str">
        <x:f>'Evaluation Plan'!K26</x:f>
        <x:v>RD-CT02</x:v>
      </x:c>
      <x:c r="L26" s="42" t="str">
        <x:f>'Evaluation Plan'!L26</x:f>
        <x:v>closest</x:v>
      </x:c>
      <x:c r="M26" s="42" t="str">
        <x:f>'Evaluation Plan'!M26</x:f>
        <x:v>crushed soda can</x:v>
      </x:c>
      <x:c r="N26" s="42" t="n">
        <x:f>'Evaluation Plan'!N26</x:f>
        <x:v>4</x:v>
      </x:c>
      <x:c r="O26" s="42" t="n">
        <x:f>'Evaluation Plan'!O26</x:f>
        <x:v>1</x:v>
      </x:c>
      <x:c r="P26" s="42" t="str">
        <x:f>'Evaluation Plan'!P26</x:f>
        <x:v>Empty</x:v>
      </x:c>
      <x:c r="Q26" s="41" t="str">
        <x:f>'Evaluation Plan'!Q26</x:f>
        <x:v>Primary held-out relation × candidate-category composition — Pick up</x:v>
      </x:c>
      <x:c r="R26" s="42" t="n">
        <x:f>'Evaluation Plan'!R26</x:f>
        <x:v>2</x:v>
      </x:c>
      <x:c r="S26" s="41" t="str">
        <x:f>'Evaluation Plan'!S26</x:f>
        <x:v>Build the listed relation scene with the bowl empty.</x:v>
      </x:c>
      <x:c r="T26" s="41" t="str">
        <x:f>'Evaluation Plan'!T26</x:f>
        <x:v>Both candidates are present. The held-out relation is the only information that identifies the target.</x:v>
      </x:c>
      <x:c r="U26" s="41" t="n">
        <x:f>'Evaluation Plan'!U26</x:f>
        <x:v>0</x:v>
      </x:c>
    </x:row>
    <x:row r="27" ht="51" customHeight="1">
      <x:c r="A27" s="32" t="str">
        <x:v>Not collected</x:v>
      </x:c>
      <x:c r="B27" s="34" t="n">
        <x:f>'Evaluation Plan'!B27</x:f>
        <x:v>25</x:v>
      </x:c>
      <x:c r="C27" s="32" t="str">
        <x:f>'Evaluation Plan'!C27</x:f>
        <x:v>Put the crushed Coke can in the bowl.</x:v>
      </x:c>
      <x:c r="D27" s="32" t="str">
        <x:f>'Evaluation Plan'!D27</x:f>
        <x:v>Reference: green pen at table centre; crushed Coke can: 10 cm to robot-left of the reference; crushed Pepsi can: 24 cm to robot-right of the reference; yellow pen: at the far robot-left corner, outside the distance comparison; Bowl: empty</x:v>
      </x:c>
      <x:c r="E27" s="34" t="n">
        <x:f>'Evaluation Plan'!E27</x:f>
        <x:v>24</x:v>
      </x:c>
      <x:c r="F27" s="34" t="str">
        <x:f>'Evaluation Plan'!F27</x:f>
        <x:v>400</x:v>
      </x:c>
      <x:c r="G27" s="32" t="str">
        <x:f>'Evaluation Plan'!G27</x:f>
        <x:v>Exact masked-cell training prompt for the same target identity. The evaluation scene and physical endpoint are identical to the paired transfer row.</x:v>
      </x:c>
      <x:c r="H27" s="32" t="str">
        <x:f>'Evaluation Plan'!H27</x:f>
        <x:v>crushed Coke can</x:v>
      </x:c>
      <x:c r="I27" s="32" t="str"/>
      <x:c r="J27" s="37" t="str">
        <x:f>'Evaluation Plan'!J27</x:f>
        <x:v>Matched manipulation control</x:v>
      </x:c>
      <x:c r="K27" s="34" t="str">
        <x:f>'Evaluation Plan'!K27</x:f>
        <x:v>RD-CT02</x:v>
      </x:c>
      <x:c r="L27" s="34" t="str">
        <x:f>'Evaluation Plan'!L27</x:f>
        <x:v>direct name</x:v>
      </x:c>
      <x:c r="M27" s="34" t="str">
        <x:f>'Evaluation Plan'!M27</x:f>
        <x:v>crushed soda can</x:v>
      </x:c>
      <x:c r="N27" s="34" t="n">
        <x:f>'Evaluation Plan'!N27</x:f>
        <x:v>4</x:v>
      </x:c>
      <x:c r="O27" s="34" t="n">
        <x:f>'Evaluation Plan'!O27</x:f>
        <x:v>1</x:v>
      </x:c>
      <x:c r="P27" s="34" t="str">
        <x:f>'Evaluation Plan'!P27</x:f>
        <x:v>Empty</x:v>
      </x:c>
      <x:c r="Q27" s="32" t="str">
        <x:f>'Evaluation Plan'!Q27</x:f>
        <x:v>Exact-scene direct-identity manipulation control</x:v>
      </x:c>
      <x:c r="R27" s="34" t="n">
        <x:f>'Evaluation Plan'!R27</x:f>
        <x:v>2</x:v>
      </x:c>
      <x:c r="S27" s="32" t="str">
        <x:f>'Evaluation Plan'!S27</x:f>
        <x:v>Reset the moved object exactly; preserve the scene; change only the instruction.</x:v>
      </x:c>
      <x:c r="T27" s="32" t="str">
        <x:f>'Evaluation Plan'!T27</x:f>
        <x:v>Controls recognition and manipulation of the same target without requiring referential reasoning.</x:v>
      </x:c>
      <x:c r="U27" s="32" t="n">
        <x:f>'Evaluation Plan'!U27</x:f>
        <x:v>0</x:v>
      </x:c>
    </x:row>
    <x:row r="28" ht="51" customHeight="1">
      <x:c r="A28" s="31" t="str">
        <x:v>Not collected</x:v>
      </x:c>
      <x:c r="B28" s="33" t="n">
        <x:f>'Evaluation Plan'!B28</x:f>
        <x:v>26</x:v>
      </x:c>
      <x:c r="C28" s="31" t="str">
        <x:f>'Evaluation Plan'!C28</x:f>
        <x:v>Choose the crushed soda can nearest to the green pen and put it in the bowl.</x:v>
      </x:c>
      <x:c r="D28" s="31" t="str">
        <x:f>'Evaluation Plan'!D28</x:f>
        <x:v>Reference: green pen at table centre; crushed Coke can: 10 cm to robot-left of the reference; crushed Pepsi can: 24 cm to robot-right of the reference; yellow pen: at the far robot-left corner, outside the distance comparison; Bowl: empty</x:v>
      </x:c>
      <x:c r="E28" s="33" t="n">
        <x:f>'Evaluation Plan'!E28</x:f>
        <x:v>24</x:v>
      </x:c>
      <x:c r="F28" s="33" t="str">
        <x:f>'Evaluation Plan'!F28</x:f>
        <x:v>400</x:v>
      </x:c>
      <x:c r="G28" s="31" t="str">
        <x:f>'Evaluation Plan'!G28</x:f>
        <x:v>Exact canonical transfer scene and masked trajectory reference; only the instruction wording changes. This remains a separate language diagnostic.</x:v>
      </x:c>
      <x:c r="H28" s="31" t="str">
        <x:f>'Evaluation Plan'!H28</x:f>
        <x:v>crushed Coke can</x:v>
      </x:c>
      <x:c r="I28" s="31" t="str"/>
      <x:c r="J28" s="38" t="str">
        <x:f>'Evaluation Plan'!J28</x:f>
        <x:v>Language robustness</x:v>
      </x:c>
      <x:c r="K28" s="33" t="str">
        <x:f>'Evaluation Plan'!K28</x:f>
        <x:v>RD-CT02</x:v>
      </x:c>
      <x:c r="L28" s="33" t="str">
        <x:f>'Evaluation Plan'!L28</x:f>
        <x:v>closest</x:v>
      </x:c>
      <x:c r="M28" s="33" t="str">
        <x:f>'Evaluation Plan'!M28</x:f>
        <x:v>crushed soda can</x:v>
      </x:c>
      <x:c r="N28" s="33" t="n">
        <x:f>'Evaluation Plan'!N28</x:f>
        <x:v>4</x:v>
      </x:c>
      <x:c r="O28" s="33" t="n">
        <x:f>'Evaluation Plan'!O28</x:f>
        <x:v>1</x:v>
      </x:c>
      <x:c r="P28" s="33" t="str">
        <x:f>'Evaluation Plan'!P28</x:f>
        <x:v>Empty</x:v>
      </x:c>
      <x:c r="Q28" s="31" t="str">
        <x:f>'Evaluation Plan'!Q28</x:f>
        <x:v>Primary compositional-transfer prompt paraphrase</x:v>
      </x:c>
      <x:c r="R28" s="33" t="n">
        <x:f>'Evaluation Plan'!R28</x:f>
        <x:v>2</x:v>
      </x:c>
      <x:c r="S28" s="31" t="str">
        <x:f>'Evaluation Plan'!S28</x:f>
        <x:v>Reset the moved object exactly; preserve the scene; change only the wording.</x:v>
      </x:c>
      <x:c r="T28" s="31" t="str">
        <x:f>'Evaluation Plan'!T28</x:f>
        <x:v>One of 10 exact-scene paraphrases of canonical transfer trials.</x:v>
      </x:c>
      <x:c r="U28" s="31" t="n">
        <x:f>'Evaluation Plan'!U28</x:f>
        <x:v>0</x:v>
      </x:c>
    </x:row>
    <x:row r="29" ht="51" customHeight="1">
      <x:c r="A29" s="32" t="str">
        <x:v>Not collected</x:v>
      </x:c>
      <x:c r="B29" s="34" t="n">
        <x:f>'Evaluation Plan'!B29</x:f>
        <x:v>27</x:v>
      </x:c>
      <x:c r="C29" s="32" t="str">
        <x:f>'Evaluation Plan'!C29</x:f>
        <x:v>Take the crushed Coke can and set it in the bowl.</x:v>
      </x:c>
      <x:c r="D29" s="32" t="str">
        <x:f>'Evaluation Plan'!D29</x:f>
        <x:v>Reference: green pen at table centre; crushed Coke can: 10 cm to robot-left of the reference; crushed Pepsi can: 24 cm to robot-right of the reference; yellow pen: at the far robot-left corner, outside the distance comparison; Bowl: empty</x:v>
      </x:c>
      <x:c r="E29" s="34" t="n">
        <x:f>'Evaluation Plan'!E29</x:f>
        <x:v>25</x:v>
      </x:c>
      <x:c r="F29" s="34" t="str">
        <x:f>'Evaluation Plan'!F29</x:f>
        <x:v>400</x:v>
      </x:c>
      <x:c r="G29" s="32" t="str">
        <x:f>'Evaluation Plan'!G29</x:f>
        <x:v>Exact matched-control scene and target; only the direct-name instruction wording changes.</x:v>
      </x:c>
      <x:c r="H29" s="32" t="str">
        <x:f>'Evaluation Plan'!H29</x:f>
        <x:v>crushed Coke can</x:v>
      </x:c>
      <x:c r="I29" s="32" t="str"/>
      <x:c r="J29" s="38" t="str">
        <x:f>'Evaluation Plan'!J29</x:f>
        <x:v>Language robustness</x:v>
      </x:c>
      <x:c r="K29" s="34" t="str">
        <x:f>'Evaluation Plan'!K29</x:f>
        <x:v>RD-CT02</x:v>
      </x:c>
      <x:c r="L29" s="34" t="str">
        <x:f>'Evaluation Plan'!L29</x:f>
        <x:v>direct-name paraphrase</x:v>
      </x:c>
      <x:c r="M29" s="34" t="str">
        <x:f>'Evaluation Plan'!M29</x:f>
        <x:v>crushed soda can</x:v>
      </x:c>
      <x:c r="N29" s="34" t="n">
        <x:f>'Evaluation Plan'!N29</x:f>
        <x:v>4</x:v>
      </x:c>
      <x:c r="O29" s="34" t="n">
        <x:f>'Evaluation Plan'!O29</x:f>
        <x:v>1</x:v>
      </x:c>
      <x:c r="P29" s="34" t="str">
        <x:f>'Evaluation Plan'!P29</x:f>
        <x:v>Empty</x:v>
      </x:c>
      <x:c r="Q29" s="32" t="str">
        <x:f>'Evaluation Plan'!Q29</x:f>
        <x:v>Matched-control direct-name prompt paraphrase</x:v>
      </x:c>
      <x:c r="R29" s="34" t="n">
        <x:f>'Evaluation Plan'!R29</x:f>
        <x:v>2</x:v>
      </x:c>
      <x:c r="S29" s="32" t="str">
        <x:f>'Evaluation Plan'!S29</x:f>
        <x:v>Reset the moved object exactly; preserve the scene; change only the wording.</x:v>
      </x:c>
      <x:c r="T29" s="32" t="str">
        <x:f>'Evaluation Plan'!T29</x:f>
        <x:v>One of 10 exact-scene paraphrases of matched manipulation controls.</x:v>
      </x:c>
      <x:c r="U29" s="32" t="n">
        <x:f>'Evaluation Plan'!U29</x:f>
        <x:v>0</x:v>
      </x:c>
    </x:row>
    <x:row r="30" ht="51" customHeight="1">
      <x:c r="A30" s="41" t="str">
        <x:v>Not collected</x:v>
      </x:c>
      <x:c r="B30" s="42" t="n">
        <x:f>'Evaluation Plan'!B30</x:f>
        <x:v>28</x:v>
      </x:c>
      <x:c r="C30" s="41" t="str">
        <x:f>'Evaluation Plan'!C30</x:f>
        <x:v>Pick up the pencil sharpener between the green pen and the crushed Coke can and place it in the bowl.</x:v>
      </x:c>
      <x:c r="D30" s="41" t="str">
        <x:f>'Evaluation Plan'!D30</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0" s="42" t="str">
        <x:f>'Evaluation Plan'!E30</x:f>
      </x:c>
      <x:c r="F30" s="42" t="str">
        <x:f>'Evaluation Plan'!F30</x:f>
        <x:v>482</x:v>
      </x:c>
      <x:c r="G30" s="41" t="str">
        <x:f>'Evaluation Plan'!G30</x:f>
        <x:v>Masked source trajectory: the target identity and physical manipulation are trained under a direct-name prompt, while this relation × candidate-category composition is intentionally absent.</x:v>
      </x:c>
      <x:c r="H30" s="41" t="str">
        <x:f>'Evaluation Plan'!H30</x:f>
        <x:v>green pencil sharpener</x:v>
      </x:c>
      <x:c r="I30" s="41" t="str"/>
      <x:c r="J30" s="46" t="str">
        <x:f>'Evaluation Plan'!J30</x:f>
        <x:v>Concept/compositional transfer</x:v>
      </x:c>
      <x:c r="K30" s="42" t="str">
        <x:f>'Evaluation Plan'!K30</x:f>
        <x:v>RD-CT03</x:v>
      </x:c>
      <x:c r="L30" s="42" t="str">
        <x:f>'Evaluation Plan'!L30</x:f>
        <x:v>between</x:v>
      </x:c>
      <x:c r="M30" s="42" t="str">
        <x:f>'Evaluation Plan'!M30</x:f>
        <x:v>pencil sharpener</x:v>
      </x:c>
      <x:c r="N30" s="42" t="n">
        <x:f>'Evaluation Plan'!N30</x:f>
        <x:v>4</x:v>
      </x:c>
      <x:c r="O30" s="42" t="n">
        <x:f>'Evaluation Plan'!O30</x:f>
        <x:v>1</x:v>
      </x:c>
      <x:c r="P30" s="42" t="str">
        <x:f>'Evaluation Plan'!P30</x:f>
        <x:v>Empty</x:v>
      </x:c>
      <x:c r="Q30" s="41" t="str">
        <x:f>'Evaluation Plan'!Q30</x:f>
        <x:v>Primary held-out relation × candidate-category composition — Pick up</x:v>
      </x:c>
      <x:c r="R30" s="42" t="n">
        <x:f>'Evaluation Plan'!R30</x:f>
        <x:v>2</x:v>
      </x:c>
      <x:c r="S30" s="41" t="str">
        <x:f>'Evaluation Plan'!S30</x:f>
        <x:v>Build the listed relation scene with the bowl empty.</x:v>
      </x:c>
      <x:c r="T30" s="41" t="str">
        <x:f>'Evaluation Plan'!T30</x:f>
        <x:v>Both candidates are present. The held-out relation is the only information that identifies the target.</x:v>
      </x:c>
      <x:c r="U30" s="41" t="n">
        <x:f>'Evaluation Plan'!U30</x:f>
        <x:v>0</x:v>
      </x:c>
    </x:row>
    <x:row r="31" ht="51" customHeight="1">
      <x:c r="A31" s="32" t="str">
        <x:v>Not collected</x:v>
      </x:c>
      <x:c r="B31" s="34" t="n">
        <x:f>'Evaluation Plan'!B31</x:f>
        <x:v>29</x:v>
      </x:c>
      <x:c r="C31" s="32" t="str">
        <x:f>'Evaluation Plan'!C31</x:f>
        <x:v>Pick up the green pencil sharpener and place it in the bowl.</x:v>
      </x:c>
      <x:c r="D31" s="32" t="str">
        <x:f>'Evaluation Plan'!D31</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1" s="34" t="n">
        <x:f>'Evaluation Plan'!E31</x:f>
        <x:v>28</x:v>
      </x:c>
      <x:c r="F31" s="34" t="str">
        <x:f>'Evaluation Plan'!F31</x:f>
        <x:v>482</x:v>
      </x:c>
      <x:c r="G31" s="32" t="str">
        <x:f>'Evaluation Plan'!G31</x:f>
        <x:v>Exact masked-cell training prompt for the same target identity. The evaluation scene and physical endpoint are identical to the paired transfer row.</x:v>
      </x:c>
      <x:c r="H31" s="32" t="str">
        <x:f>'Evaluation Plan'!H31</x:f>
        <x:v>green pencil sharpener</x:v>
      </x:c>
      <x:c r="I31" s="32" t="str"/>
      <x:c r="J31" s="37" t="str">
        <x:f>'Evaluation Plan'!J31</x:f>
        <x:v>Matched manipulation control</x:v>
      </x:c>
      <x:c r="K31" s="34" t="str">
        <x:f>'Evaluation Plan'!K31</x:f>
        <x:v>RD-CT03</x:v>
      </x:c>
      <x:c r="L31" s="34" t="str">
        <x:f>'Evaluation Plan'!L31</x:f>
        <x:v>direct name</x:v>
      </x:c>
      <x:c r="M31" s="34" t="str">
        <x:f>'Evaluation Plan'!M31</x:f>
        <x:v>pencil sharpener</x:v>
      </x:c>
      <x:c r="N31" s="34" t="n">
        <x:f>'Evaluation Plan'!N31</x:f>
        <x:v>4</x:v>
      </x:c>
      <x:c r="O31" s="34" t="n">
        <x:f>'Evaluation Plan'!O31</x:f>
        <x:v>1</x:v>
      </x:c>
      <x:c r="P31" s="34" t="str">
        <x:f>'Evaluation Plan'!P31</x:f>
        <x:v>Empty</x:v>
      </x:c>
      <x:c r="Q31" s="32" t="str">
        <x:f>'Evaluation Plan'!Q31</x:f>
        <x:v>Exact-scene direct-identity manipulation control</x:v>
      </x:c>
      <x:c r="R31" s="34" t="n">
        <x:f>'Evaluation Plan'!R31</x:f>
        <x:v>2</x:v>
      </x:c>
      <x:c r="S31" s="32" t="str">
        <x:f>'Evaluation Plan'!S31</x:f>
        <x:v>Reset the moved object exactly; preserve the scene; change only the instruction.</x:v>
      </x:c>
      <x:c r="T31" s="32" t="str">
        <x:f>'Evaluation Plan'!T31</x:f>
        <x:v>Controls recognition and manipulation of the same target without requiring referential reasoning.</x:v>
      </x:c>
      <x:c r="U31" s="32" t="n">
        <x:f>'Evaluation Plan'!U31</x:f>
        <x:v>0</x:v>
      </x:c>
    </x:row>
    <x:row r="32" ht="51" customHeight="1">
      <x:c r="A32" s="31" t="str">
        <x:v>Not collected</x:v>
      </x:c>
      <x:c r="B32" s="33" t="n">
        <x:f>'Evaluation Plan'!B32</x:f>
        <x:v>30</x:v>
      </x:c>
      <x:c r="C32" s="31" t="str">
        <x:f>'Evaluation Plan'!C32</x:f>
        <x:v>Choose the pencil sharpener located in the middle of the green pen and the crushed Coke can, then put it in the bowl.</x:v>
      </x:c>
      <x:c r="D32" s="31" t="str">
        <x:f>'Evaluation Plan'!D32</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2" s="33" t="n">
        <x:f>'Evaluation Plan'!E32</x:f>
        <x:v>28</x:v>
      </x:c>
      <x:c r="F32" s="33" t="str">
        <x:f>'Evaluation Plan'!F32</x:f>
        <x:v>482</x:v>
      </x:c>
      <x:c r="G32" s="31" t="str">
        <x:f>'Evaluation Plan'!G32</x:f>
        <x:v>Exact canonical transfer scene and masked trajectory reference; only the instruction wording changes. This remains a separate language diagnostic.</x:v>
      </x:c>
      <x:c r="H32" s="31" t="str">
        <x:f>'Evaluation Plan'!H32</x:f>
        <x:v>green pencil sharpener</x:v>
      </x:c>
      <x:c r="I32" s="31" t="str"/>
      <x:c r="J32" s="38" t="str">
        <x:f>'Evaluation Plan'!J32</x:f>
        <x:v>Language robustness</x:v>
      </x:c>
      <x:c r="K32" s="33" t="str">
        <x:f>'Evaluation Plan'!K32</x:f>
        <x:v>RD-CT03</x:v>
      </x:c>
      <x:c r="L32" s="33" t="str">
        <x:f>'Evaluation Plan'!L32</x:f>
        <x:v>between</x:v>
      </x:c>
      <x:c r="M32" s="33" t="str">
        <x:f>'Evaluation Plan'!M32</x:f>
        <x:v>pencil sharpener</x:v>
      </x:c>
      <x:c r="N32" s="33" t="n">
        <x:f>'Evaluation Plan'!N32</x:f>
        <x:v>4</x:v>
      </x:c>
      <x:c r="O32" s="33" t="n">
        <x:f>'Evaluation Plan'!O32</x:f>
        <x:v>1</x:v>
      </x:c>
      <x:c r="P32" s="33" t="str">
        <x:f>'Evaluation Plan'!P32</x:f>
        <x:v>Empty</x:v>
      </x:c>
      <x:c r="Q32" s="31" t="str">
        <x:f>'Evaluation Plan'!Q32</x:f>
        <x:v>Primary compositional-transfer prompt paraphrase</x:v>
      </x:c>
      <x:c r="R32" s="33" t="n">
        <x:f>'Evaluation Plan'!R32</x:f>
        <x:v>2</x:v>
      </x:c>
      <x:c r="S32" s="31" t="str">
        <x:f>'Evaluation Plan'!S32</x:f>
        <x:v>Reset the moved object exactly; preserve the scene; change only the wording.</x:v>
      </x:c>
      <x:c r="T32" s="31" t="str">
        <x:f>'Evaluation Plan'!T32</x:f>
        <x:v>One of 10 exact-scene paraphrases of canonical transfer trials.</x:v>
      </x:c>
      <x:c r="U32" s="31" t="n">
        <x:f>'Evaluation Plan'!U32</x:f>
        <x:v>0</x:v>
      </x:c>
    </x:row>
    <x:row r="33" ht="51" customHeight="1">
      <x:c r="A33" s="32" t="str">
        <x:v>Not collected</x:v>
      </x:c>
      <x:c r="B33" s="34" t="n">
        <x:f>'Evaluation Plan'!B33</x:f>
        <x:v>31</x:v>
      </x:c>
      <x:c r="C33" s="32" t="str">
        <x:f>'Evaluation Plan'!C33</x:f>
        <x:v>Take the green pencil sharpener and set it in the bowl.</x:v>
      </x:c>
      <x:c r="D33" s="32" t="str">
        <x:f>'Evaluation Plan'!D33</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3" s="34" t="n">
        <x:f>'Evaluation Plan'!E33</x:f>
        <x:v>29</x:v>
      </x:c>
      <x:c r="F33" s="34" t="str">
        <x:f>'Evaluation Plan'!F33</x:f>
        <x:v>482</x:v>
      </x:c>
      <x:c r="G33" s="32" t="str">
        <x:f>'Evaluation Plan'!G33</x:f>
        <x:v>Exact matched-control scene and target; only the direct-name instruction wording changes.</x:v>
      </x:c>
      <x:c r="H33" s="32" t="str">
        <x:f>'Evaluation Plan'!H33</x:f>
        <x:v>green pencil sharpener</x:v>
      </x:c>
      <x:c r="I33" s="32" t="str"/>
      <x:c r="J33" s="38" t="str">
        <x:f>'Evaluation Plan'!J33</x:f>
        <x:v>Language robustness</x:v>
      </x:c>
      <x:c r="K33" s="34" t="str">
        <x:f>'Evaluation Plan'!K33</x:f>
        <x:v>RD-CT03</x:v>
      </x:c>
      <x:c r="L33" s="34" t="str">
        <x:f>'Evaluation Plan'!L33</x:f>
        <x:v>direct-name paraphrase</x:v>
      </x:c>
      <x:c r="M33" s="34" t="str">
        <x:f>'Evaluation Plan'!M33</x:f>
        <x:v>pencil sharpener</x:v>
      </x:c>
      <x:c r="N33" s="34" t="n">
        <x:f>'Evaluation Plan'!N33</x:f>
        <x:v>4</x:v>
      </x:c>
      <x:c r="O33" s="34" t="n">
        <x:f>'Evaluation Plan'!O33</x:f>
        <x:v>1</x:v>
      </x:c>
      <x:c r="P33" s="34" t="str">
        <x:f>'Evaluation Plan'!P33</x:f>
        <x:v>Empty</x:v>
      </x:c>
      <x:c r="Q33" s="32" t="str">
        <x:f>'Evaluation Plan'!Q33</x:f>
        <x:v>Matched-control direct-name prompt paraphrase</x:v>
      </x:c>
      <x:c r="R33" s="34" t="n">
        <x:f>'Evaluation Plan'!R33</x:f>
        <x:v>2</x:v>
      </x:c>
      <x:c r="S33" s="32" t="str">
        <x:f>'Evaluation Plan'!S33</x:f>
        <x:v>Reset the moved object exactly; preserve the scene; change only the wording.</x:v>
      </x:c>
      <x:c r="T33" s="32" t="str">
        <x:f>'Evaluation Plan'!T33</x:f>
        <x:v>One of 10 exact-scene paraphrases of matched manipulation controls.</x:v>
      </x:c>
      <x:c r="U33" s="32" t="n">
        <x:f>'Evaluation Plan'!U33</x:f>
        <x:v>0</x:v>
      </x:c>
    </x:row>
    <x:row r="34" ht="51" customHeight="1">
      <x:c r="A34" s="41" t="str">
        <x:v>Not collected</x:v>
      </x:c>
      <x:c r="B34" s="42" t="n">
        <x:f>'Evaluation Plan'!B34</x:f>
        <x:v>32</x:v>
      </x:c>
      <x:c r="C34" s="41" t="str">
        <x:f>'Evaluation Plan'!C34</x:f>
        <x:v>Put the airplane toy furthest from the crushed Coke can in the bowl.</x:v>
      </x:c>
      <x:c r="D34" s="41" t="str">
        <x:f>'Evaluation Plan'!D34</x:f>
        <x:v>Reference: crushed Coke can at table centre; airplane toy without propellers: 10 cm to robot-right of the reference; airplane toy with propellers: 24 cm to robot-left of the reference; green pen: at the far robot-left corner, outside the distance comparison; Bowl: empty</x:v>
      </x:c>
      <x:c r="E34" s="42" t="str">
        <x:f>'Evaluation Plan'!E34</x:f>
      </x:c>
      <x:c r="F34" s="42" t="str">
        <x:f>'Evaluation Plan'!F34</x:f>
        <x:v>568</x:v>
      </x:c>
      <x:c r="G34" s="41" t="str">
        <x:f>'Evaluation Plan'!G34</x:f>
        <x:v>Masked source trajectory: the target identity and physical manipulation are trained under a direct-name prompt, while this relation × candidate-category composition is intentionally absent.</x:v>
      </x:c>
      <x:c r="H34" s="41" t="str">
        <x:f>'Evaluation Plan'!H34</x:f>
        <x:v>airplane toy with propellers</x:v>
      </x:c>
      <x:c r="I34" s="41" t="str"/>
      <x:c r="J34" s="46" t="str">
        <x:f>'Evaluation Plan'!J34</x:f>
        <x:v>Concept/compositional transfer</x:v>
      </x:c>
      <x:c r="K34" s="42" t="str">
        <x:f>'Evaluation Plan'!K34</x:f>
        <x:v>RD-CT04</x:v>
      </x:c>
      <x:c r="L34" s="42" t="str">
        <x:f>'Evaluation Plan'!L34</x:f>
        <x:v>furthest</x:v>
      </x:c>
      <x:c r="M34" s="42" t="str">
        <x:f>'Evaluation Plan'!M34</x:f>
        <x:v>airplane toy</x:v>
      </x:c>
      <x:c r="N34" s="42" t="n">
        <x:f>'Evaluation Plan'!N34</x:f>
        <x:v>4</x:v>
      </x:c>
      <x:c r="O34" s="42" t="n">
        <x:f>'Evaluation Plan'!O34</x:f>
        <x:v>1</x:v>
      </x:c>
      <x:c r="P34" s="42" t="str">
        <x:f>'Evaluation Plan'!P34</x:f>
        <x:v>Empty</x:v>
      </x:c>
      <x:c r="Q34" s="41" t="str">
        <x:f>'Evaluation Plan'!Q34</x:f>
        <x:v>Primary held-out relation × candidate-category composition — Put</x:v>
      </x:c>
      <x:c r="R34" s="42" t="n">
        <x:f>'Evaluation Plan'!R34</x:f>
        <x:v>2</x:v>
      </x:c>
      <x:c r="S34" s="41" t="str">
        <x:f>'Evaluation Plan'!S34</x:f>
        <x:v>Build the listed relation scene with the bowl empty.</x:v>
      </x:c>
      <x:c r="T34" s="41" t="str">
        <x:f>'Evaluation Plan'!T34</x:f>
        <x:v>Both candidates are present. The held-out relation is the only information that identifies the target.</x:v>
      </x:c>
      <x:c r="U34" s="41" t="n">
        <x:f>'Evaluation Plan'!U34</x:f>
        <x:v>0</x:v>
      </x:c>
    </x:row>
    <x:row r="35" ht="51" customHeight="1">
      <x:c r="A35" s="32" t="str">
        <x:v>Not collected</x:v>
      </x:c>
      <x:c r="B35" s="34" t="n">
        <x:f>'Evaluation Plan'!B35</x:f>
        <x:v>33</x:v>
      </x:c>
      <x:c r="C35" s="32" t="str">
        <x:f>'Evaluation Plan'!C35</x:f>
        <x:v>Move the airplane toy with propellers into the bowl.</x:v>
      </x:c>
      <x:c r="D35" s="32" t="str">
        <x:f>'Evaluation Plan'!D35</x:f>
        <x:v>Reference: crushed Coke can at table centre; airplane toy without propellers: 10 cm to robot-right of the reference; airplane toy with propellers: 24 cm to robot-left of the reference; green pen: at the far robot-left corner, outside the distance comparison; Bowl: empty</x:v>
      </x:c>
      <x:c r="E35" s="34" t="n">
        <x:f>'Evaluation Plan'!E35</x:f>
        <x:v>32</x:v>
      </x:c>
      <x:c r="F35" s="34" t="str">
        <x:f>'Evaluation Plan'!F35</x:f>
        <x:v>568</x:v>
      </x:c>
      <x:c r="G35" s="32" t="str">
        <x:f>'Evaluation Plan'!G35</x:f>
        <x:v>Exact masked-cell training prompt for the same target identity. The evaluation scene and physical endpoint are identical to the paired transfer row.</x:v>
      </x:c>
      <x:c r="H35" s="32" t="str">
        <x:f>'Evaluation Plan'!H35</x:f>
        <x:v>airplane toy with propellers</x:v>
      </x:c>
      <x:c r="I35" s="32" t="str"/>
      <x:c r="J35" s="37" t="str">
        <x:f>'Evaluation Plan'!J35</x:f>
        <x:v>Matched manipulation control</x:v>
      </x:c>
      <x:c r="K35" s="34" t="str">
        <x:f>'Evaluation Plan'!K35</x:f>
        <x:v>RD-CT04</x:v>
      </x:c>
      <x:c r="L35" s="34" t="str">
        <x:f>'Evaluation Plan'!L35</x:f>
        <x:v>direct name</x:v>
      </x:c>
      <x:c r="M35" s="34" t="str">
        <x:f>'Evaluation Plan'!M35</x:f>
        <x:v>airplane toy</x:v>
      </x:c>
      <x:c r="N35" s="34" t="n">
        <x:f>'Evaluation Plan'!N35</x:f>
        <x:v>4</x:v>
      </x:c>
      <x:c r="O35" s="34" t="n">
        <x:f>'Evaluation Plan'!O35</x:f>
        <x:v>1</x:v>
      </x:c>
      <x:c r="P35" s="34" t="str">
        <x:f>'Evaluation Plan'!P35</x:f>
        <x:v>Empty</x:v>
      </x:c>
      <x:c r="Q35" s="32" t="str">
        <x:f>'Evaluation Plan'!Q35</x:f>
        <x:v>Exact-scene direct-identity manipulation control</x:v>
      </x:c>
      <x:c r="R35" s="34" t="n">
        <x:f>'Evaluation Plan'!R35</x:f>
        <x:v>2</x:v>
      </x:c>
      <x:c r="S35" s="32" t="str">
        <x:f>'Evaluation Plan'!S35</x:f>
        <x:v>Reset the moved object exactly; preserve the scene; change only the instruction.</x:v>
      </x:c>
      <x:c r="T35" s="32" t="str">
        <x:f>'Evaluation Plan'!T35</x:f>
        <x:v>Controls recognition and manipulation of the same target without requiring referential reasoning.</x:v>
      </x:c>
      <x:c r="U35" s="32" t="n">
        <x:f>'Evaluation Plan'!U35</x:f>
        <x:v>0</x:v>
      </x:c>
    </x:row>
    <x:row r="36" ht="51" customHeight="1">
      <x:c r="A36" s="31" t="str">
        <x:v>Not collected</x:v>
      </x:c>
      <x:c r="B36" s="33" t="n">
        <x:f>'Evaluation Plan'!B36</x:f>
        <x:v>34</x:v>
      </x:c>
      <x:c r="C36" s="31" t="str">
        <x:f>'Evaluation Plan'!C36</x:f>
        <x:v>Place the airplane toy with the greatest distance from the crushed Coke can in the bowl.</x:v>
      </x:c>
      <x:c r="D36" s="31" t="str">
        <x:f>'Evaluation Plan'!D36</x:f>
        <x:v>Reference: crushed Coke can at table centre; airplane toy without propellers: 10 cm to robot-right of the reference; airplane toy with propellers: 24 cm to robot-left of the reference; green pen: at the far robot-left corner, outside the distance comparison; Bowl: empty</x:v>
      </x:c>
      <x:c r="E36" s="33" t="n">
        <x:f>'Evaluation Plan'!E36</x:f>
        <x:v>32</x:v>
      </x:c>
      <x:c r="F36" s="33" t="str">
        <x:f>'Evaluation Plan'!F36</x:f>
        <x:v>568</x:v>
      </x:c>
      <x:c r="G36" s="31" t="str">
        <x:f>'Evaluation Plan'!G36</x:f>
        <x:v>Exact canonical transfer scene and masked trajectory reference; only the instruction wording changes. This remains a separate language diagnostic.</x:v>
      </x:c>
      <x:c r="H36" s="31" t="str">
        <x:f>'Evaluation Plan'!H36</x:f>
        <x:v>airplane toy with propellers</x:v>
      </x:c>
      <x:c r="I36" s="31" t="str"/>
      <x:c r="J36" s="38" t="str">
        <x:f>'Evaluation Plan'!J36</x:f>
        <x:v>Language robustness</x:v>
      </x:c>
      <x:c r="K36" s="33" t="str">
        <x:f>'Evaluation Plan'!K36</x:f>
        <x:v>RD-CT04</x:v>
      </x:c>
      <x:c r="L36" s="33" t="str">
        <x:f>'Evaluation Plan'!L36</x:f>
        <x:v>furthest</x:v>
      </x:c>
      <x:c r="M36" s="33" t="str">
        <x:f>'Evaluation Plan'!M36</x:f>
        <x:v>airplane toy</x:v>
      </x:c>
      <x:c r="N36" s="33" t="n">
        <x:f>'Evaluation Plan'!N36</x:f>
        <x:v>4</x:v>
      </x:c>
      <x:c r="O36" s="33" t="n">
        <x:f>'Evaluation Plan'!O36</x:f>
        <x:v>1</x:v>
      </x:c>
      <x:c r="P36" s="33" t="str">
        <x:f>'Evaluation Plan'!P36</x:f>
        <x:v>Empty</x:v>
      </x:c>
      <x:c r="Q36" s="31" t="str">
        <x:f>'Evaluation Plan'!Q36</x:f>
        <x:v>Primary compositional-transfer prompt paraphrase</x:v>
      </x:c>
      <x:c r="R36" s="33" t="n">
        <x:f>'Evaluation Plan'!R36</x:f>
        <x:v>2</x:v>
      </x:c>
      <x:c r="S36" s="31" t="str">
        <x:f>'Evaluation Plan'!S36</x:f>
        <x:v>Reset the moved object exactly; preserve the scene; change only the wording.</x:v>
      </x:c>
      <x:c r="T36" s="31" t="str">
        <x:f>'Evaluation Plan'!T36</x:f>
        <x:v>One of 10 exact-scene paraphrases of canonical transfer trials.</x:v>
      </x:c>
      <x:c r="U36" s="31" t="n">
        <x:f>'Evaluation Plan'!U36</x:f>
        <x:v>0</x:v>
      </x:c>
    </x:row>
    <x:row r="37" ht="51" customHeight="1">
      <x:c r="A37" s="32" t="str">
        <x:v>Not collected</x:v>
      </x:c>
      <x:c r="B37" s="34" t="n">
        <x:f>'Evaluation Plan'!B37</x:f>
        <x:v>35</x:v>
      </x:c>
      <x:c r="C37" s="32" t="str">
        <x:f>'Evaluation Plan'!C37</x:f>
        <x:v>Transfer the airplane toy with propellers into the bowl.</x:v>
      </x:c>
      <x:c r="D37" s="32" t="str">
        <x:f>'Evaluation Plan'!D37</x:f>
        <x:v>Reference: crushed Coke can at table centre; airplane toy without propellers: 10 cm to robot-right of the reference; airplane toy with propellers: 24 cm to robot-left of the reference; green pen: at the far robot-left corner, outside the distance comparison; Bowl: empty</x:v>
      </x:c>
      <x:c r="E37" s="34" t="n">
        <x:f>'Evaluation Plan'!E37</x:f>
        <x:v>33</x:v>
      </x:c>
      <x:c r="F37" s="34" t="str">
        <x:f>'Evaluation Plan'!F37</x:f>
        <x:v>568</x:v>
      </x:c>
      <x:c r="G37" s="32" t="str">
        <x:f>'Evaluation Plan'!G37</x:f>
        <x:v>Exact matched-control scene and target; only the direct-name instruction wording changes.</x:v>
      </x:c>
      <x:c r="H37" s="32" t="str">
        <x:f>'Evaluation Plan'!H37</x:f>
        <x:v>airplane toy with propellers</x:v>
      </x:c>
      <x:c r="I37" s="32" t="str"/>
      <x:c r="J37" s="38" t="str">
        <x:f>'Evaluation Plan'!J37</x:f>
        <x:v>Language robustness</x:v>
      </x:c>
      <x:c r="K37" s="34" t="str">
        <x:f>'Evaluation Plan'!K37</x:f>
        <x:v>RD-CT04</x:v>
      </x:c>
      <x:c r="L37" s="34" t="str">
        <x:f>'Evaluation Plan'!L37</x:f>
        <x:v>direct-name paraphrase</x:v>
      </x:c>
      <x:c r="M37" s="34" t="str">
        <x:f>'Evaluation Plan'!M37</x:f>
        <x:v>airplane toy</x:v>
      </x:c>
      <x:c r="N37" s="34" t="n">
        <x:f>'Evaluation Plan'!N37</x:f>
        <x:v>4</x:v>
      </x:c>
      <x:c r="O37" s="34" t="n">
        <x:f>'Evaluation Plan'!O37</x:f>
        <x:v>1</x:v>
      </x:c>
      <x:c r="P37" s="34" t="str">
        <x:f>'Evaluation Plan'!P37</x:f>
        <x:v>Empty</x:v>
      </x:c>
      <x:c r="Q37" s="32" t="str">
        <x:f>'Evaluation Plan'!Q37</x:f>
        <x:v>Matched-control direct-name prompt paraphrase</x:v>
      </x:c>
      <x:c r="R37" s="34" t="n">
        <x:f>'Evaluation Plan'!R37</x:f>
        <x:v>2</x:v>
      </x:c>
      <x:c r="S37" s="32" t="str">
        <x:f>'Evaluation Plan'!S37</x:f>
        <x:v>Reset the moved object exactly; preserve the scene; change only the wording.</x:v>
      </x:c>
      <x:c r="T37" s="32" t="str">
        <x:f>'Evaluation Plan'!T37</x:f>
        <x:v>One of 10 exact-scene paraphrases of matched manipulation controls.</x:v>
      </x:c>
      <x:c r="U37" s="32" t="n">
        <x:f>'Evaluation Plan'!U37</x:f>
        <x:v>0</x:v>
      </x:c>
    </x:row>
    <x:row r="38" ht="51" customHeight="1">
      <x:c r="A38" s="41" t="str">
        <x:v>Not collected</x:v>
      </x:c>
      <x:c r="B38" s="42" t="n">
        <x:f>'Evaluation Plan'!B38</x:f>
        <x:v>36</x:v>
      </x:c>
      <x:c r="C38" s="41" t="str">
        <x:f>'Evaluation Plan'!C38</x:f>
        <x:v>Put the crushed soda can closest to the airplane toy with propellers in the bowl.</x:v>
      </x:c>
      <x:c r="D38" s="41" t="str">
        <x:f>'Evaluation Plan'!D38</x:f>
        <x:v>Reference: airplane toy with propellers at table centre; crushed Coke can: 10 cm to robot-right of the reference; crushed Pepsi can: 24 cm to robot-left of the reference; green pencil sharpener: at the far robot-left corner, outside the distance comparison; Bowl: empty</x:v>
      </x:c>
      <x:c r="E38" s="42" t="str">
        <x:f>'Evaluation Plan'!E38</x:f>
      </x:c>
      <x:c r="F38" s="42" t="str">
        <x:f>'Evaluation Plan'!F38</x:f>
        <x:v>402</x:v>
      </x:c>
      <x:c r="G38" s="41" t="str">
        <x:f>'Evaluation Plan'!G38</x:f>
        <x:v>Masked source trajectory: the target identity and physical manipulation are trained under a direct-name prompt, while this relation × candidate-category composition is intentionally absent.</x:v>
      </x:c>
      <x:c r="H38" s="41" t="str">
        <x:f>'Evaluation Plan'!H38</x:f>
        <x:v>crushed Coke can</x:v>
      </x:c>
      <x:c r="I38" s="41" t="str"/>
      <x:c r="J38" s="46" t="str">
        <x:f>'Evaluation Plan'!J38</x:f>
        <x:v>Concept/compositional transfer</x:v>
      </x:c>
      <x:c r="K38" s="42" t="str">
        <x:f>'Evaluation Plan'!K38</x:f>
        <x:v>RD-CT05</x:v>
      </x:c>
      <x:c r="L38" s="42" t="str">
        <x:f>'Evaluation Plan'!L38</x:f>
        <x:v>closest</x:v>
      </x:c>
      <x:c r="M38" s="42" t="str">
        <x:f>'Evaluation Plan'!M38</x:f>
        <x:v>crushed soda can</x:v>
      </x:c>
      <x:c r="N38" s="42" t="n">
        <x:f>'Evaluation Plan'!N38</x:f>
        <x:v>4</x:v>
      </x:c>
      <x:c r="O38" s="42" t="n">
        <x:f>'Evaluation Plan'!O38</x:f>
        <x:v>1</x:v>
      </x:c>
      <x:c r="P38" s="42" t="str">
        <x:f>'Evaluation Plan'!P38</x:f>
        <x:v>Empty</x:v>
      </x:c>
      <x:c r="Q38" s="41" t="str">
        <x:f>'Evaluation Plan'!Q38</x:f>
        <x:v>Primary held-out relation × candidate-category composition — Put</x:v>
      </x:c>
      <x:c r="R38" s="42" t="n">
        <x:f>'Evaluation Plan'!R38</x:f>
        <x:v>2</x:v>
      </x:c>
      <x:c r="S38" s="41" t="str">
        <x:f>'Evaluation Plan'!S38</x:f>
        <x:v>Build the listed relation scene with the bowl empty.</x:v>
      </x:c>
      <x:c r="T38" s="41" t="str">
        <x:f>'Evaluation Plan'!T38</x:f>
        <x:v>Both candidates are present. The held-out relation is the only information that identifies the target.</x:v>
      </x:c>
      <x:c r="U38" s="41" t="n">
        <x:f>'Evaluation Plan'!U38</x:f>
        <x:v>0</x:v>
      </x:c>
    </x:row>
    <x:row r="39" ht="51" customHeight="1">
      <x:c r="A39" s="32" t="str">
        <x:v>Not collected</x:v>
      </x:c>
      <x:c r="B39" s="34" t="n">
        <x:f>'Evaluation Plan'!B39</x:f>
        <x:v>37</x:v>
      </x:c>
      <x:c r="C39" s="32" t="str">
        <x:f>'Evaluation Plan'!C39</x:f>
        <x:v>Move the crushed Coke can into the bowl.</x:v>
      </x:c>
      <x:c r="D39" s="32" t="str">
        <x:f>'Evaluation Plan'!D39</x:f>
        <x:v>Reference: airplane toy with propellers at table centre; crushed Coke can: 10 cm to robot-right of the reference; crushed Pepsi can: 24 cm to robot-left of the reference; green pencil sharpener: at the far robot-left corner, outside the distance comparison; Bowl: empty</x:v>
      </x:c>
      <x:c r="E39" s="34" t="n">
        <x:f>'Evaluation Plan'!E39</x:f>
        <x:v>36</x:v>
      </x:c>
      <x:c r="F39" s="34" t="str">
        <x:f>'Evaluation Plan'!F39</x:f>
        <x:v>402</x:v>
      </x:c>
      <x:c r="G39" s="32" t="str">
        <x:f>'Evaluation Plan'!G39</x:f>
        <x:v>Exact masked-cell training prompt for the same target identity. The evaluation scene and physical endpoint are identical to the paired transfer row.</x:v>
      </x:c>
      <x:c r="H39" s="32" t="str">
        <x:f>'Evaluation Plan'!H39</x:f>
        <x:v>crushed Coke can</x:v>
      </x:c>
      <x:c r="I39" s="32" t="str"/>
      <x:c r="J39" s="37" t="str">
        <x:f>'Evaluation Plan'!J39</x:f>
        <x:v>Matched manipulation control</x:v>
      </x:c>
      <x:c r="K39" s="34" t="str">
        <x:f>'Evaluation Plan'!K39</x:f>
        <x:v>RD-CT05</x:v>
      </x:c>
      <x:c r="L39" s="34" t="str">
        <x:f>'Evaluation Plan'!L39</x:f>
        <x:v>direct name</x:v>
      </x:c>
      <x:c r="M39" s="34" t="str">
        <x:f>'Evaluation Plan'!M39</x:f>
        <x:v>crushed soda can</x:v>
      </x:c>
      <x:c r="N39" s="34" t="n">
        <x:f>'Evaluation Plan'!N39</x:f>
        <x:v>4</x:v>
      </x:c>
      <x:c r="O39" s="34" t="n">
        <x:f>'Evaluation Plan'!O39</x:f>
        <x:v>1</x:v>
      </x:c>
      <x:c r="P39" s="34" t="str">
        <x:f>'Evaluation Plan'!P39</x:f>
        <x:v>Empty</x:v>
      </x:c>
      <x:c r="Q39" s="32" t="str">
        <x:f>'Evaluation Plan'!Q39</x:f>
        <x:v>Exact-scene direct-identity manipulation control</x:v>
      </x:c>
      <x:c r="R39" s="34" t="n">
        <x:f>'Evaluation Plan'!R39</x:f>
        <x:v>2</x:v>
      </x:c>
      <x:c r="S39" s="32" t="str">
        <x:f>'Evaluation Plan'!S39</x:f>
        <x:v>Reset the moved object exactly; preserve the scene; change only the instruction.</x:v>
      </x:c>
      <x:c r="T39" s="32" t="str">
        <x:f>'Evaluation Plan'!T39</x:f>
        <x:v>Controls recognition and manipulation of the same target without requiring referential reasoning.</x:v>
      </x:c>
      <x:c r="U39" s="32" t="n">
        <x:f>'Evaluation Plan'!U39</x:f>
        <x:v>0</x:v>
      </x:c>
    </x:row>
    <x:row r="40" ht="51" customHeight="1">
      <x:c r="A40" s="31" t="str">
        <x:v>Not collected</x:v>
      </x:c>
      <x:c r="B40" s="33" t="n">
        <x:f>'Evaluation Plan'!B40</x:f>
        <x:v>38</x:v>
      </x:c>
      <x:c r="C40" s="31" t="str">
        <x:f>'Evaluation Plan'!C40</x:f>
        <x:v>Place the crushed soda can with the shortest distance to the airplane toy with propellers in the bowl.</x:v>
      </x:c>
      <x:c r="D40" s="31" t="str">
        <x:f>'Evaluation Plan'!D40</x:f>
        <x:v>Reference: airplane toy with propellers at table centre; crushed Coke can: 10 cm to robot-right of the reference; crushed Pepsi can: 24 cm to robot-left of the reference; green pencil sharpener: at the far robot-left corner, outside the distance comparison; Bowl: empty</x:v>
      </x:c>
      <x:c r="E40" s="33" t="n">
        <x:f>'Evaluation Plan'!E40</x:f>
        <x:v>36</x:v>
      </x:c>
      <x:c r="F40" s="33" t="str">
        <x:f>'Evaluation Plan'!F40</x:f>
        <x:v>402</x:v>
      </x:c>
      <x:c r="G40" s="31" t="str">
        <x:f>'Evaluation Plan'!G40</x:f>
        <x:v>Exact canonical transfer scene and masked trajectory reference; only the instruction wording changes. This remains a separate language diagnostic.</x:v>
      </x:c>
      <x:c r="H40" s="31" t="str">
        <x:f>'Evaluation Plan'!H40</x:f>
        <x:v>crushed Coke can</x:v>
      </x:c>
      <x:c r="I40" s="31" t="str"/>
      <x:c r="J40" s="38" t="str">
        <x:f>'Evaluation Plan'!J40</x:f>
        <x:v>Language robustness</x:v>
      </x:c>
      <x:c r="K40" s="33" t="str">
        <x:f>'Evaluation Plan'!K40</x:f>
        <x:v>RD-CT05</x:v>
      </x:c>
      <x:c r="L40" s="33" t="str">
        <x:f>'Evaluation Plan'!L40</x:f>
        <x:v>closest</x:v>
      </x:c>
      <x:c r="M40" s="33" t="str">
        <x:f>'Evaluation Plan'!M40</x:f>
        <x:v>crushed soda can</x:v>
      </x:c>
      <x:c r="N40" s="33" t="n">
        <x:f>'Evaluation Plan'!N40</x:f>
        <x:v>4</x:v>
      </x:c>
      <x:c r="O40" s="33" t="n">
        <x:f>'Evaluation Plan'!O40</x:f>
        <x:v>1</x:v>
      </x:c>
      <x:c r="P40" s="33" t="str">
        <x:f>'Evaluation Plan'!P40</x:f>
        <x:v>Empty</x:v>
      </x:c>
      <x:c r="Q40" s="31" t="str">
        <x:f>'Evaluation Plan'!Q40</x:f>
        <x:v>Primary compositional-transfer prompt paraphrase</x:v>
      </x:c>
      <x:c r="R40" s="33" t="n">
        <x:f>'Evaluation Plan'!R40</x:f>
        <x:v>2</x:v>
      </x:c>
      <x:c r="S40" s="31" t="str">
        <x:f>'Evaluation Plan'!S40</x:f>
        <x:v>Reset the moved object exactly; preserve the scene; change only the wording.</x:v>
      </x:c>
      <x:c r="T40" s="31" t="str">
        <x:f>'Evaluation Plan'!T40</x:f>
        <x:v>One of 10 exact-scene paraphrases of canonical transfer trials.</x:v>
      </x:c>
      <x:c r="U40" s="31" t="n">
        <x:f>'Evaluation Plan'!U40</x:f>
        <x:v>0</x:v>
      </x:c>
    </x:row>
    <x:row r="41" ht="51" customHeight="1">
      <x:c r="A41" s="32" t="str">
        <x:v>Not collected</x:v>
      </x:c>
      <x:c r="B41" s="34" t="n">
        <x:f>'Evaluation Plan'!B41</x:f>
        <x:v>39</x:v>
      </x:c>
      <x:c r="C41" s="32" t="str">
        <x:f>'Evaluation Plan'!C41</x:f>
        <x:v>Transfer the crushed Coke can into the bowl.</x:v>
      </x:c>
      <x:c r="D41" s="32" t="str">
        <x:f>'Evaluation Plan'!D41</x:f>
        <x:v>Reference: airplane toy with propellers at table centre; crushed Coke can: 10 cm to robot-right of the reference; crushed Pepsi can: 24 cm to robot-left of the reference; green pencil sharpener: at the far robot-left corner, outside the distance comparison; Bowl: empty</x:v>
      </x:c>
      <x:c r="E41" s="34" t="n">
        <x:f>'Evaluation Plan'!E41</x:f>
        <x:v>37</x:v>
      </x:c>
      <x:c r="F41" s="34" t="str">
        <x:f>'Evaluation Plan'!F41</x:f>
        <x:v>402</x:v>
      </x:c>
      <x:c r="G41" s="32" t="str">
        <x:f>'Evaluation Plan'!G41</x:f>
        <x:v>Exact matched-control scene and target; only the direct-name instruction wording changes.</x:v>
      </x:c>
      <x:c r="H41" s="32" t="str">
        <x:f>'Evaluation Plan'!H41</x:f>
        <x:v>crushed Coke can</x:v>
      </x:c>
      <x:c r="I41" s="32" t="str"/>
      <x:c r="J41" s="38" t="str">
        <x:f>'Evaluation Plan'!J41</x:f>
        <x:v>Language robustness</x:v>
      </x:c>
      <x:c r="K41" s="34" t="str">
        <x:f>'Evaluation Plan'!K41</x:f>
        <x:v>RD-CT05</x:v>
      </x:c>
      <x:c r="L41" s="34" t="str">
        <x:f>'Evaluation Plan'!L41</x:f>
        <x:v>direct-name paraphrase</x:v>
      </x:c>
      <x:c r="M41" s="34" t="str">
        <x:f>'Evaluation Plan'!M41</x:f>
        <x:v>crushed soda can</x:v>
      </x:c>
      <x:c r="N41" s="34" t="n">
        <x:f>'Evaluation Plan'!N41</x:f>
        <x:v>4</x:v>
      </x:c>
      <x:c r="O41" s="34" t="n">
        <x:f>'Evaluation Plan'!O41</x:f>
        <x:v>1</x:v>
      </x:c>
      <x:c r="P41" s="34" t="str">
        <x:f>'Evaluation Plan'!P41</x:f>
        <x:v>Empty</x:v>
      </x:c>
      <x:c r="Q41" s="32" t="str">
        <x:f>'Evaluation Plan'!Q41</x:f>
        <x:v>Matched-control direct-name prompt paraphrase</x:v>
      </x:c>
      <x:c r="R41" s="34" t="n">
        <x:f>'Evaluation Plan'!R41</x:f>
        <x:v>2</x:v>
      </x:c>
      <x:c r="S41" s="32" t="str">
        <x:f>'Evaluation Plan'!S41</x:f>
        <x:v>Reset the moved object exactly; preserve the scene; change only the wording.</x:v>
      </x:c>
      <x:c r="T41" s="32" t="str">
        <x:f>'Evaluation Plan'!T41</x:f>
        <x:v>One of 10 exact-scene paraphrases of matched manipulation controls.</x:v>
      </x:c>
      <x:c r="U41" s="32" t="n">
        <x:f>'Evaluation Plan'!U41</x:f>
        <x:v>0</x:v>
      </x:c>
    </x:row>
    <x:row r="42" ht="51" customHeight="1">
      <x:c r="A42" s="41" t="str">
        <x:v>Not collected</x:v>
      </x:c>
      <x:c r="B42" s="42" t="n">
        <x:f>'Evaluation Plan'!B42</x:f>
        <x:v>40</x:v>
      </x:c>
      <x:c r="C42" s="41" t="str">
        <x:f>'Evaluation Plan'!C42</x:f>
        <x:v>Put the pencil sharpener between the airplane toy with propellers and the yellow pen in the bowl.</x:v>
      </x:c>
      <x:c r="D42" s="41" t="str">
        <x:f>'Evaluation Plan'!D42</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2" s="42" t="str">
        <x:f>'Evaluation Plan'!E42</x:f>
      </x:c>
      <x:c r="F42" s="42" t="str">
        <x:f>'Evaluation Plan'!F42</x:f>
        <x:v>483</x:v>
      </x:c>
      <x:c r="G42" s="41" t="str">
        <x:f>'Evaluation Plan'!G42</x:f>
        <x:v>Masked source trajectory: the target identity and physical manipulation are trained under a direct-name prompt, while this relation × candidate-category composition is intentionally absent.</x:v>
      </x:c>
      <x:c r="H42" s="41" t="str">
        <x:f>'Evaluation Plan'!H42</x:f>
        <x:v>green pencil sharpener</x:v>
      </x:c>
      <x:c r="I42" s="41" t="str"/>
      <x:c r="J42" s="46" t="str">
        <x:f>'Evaluation Plan'!J42</x:f>
        <x:v>Concept/compositional transfer</x:v>
      </x:c>
      <x:c r="K42" s="42" t="str">
        <x:f>'Evaluation Plan'!K42</x:f>
        <x:v>RD-CT06</x:v>
      </x:c>
      <x:c r="L42" s="42" t="str">
        <x:f>'Evaluation Plan'!L42</x:f>
        <x:v>between</x:v>
      </x:c>
      <x:c r="M42" s="42" t="str">
        <x:f>'Evaluation Plan'!M42</x:f>
        <x:v>pencil sharpener</x:v>
      </x:c>
      <x:c r="N42" s="42" t="n">
        <x:f>'Evaluation Plan'!N42</x:f>
        <x:v>4</x:v>
      </x:c>
      <x:c r="O42" s="42" t="n">
        <x:f>'Evaluation Plan'!O42</x:f>
        <x:v>1</x:v>
      </x:c>
      <x:c r="P42" s="42" t="str">
        <x:f>'Evaluation Plan'!P42</x:f>
        <x:v>Empty</x:v>
      </x:c>
      <x:c r="Q42" s="41" t="str">
        <x:f>'Evaluation Plan'!Q42</x:f>
        <x:v>Primary held-out relation × candidate-category composition — Put</x:v>
      </x:c>
      <x:c r="R42" s="42" t="n">
        <x:f>'Evaluation Plan'!R42</x:f>
        <x:v>2</x:v>
      </x:c>
      <x:c r="S42" s="41" t="str">
        <x:f>'Evaluation Plan'!S42</x:f>
        <x:v>Build the listed relation scene with the bowl empty.</x:v>
      </x:c>
      <x:c r="T42" s="41" t="str">
        <x:f>'Evaluation Plan'!T42</x:f>
        <x:v>Both candidates are present. The held-out relation is the only information that identifies the target.</x:v>
      </x:c>
      <x:c r="U42" s="41" t="n">
        <x:f>'Evaluation Plan'!U42</x:f>
        <x:v>0</x:v>
      </x:c>
    </x:row>
    <x:row r="43" ht="51" customHeight="1">
      <x:c r="A43" s="32" t="str">
        <x:v>Not collected</x:v>
      </x:c>
      <x:c r="B43" s="34" t="n">
        <x:f>'Evaluation Plan'!B43</x:f>
        <x:v>41</x:v>
      </x:c>
      <x:c r="C43" s="32" t="str">
        <x:f>'Evaluation Plan'!C43</x:f>
        <x:v>Move the green pencil sharpener into the bowl.</x:v>
      </x:c>
      <x:c r="D43" s="32" t="str">
        <x:f>'Evaluation Plan'!D43</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3" s="34" t="n">
        <x:f>'Evaluation Plan'!E43</x:f>
        <x:v>40</x:v>
      </x:c>
      <x:c r="F43" s="34" t="str">
        <x:f>'Evaluation Plan'!F43</x:f>
        <x:v>483</x:v>
      </x:c>
      <x:c r="G43" s="32" t="str">
        <x:f>'Evaluation Plan'!G43</x:f>
        <x:v>Exact masked-cell training prompt for the same target identity. The evaluation scene and physical endpoint are identical to the paired transfer row.</x:v>
      </x:c>
      <x:c r="H43" s="32" t="str">
        <x:f>'Evaluation Plan'!H43</x:f>
        <x:v>green pencil sharpener</x:v>
      </x:c>
      <x:c r="I43" s="32" t="str"/>
      <x:c r="J43" s="37" t="str">
        <x:f>'Evaluation Plan'!J43</x:f>
        <x:v>Matched manipulation control</x:v>
      </x:c>
      <x:c r="K43" s="34" t="str">
        <x:f>'Evaluation Plan'!K43</x:f>
        <x:v>RD-CT06</x:v>
      </x:c>
      <x:c r="L43" s="34" t="str">
        <x:f>'Evaluation Plan'!L43</x:f>
        <x:v>direct name</x:v>
      </x:c>
      <x:c r="M43" s="34" t="str">
        <x:f>'Evaluation Plan'!M43</x:f>
        <x:v>pencil sharpener</x:v>
      </x:c>
      <x:c r="N43" s="34" t="n">
        <x:f>'Evaluation Plan'!N43</x:f>
        <x:v>4</x:v>
      </x:c>
      <x:c r="O43" s="34" t="n">
        <x:f>'Evaluation Plan'!O43</x:f>
        <x:v>1</x:v>
      </x:c>
      <x:c r="P43" s="34" t="str">
        <x:f>'Evaluation Plan'!P43</x:f>
        <x:v>Empty</x:v>
      </x:c>
      <x:c r="Q43" s="32" t="str">
        <x:f>'Evaluation Plan'!Q43</x:f>
        <x:v>Exact-scene direct-identity manipulation control</x:v>
      </x:c>
      <x:c r="R43" s="34" t="n">
        <x:f>'Evaluation Plan'!R43</x:f>
        <x:v>2</x:v>
      </x:c>
      <x:c r="S43" s="32" t="str">
        <x:f>'Evaluation Plan'!S43</x:f>
        <x:v>Reset the moved object exactly; preserve the scene; change only the instruction.</x:v>
      </x:c>
      <x:c r="T43" s="32" t="str">
        <x:f>'Evaluation Plan'!T43</x:f>
        <x:v>Controls recognition and manipulation of the same target without requiring referential reasoning.</x:v>
      </x:c>
      <x:c r="U43" s="32" t="n">
        <x:f>'Evaluation Plan'!U43</x:f>
        <x:v>0</x:v>
      </x:c>
    </x:row>
    <x:row r="44" ht="51" customHeight="1">
      <x:c r="A44" s="31" t="str">
        <x:v>Not collected</x:v>
      </x:c>
      <x:c r="B44" s="33" t="n">
        <x:f>'Evaluation Plan'!B44</x:f>
        <x:v>42</x:v>
      </x:c>
      <x:c r="C44" s="31" t="str">
        <x:f>'Evaluation Plan'!C44</x:f>
        <x:v>Place the pencil sharpener sitting between the airplane toy with propellers and the yellow pen in the bowl.</x:v>
      </x:c>
      <x:c r="D44" s="31" t="str">
        <x:f>'Evaluation Plan'!D44</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4" s="33" t="n">
        <x:f>'Evaluation Plan'!E44</x:f>
        <x:v>40</x:v>
      </x:c>
      <x:c r="F44" s="33" t="str">
        <x:f>'Evaluation Plan'!F44</x:f>
        <x:v>483</x:v>
      </x:c>
      <x:c r="G44" s="31" t="str">
        <x:f>'Evaluation Plan'!G44</x:f>
        <x:v>Exact canonical transfer scene and masked trajectory reference; only the instruction wording changes. This remains a separate language diagnostic.</x:v>
      </x:c>
      <x:c r="H44" s="31" t="str">
        <x:f>'Evaluation Plan'!H44</x:f>
        <x:v>green pencil sharpener</x:v>
      </x:c>
      <x:c r="I44" s="31" t="str"/>
      <x:c r="J44" s="38" t="str">
        <x:f>'Evaluation Plan'!J44</x:f>
        <x:v>Language robustness</x:v>
      </x:c>
      <x:c r="K44" s="33" t="str">
        <x:f>'Evaluation Plan'!K44</x:f>
        <x:v>RD-CT06</x:v>
      </x:c>
      <x:c r="L44" s="33" t="str">
        <x:f>'Evaluation Plan'!L44</x:f>
        <x:v>between</x:v>
      </x:c>
      <x:c r="M44" s="33" t="str">
        <x:f>'Evaluation Plan'!M44</x:f>
        <x:v>pencil sharpener</x:v>
      </x:c>
      <x:c r="N44" s="33" t="n">
        <x:f>'Evaluation Plan'!N44</x:f>
        <x:v>4</x:v>
      </x:c>
      <x:c r="O44" s="33" t="n">
        <x:f>'Evaluation Plan'!O44</x:f>
        <x:v>1</x:v>
      </x:c>
      <x:c r="P44" s="33" t="str">
        <x:f>'Evaluation Plan'!P44</x:f>
        <x:v>Empty</x:v>
      </x:c>
      <x:c r="Q44" s="31" t="str">
        <x:f>'Evaluation Plan'!Q44</x:f>
        <x:v>Primary compositional-transfer prompt paraphrase</x:v>
      </x:c>
      <x:c r="R44" s="33" t="n">
        <x:f>'Evaluation Plan'!R44</x:f>
        <x:v>2</x:v>
      </x:c>
      <x:c r="S44" s="31" t="str">
        <x:f>'Evaluation Plan'!S44</x:f>
        <x:v>Reset the moved object exactly; preserve the scene; change only the wording.</x:v>
      </x:c>
      <x:c r="T44" s="31" t="str">
        <x:f>'Evaluation Plan'!T44</x:f>
        <x:v>One of 10 exact-scene paraphrases of canonical transfer trials.</x:v>
      </x:c>
      <x:c r="U44" s="31" t="n">
        <x:f>'Evaluation Plan'!U44</x:f>
        <x:v>0</x:v>
      </x:c>
    </x:row>
    <x:row r="45" ht="51" customHeight="1">
      <x:c r="A45" s="32" t="str">
        <x:v>Not collected</x:v>
      </x:c>
      <x:c r="B45" s="34" t="n">
        <x:f>'Evaluation Plan'!B45</x:f>
        <x:v>43</x:v>
      </x:c>
      <x:c r="C45" s="32" t="str">
        <x:f>'Evaluation Plan'!C45</x:f>
        <x:v>Transfer the green pencil sharpener into the bowl.</x:v>
      </x:c>
      <x:c r="D45" s="32" t="str">
        <x:f>'Evaluation Plan'!D45</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5" s="34" t="n">
        <x:f>'Evaluation Plan'!E45</x:f>
        <x:v>41</x:v>
      </x:c>
      <x:c r="F45" s="34" t="str">
        <x:f>'Evaluation Plan'!F45</x:f>
        <x:v>483</x:v>
      </x:c>
      <x:c r="G45" s="32" t="str">
        <x:f>'Evaluation Plan'!G45</x:f>
        <x:v>Exact matched-control scene and target; only the direct-name instruction wording changes.</x:v>
      </x:c>
      <x:c r="H45" s="32" t="str">
        <x:f>'Evaluation Plan'!H45</x:f>
        <x:v>green pencil sharpener</x:v>
      </x:c>
      <x:c r="I45" s="32" t="str"/>
      <x:c r="J45" s="38" t="str">
        <x:f>'Evaluation Plan'!J45</x:f>
        <x:v>Language robustness</x:v>
      </x:c>
      <x:c r="K45" s="34" t="str">
        <x:f>'Evaluation Plan'!K45</x:f>
        <x:v>RD-CT06</x:v>
      </x:c>
      <x:c r="L45" s="34" t="str">
        <x:f>'Evaluation Plan'!L45</x:f>
        <x:v>direct-name paraphrase</x:v>
      </x:c>
      <x:c r="M45" s="34" t="str">
        <x:f>'Evaluation Plan'!M45</x:f>
        <x:v>pencil sharpener</x:v>
      </x:c>
      <x:c r="N45" s="34" t="n">
        <x:f>'Evaluation Plan'!N45</x:f>
        <x:v>4</x:v>
      </x:c>
      <x:c r="O45" s="34" t="n">
        <x:f>'Evaluation Plan'!O45</x:f>
        <x:v>1</x:v>
      </x:c>
      <x:c r="P45" s="34" t="str">
        <x:f>'Evaluation Plan'!P45</x:f>
        <x:v>Empty</x:v>
      </x:c>
      <x:c r="Q45" s="32" t="str">
        <x:f>'Evaluation Plan'!Q45</x:f>
        <x:v>Matched-control direct-name prompt paraphrase</x:v>
      </x:c>
      <x:c r="R45" s="34" t="n">
        <x:f>'Evaluation Plan'!R45</x:f>
        <x:v>2</x:v>
      </x:c>
      <x:c r="S45" s="32" t="str">
        <x:f>'Evaluation Plan'!S45</x:f>
        <x:v>Reset the moved object exactly; preserve the scene; change only the wording.</x:v>
      </x:c>
      <x:c r="T45" s="32" t="str">
        <x:f>'Evaluation Plan'!T45</x:f>
        <x:v>One of 10 exact-scene paraphrases of matched manipulation controls.</x:v>
      </x:c>
      <x:c r="U45" s="32" t="n">
        <x:f>'Evaluation Plan'!U45</x:f>
        <x:v>0</x:v>
      </x:c>
    </x:row>
    <x:row r="46" ht="51" customHeight="1">
      <x:c r="A46" s="41" t="str">
        <x:v>Not collected</x:v>
      </x:c>
      <x:c r="B46" s="42" t="n">
        <x:f>'Evaluation Plan'!B46</x:f>
        <x:v>44</x:v>
      </x:c>
      <x:c r="C46" s="41" t="str">
        <x:f>'Evaluation Plan'!C46</x:f>
        <x:v>Move the airplane toy furthest from the green pencil sharpener into the bowl.</x:v>
      </x:c>
      <x:c r="D46" s="41" t="str">
        <x:f>'Evaluation Plan'!D46</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6" s="42" t="str">
        <x:f>'Evaluation Plan'!E46</x:f>
      </x:c>
      <x:c r="F46" s="42" t="str">
        <x:f>'Evaluation Plan'!F46</x:f>
        <x:v>565</x:v>
      </x:c>
      <x:c r="G46" s="41" t="str">
        <x:f>'Evaluation Plan'!G46</x:f>
        <x:v>Masked source trajectory: the target identity and physical manipulation are trained under a direct-name prompt, while this relation × candidate-category composition is intentionally absent.</x:v>
      </x:c>
      <x:c r="H46" s="41" t="str">
        <x:f>'Evaluation Plan'!H46</x:f>
        <x:v>airplane toy without propellers</x:v>
      </x:c>
      <x:c r="I46" s="41" t="str"/>
      <x:c r="J46" s="46" t="str">
        <x:f>'Evaluation Plan'!J46</x:f>
        <x:v>Concept/compositional transfer</x:v>
      </x:c>
      <x:c r="K46" s="42" t="str">
        <x:f>'Evaluation Plan'!K46</x:f>
        <x:v>RD-CT07</x:v>
      </x:c>
      <x:c r="L46" s="42" t="str">
        <x:f>'Evaluation Plan'!L46</x:f>
        <x:v>furthest</x:v>
      </x:c>
      <x:c r="M46" s="42" t="str">
        <x:f>'Evaluation Plan'!M46</x:f>
        <x:v>airplane toy</x:v>
      </x:c>
      <x:c r="N46" s="42" t="n">
        <x:f>'Evaluation Plan'!N46</x:f>
        <x:v>4</x:v>
      </x:c>
      <x:c r="O46" s="42" t="n">
        <x:f>'Evaluation Plan'!O46</x:f>
        <x:v>1</x:v>
      </x:c>
      <x:c r="P46" s="42" t="str">
        <x:f>'Evaluation Plan'!P46</x:f>
        <x:v>Empty</x:v>
      </x:c>
      <x:c r="Q46" s="41" t="str">
        <x:f>'Evaluation Plan'!Q46</x:f>
        <x:v>Primary held-out relation × candidate-category composition — Move</x:v>
      </x:c>
      <x:c r="R46" s="42" t="n">
        <x:f>'Evaluation Plan'!R46</x:f>
        <x:v>2</x:v>
      </x:c>
      <x:c r="S46" s="41" t="str">
        <x:f>'Evaluation Plan'!S46</x:f>
        <x:v>Build the listed relation scene with the bowl empty.</x:v>
      </x:c>
      <x:c r="T46" s="41" t="str">
        <x:f>'Evaluation Plan'!T46</x:f>
        <x:v>Both candidates are present. The held-out relation is the only information that identifies the target.</x:v>
      </x:c>
      <x:c r="U46" s="41" t="n">
        <x:f>'Evaluation Plan'!U46</x:f>
        <x:v>0</x:v>
      </x:c>
    </x:row>
    <x:row r="47" ht="51" customHeight="1">
      <x:c r="A47" s="32" t="str">
        <x:v>Not collected</x:v>
      </x:c>
      <x:c r="B47" s="34" t="n">
        <x:f>'Evaluation Plan'!B47</x:f>
        <x:v>45</x:v>
      </x:c>
      <x:c r="C47" s="32" t="str">
        <x:f>'Evaluation Plan'!C47</x:f>
        <x:v>Pick up the airplane toy without propellers and place it in the bowl.</x:v>
      </x:c>
      <x:c r="D47" s="32" t="str">
        <x:f>'Evaluation Plan'!D47</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7" s="34" t="n">
        <x:f>'Evaluation Plan'!E47</x:f>
        <x:v>44</x:v>
      </x:c>
      <x:c r="F47" s="34" t="str">
        <x:f>'Evaluation Plan'!F47</x:f>
        <x:v>565</x:v>
      </x:c>
      <x:c r="G47" s="32" t="str">
        <x:f>'Evaluation Plan'!G47</x:f>
        <x:v>Exact masked-cell training prompt for the same target identity. The evaluation scene and physical endpoint are identical to the paired transfer row.</x:v>
      </x:c>
      <x:c r="H47" s="32" t="str">
        <x:f>'Evaluation Plan'!H47</x:f>
        <x:v>airplane toy without propellers</x:v>
      </x:c>
      <x:c r="I47" s="32" t="str"/>
      <x:c r="J47" s="37" t="str">
        <x:f>'Evaluation Plan'!J47</x:f>
        <x:v>Matched manipulation control</x:v>
      </x:c>
      <x:c r="K47" s="34" t="str">
        <x:f>'Evaluation Plan'!K47</x:f>
        <x:v>RD-CT07</x:v>
      </x:c>
      <x:c r="L47" s="34" t="str">
        <x:f>'Evaluation Plan'!L47</x:f>
        <x:v>direct name</x:v>
      </x:c>
      <x:c r="M47" s="34" t="str">
        <x:f>'Evaluation Plan'!M47</x:f>
        <x:v>airplane toy</x:v>
      </x:c>
      <x:c r="N47" s="34" t="n">
        <x:f>'Evaluation Plan'!N47</x:f>
        <x:v>4</x:v>
      </x:c>
      <x:c r="O47" s="34" t="n">
        <x:f>'Evaluation Plan'!O47</x:f>
        <x:v>1</x:v>
      </x:c>
      <x:c r="P47" s="34" t="str">
        <x:f>'Evaluation Plan'!P47</x:f>
        <x:v>Empty</x:v>
      </x:c>
      <x:c r="Q47" s="32" t="str">
        <x:f>'Evaluation Plan'!Q47</x:f>
        <x:v>Exact-scene direct-identity manipulation control</x:v>
      </x:c>
      <x:c r="R47" s="34" t="n">
        <x:f>'Evaluation Plan'!R47</x:f>
        <x:v>2</x:v>
      </x:c>
      <x:c r="S47" s="32" t="str">
        <x:f>'Evaluation Plan'!S47</x:f>
        <x:v>Reset the moved object exactly; preserve the scene; change only the instruction.</x:v>
      </x:c>
      <x:c r="T47" s="32" t="str">
        <x:f>'Evaluation Plan'!T47</x:f>
        <x:v>Controls recognition and manipulation of the same target without requiring referential reasoning.</x:v>
      </x:c>
      <x:c r="U47" s="32" t="n">
        <x:f>'Evaluation Plan'!U47</x:f>
        <x:v>0</x:v>
      </x:c>
    </x:row>
    <x:row r="48" ht="51" customHeight="1">
      <x:c r="A48" s="31" t="str">
        <x:v>Not collected</x:v>
      </x:c>
      <x:c r="B48" s="33" t="n">
        <x:f>'Evaluation Plan'!B48</x:f>
        <x:v>46</x:v>
      </x:c>
      <x:c r="C48" s="31" t="str">
        <x:f>'Evaluation Plan'!C48</x:f>
        <x:v>Move whichever airplane toy is most distant from the green pencil sharpener into the bowl.</x:v>
      </x:c>
      <x:c r="D48" s="31" t="str">
        <x:f>'Evaluation Plan'!D48</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8" s="33" t="n">
        <x:f>'Evaluation Plan'!E48</x:f>
        <x:v>44</x:v>
      </x:c>
      <x:c r="F48" s="33" t="str">
        <x:f>'Evaluation Plan'!F48</x:f>
        <x:v>565</x:v>
      </x:c>
      <x:c r="G48" s="31" t="str">
        <x:f>'Evaluation Plan'!G48</x:f>
        <x:v>Exact canonical transfer scene and masked trajectory reference; only the instruction wording changes. This remains a separate language diagnostic.</x:v>
      </x:c>
      <x:c r="H48" s="31" t="str">
        <x:f>'Evaluation Plan'!H48</x:f>
        <x:v>airplane toy without propellers</x:v>
      </x:c>
      <x:c r="I48" s="31" t="str"/>
      <x:c r="J48" s="38" t="str">
        <x:f>'Evaluation Plan'!J48</x:f>
        <x:v>Language robustness</x:v>
      </x:c>
      <x:c r="K48" s="33" t="str">
        <x:f>'Evaluation Plan'!K48</x:f>
        <x:v>RD-CT07</x:v>
      </x:c>
      <x:c r="L48" s="33" t="str">
        <x:f>'Evaluation Plan'!L48</x:f>
        <x:v>furthest</x:v>
      </x:c>
      <x:c r="M48" s="33" t="str">
        <x:f>'Evaluation Plan'!M48</x:f>
        <x:v>airplane toy</x:v>
      </x:c>
      <x:c r="N48" s="33" t="n">
        <x:f>'Evaluation Plan'!N48</x:f>
        <x:v>4</x:v>
      </x:c>
      <x:c r="O48" s="33" t="n">
        <x:f>'Evaluation Plan'!O48</x:f>
        <x:v>1</x:v>
      </x:c>
      <x:c r="P48" s="33" t="str">
        <x:f>'Evaluation Plan'!P48</x:f>
        <x:v>Empty</x:v>
      </x:c>
      <x:c r="Q48" s="31" t="str">
        <x:f>'Evaluation Plan'!Q48</x:f>
        <x:v>Primary compositional-transfer prompt paraphrase</x:v>
      </x:c>
      <x:c r="R48" s="33" t="n">
        <x:f>'Evaluation Plan'!R48</x:f>
        <x:v>2</x:v>
      </x:c>
      <x:c r="S48" s="31" t="str">
        <x:f>'Evaluation Plan'!S48</x:f>
        <x:v>Reset the moved object exactly; preserve the scene; change only the wording.</x:v>
      </x:c>
      <x:c r="T48" s="31" t="str">
        <x:f>'Evaluation Plan'!T48</x:f>
        <x:v>One of 10 exact-scene paraphrases of canonical transfer trials.</x:v>
      </x:c>
      <x:c r="U48" s="31" t="n">
        <x:f>'Evaluation Plan'!U48</x:f>
        <x:v>0</x:v>
      </x:c>
    </x:row>
    <x:row r="49" ht="51" customHeight="1">
      <x:c r="A49" s="32" t="str">
        <x:v>Not collected</x:v>
      </x:c>
      <x:c r="B49" s="34" t="n">
        <x:f>'Evaluation Plan'!B49</x:f>
        <x:v>47</x:v>
      </x:c>
      <x:c r="C49" s="32" t="str">
        <x:f>'Evaluation Plan'!C49</x:f>
        <x:v>Set the airplane toy without propellers inside the bowl.</x:v>
      </x:c>
      <x:c r="D49" s="32" t="str">
        <x:f>'Evaluation Plan'!D49</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9" s="34" t="n">
        <x:f>'Evaluation Plan'!E49</x:f>
        <x:v>45</x:v>
      </x:c>
      <x:c r="F49" s="34" t="str">
        <x:f>'Evaluation Plan'!F49</x:f>
        <x:v>565</x:v>
      </x:c>
      <x:c r="G49" s="32" t="str">
        <x:f>'Evaluation Plan'!G49</x:f>
        <x:v>Exact matched-control scene and target; only the direct-name instruction wording changes.</x:v>
      </x:c>
      <x:c r="H49" s="32" t="str">
        <x:f>'Evaluation Plan'!H49</x:f>
        <x:v>airplane toy without propellers</x:v>
      </x:c>
      <x:c r="I49" s="32" t="str"/>
      <x:c r="J49" s="38" t="str">
        <x:f>'Evaluation Plan'!J49</x:f>
        <x:v>Language robustness</x:v>
      </x:c>
      <x:c r="K49" s="34" t="str">
        <x:f>'Evaluation Plan'!K49</x:f>
        <x:v>RD-CT07</x:v>
      </x:c>
      <x:c r="L49" s="34" t="str">
        <x:f>'Evaluation Plan'!L49</x:f>
        <x:v>direct-name paraphrase</x:v>
      </x:c>
      <x:c r="M49" s="34" t="str">
        <x:f>'Evaluation Plan'!M49</x:f>
        <x:v>airplane toy</x:v>
      </x:c>
      <x:c r="N49" s="34" t="n">
        <x:f>'Evaluation Plan'!N49</x:f>
        <x:v>4</x:v>
      </x:c>
      <x:c r="O49" s="34" t="n">
        <x:f>'Evaluation Plan'!O49</x:f>
        <x:v>1</x:v>
      </x:c>
      <x:c r="P49" s="34" t="str">
        <x:f>'Evaluation Plan'!P49</x:f>
        <x:v>Empty</x:v>
      </x:c>
      <x:c r="Q49" s="32" t="str">
        <x:f>'Evaluation Plan'!Q49</x:f>
        <x:v>Matched-control direct-name prompt paraphrase</x:v>
      </x:c>
      <x:c r="R49" s="34" t="n">
        <x:f>'Evaluation Plan'!R49</x:f>
        <x:v>2</x:v>
      </x:c>
      <x:c r="S49" s="32" t="str">
        <x:f>'Evaluation Plan'!S49</x:f>
        <x:v>Reset the moved object exactly; preserve the scene; change only the wording.</x:v>
      </x:c>
      <x:c r="T49" s="32" t="str">
        <x:f>'Evaluation Plan'!T49</x:f>
        <x:v>One of 10 exact-scene paraphrases of matched manipulation controls.</x:v>
      </x:c>
      <x:c r="U49" s="32" t="n">
        <x:f>'Evaluation Plan'!U49</x:f>
        <x:v>0</x:v>
      </x:c>
    </x:row>
    <x:row r="50" ht="51" customHeight="1">
      <x:c r="A50" s="41" t="str">
        <x:v>Not collected</x:v>
      </x:c>
      <x:c r="B50" s="42" t="n">
        <x:f>'Evaluation Plan'!B50</x:f>
        <x:v>48</x:v>
      </x:c>
      <x:c r="C50" s="41" t="str">
        <x:f>'Evaluation Plan'!C50</x:f>
        <x:v>Move the crushed soda can closest to the green pencil sharpener into the bowl.</x:v>
      </x:c>
      <x:c r="D50" s="41" t="str">
        <x:f>'Evaluation Plan'!D50</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0" s="42" t="str">
        <x:f>'Evaluation Plan'!E50</x:f>
      </x:c>
      <x:c r="F50" s="42" t="str">
        <x:f>'Evaluation Plan'!F50</x:f>
        <x:v>401</x:v>
      </x:c>
      <x:c r="G50" s="41" t="str">
        <x:f>'Evaluation Plan'!G50</x:f>
        <x:v>Masked source trajectory: the target identity and physical manipulation are trained under a direct-name prompt, while this relation × candidate-category composition is intentionally absent.</x:v>
      </x:c>
      <x:c r="H50" s="41" t="str">
        <x:f>'Evaluation Plan'!H50</x:f>
        <x:v>crushed Pepsi can</x:v>
      </x:c>
      <x:c r="I50" s="41" t="str"/>
      <x:c r="J50" s="46" t="str">
        <x:f>'Evaluation Plan'!J50</x:f>
        <x:v>Concept/compositional transfer</x:v>
      </x:c>
      <x:c r="K50" s="42" t="str">
        <x:f>'Evaluation Plan'!K50</x:f>
        <x:v>RD-CT08</x:v>
      </x:c>
      <x:c r="L50" s="42" t="str">
        <x:f>'Evaluation Plan'!L50</x:f>
        <x:v>closest</x:v>
      </x:c>
      <x:c r="M50" s="42" t="str">
        <x:f>'Evaluation Plan'!M50</x:f>
        <x:v>crushed soda can</x:v>
      </x:c>
      <x:c r="N50" s="42" t="n">
        <x:f>'Evaluation Plan'!N50</x:f>
        <x:v>4</x:v>
      </x:c>
      <x:c r="O50" s="42" t="n">
        <x:f>'Evaluation Plan'!O50</x:f>
        <x:v>1</x:v>
      </x:c>
      <x:c r="P50" s="42" t="str">
        <x:f>'Evaluation Plan'!P50</x:f>
        <x:v>Empty</x:v>
      </x:c>
      <x:c r="Q50" s="41" t="str">
        <x:f>'Evaluation Plan'!Q50</x:f>
        <x:v>Primary held-out relation × candidate-category composition — Move</x:v>
      </x:c>
      <x:c r="R50" s="42" t="n">
        <x:f>'Evaluation Plan'!R50</x:f>
        <x:v>2</x:v>
      </x:c>
      <x:c r="S50" s="41" t="str">
        <x:f>'Evaluation Plan'!S50</x:f>
        <x:v>Build the listed relation scene with the bowl empty.</x:v>
      </x:c>
      <x:c r="T50" s="41" t="str">
        <x:f>'Evaluation Plan'!T50</x:f>
        <x:v>Both candidates are present. The held-out relation is the only information that identifies the target.</x:v>
      </x:c>
      <x:c r="U50" s="41" t="n">
        <x:f>'Evaluation Plan'!U50</x:f>
        <x:v>0</x:v>
      </x:c>
    </x:row>
    <x:row r="51" ht="51" customHeight="1">
      <x:c r="A51" s="32" t="str">
        <x:v>Not collected</x:v>
      </x:c>
      <x:c r="B51" s="34" t="n">
        <x:f>'Evaluation Plan'!B51</x:f>
        <x:v>49</x:v>
      </x:c>
      <x:c r="C51" s="32" t="str">
        <x:f>'Evaluation Plan'!C51</x:f>
        <x:v>Pick up the crushed Pepsi can and place it in the bowl.</x:v>
      </x:c>
      <x:c r="D51" s="32" t="str">
        <x:f>'Evaluation Plan'!D51</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1" s="34" t="n">
        <x:f>'Evaluation Plan'!E51</x:f>
        <x:v>48</x:v>
      </x:c>
      <x:c r="F51" s="34" t="str">
        <x:f>'Evaluation Plan'!F51</x:f>
        <x:v>401</x:v>
      </x:c>
      <x:c r="G51" s="32" t="str">
        <x:f>'Evaluation Plan'!G51</x:f>
        <x:v>Exact masked-cell training prompt for the same target identity. The evaluation scene and physical endpoint are identical to the paired transfer row.</x:v>
      </x:c>
      <x:c r="H51" s="32" t="str">
        <x:f>'Evaluation Plan'!H51</x:f>
        <x:v>crushed Pepsi can</x:v>
      </x:c>
      <x:c r="I51" s="32" t="str"/>
      <x:c r="J51" s="37" t="str">
        <x:f>'Evaluation Plan'!J51</x:f>
        <x:v>Matched manipulation control</x:v>
      </x:c>
      <x:c r="K51" s="34" t="str">
        <x:f>'Evaluation Plan'!K51</x:f>
        <x:v>RD-CT08</x:v>
      </x:c>
      <x:c r="L51" s="34" t="str">
        <x:f>'Evaluation Plan'!L51</x:f>
        <x:v>direct name</x:v>
      </x:c>
      <x:c r="M51" s="34" t="str">
        <x:f>'Evaluation Plan'!M51</x:f>
        <x:v>crushed soda can</x:v>
      </x:c>
      <x:c r="N51" s="34" t="n">
        <x:f>'Evaluation Plan'!N51</x:f>
        <x:v>4</x:v>
      </x:c>
      <x:c r="O51" s="34" t="n">
        <x:f>'Evaluation Plan'!O51</x:f>
        <x:v>1</x:v>
      </x:c>
      <x:c r="P51" s="34" t="str">
        <x:f>'Evaluation Plan'!P51</x:f>
        <x:v>Empty</x:v>
      </x:c>
      <x:c r="Q51" s="32" t="str">
        <x:f>'Evaluation Plan'!Q51</x:f>
        <x:v>Exact-scene direct-identity manipulation control</x:v>
      </x:c>
      <x:c r="R51" s="34" t="n">
        <x:f>'Evaluation Plan'!R51</x:f>
        <x:v>2</x:v>
      </x:c>
      <x:c r="S51" s="32" t="str">
        <x:f>'Evaluation Plan'!S51</x:f>
        <x:v>Reset the moved object exactly; preserve the scene; change only the instruction.</x:v>
      </x:c>
      <x:c r="T51" s="32" t="str">
        <x:f>'Evaluation Plan'!T51</x:f>
        <x:v>Controls recognition and manipulation of the same target without requiring referential reasoning.</x:v>
      </x:c>
      <x:c r="U51" s="32" t="n">
        <x:f>'Evaluation Plan'!U51</x:f>
        <x:v>0</x:v>
      </x:c>
    </x:row>
    <x:row r="52" ht="51" customHeight="1">
      <x:c r="A52" s="31" t="str">
        <x:v>Not collected</x:v>
      </x:c>
      <x:c r="B52" s="33" t="n">
        <x:f>'Evaluation Plan'!B52</x:f>
        <x:v>50</x:v>
      </x:c>
      <x:c r="C52" s="31" t="str">
        <x:f>'Evaluation Plan'!C52</x:f>
        <x:v>Move whichever crushed soda can is nearer to the green pencil sharpener into the bowl.</x:v>
      </x:c>
      <x:c r="D52" s="31" t="str">
        <x:f>'Evaluation Plan'!D52</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2" s="33" t="n">
        <x:f>'Evaluation Plan'!E52</x:f>
        <x:v>48</x:v>
      </x:c>
      <x:c r="F52" s="33" t="str">
        <x:f>'Evaluation Plan'!F52</x:f>
        <x:v>401</x:v>
      </x:c>
      <x:c r="G52" s="31" t="str">
        <x:f>'Evaluation Plan'!G52</x:f>
        <x:v>Exact canonical transfer scene and masked trajectory reference; only the instruction wording changes. This remains a separate language diagnostic.</x:v>
      </x:c>
      <x:c r="H52" s="31" t="str">
        <x:f>'Evaluation Plan'!H52</x:f>
        <x:v>crushed Pepsi can</x:v>
      </x:c>
      <x:c r="I52" s="31" t="str"/>
      <x:c r="J52" s="38" t="str">
        <x:f>'Evaluation Plan'!J52</x:f>
        <x:v>Language robustness</x:v>
      </x:c>
      <x:c r="K52" s="33" t="str">
        <x:f>'Evaluation Plan'!K52</x:f>
        <x:v>RD-CT08</x:v>
      </x:c>
      <x:c r="L52" s="33" t="str">
        <x:f>'Evaluation Plan'!L52</x:f>
        <x:v>closest</x:v>
      </x:c>
      <x:c r="M52" s="33" t="str">
        <x:f>'Evaluation Plan'!M52</x:f>
        <x:v>crushed soda can</x:v>
      </x:c>
      <x:c r="N52" s="33" t="n">
        <x:f>'Evaluation Plan'!N52</x:f>
        <x:v>4</x:v>
      </x:c>
      <x:c r="O52" s="33" t="n">
        <x:f>'Evaluation Plan'!O52</x:f>
        <x:v>1</x:v>
      </x:c>
      <x:c r="P52" s="33" t="str">
        <x:f>'Evaluation Plan'!P52</x:f>
        <x:v>Empty</x:v>
      </x:c>
      <x:c r="Q52" s="31" t="str">
        <x:f>'Evaluation Plan'!Q52</x:f>
        <x:v>Primary compositional-transfer prompt paraphrase</x:v>
      </x:c>
      <x:c r="R52" s="33" t="n">
        <x:f>'Evaluation Plan'!R52</x:f>
        <x:v>2</x:v>
      </x:c>
      <x:c r="S52" s="31" t="str">
        <x:f>'Evaluation Plan'!S52</x:f>
        <x:v>Reset the moved object exactly; preserve the scene; change only the wording.</x:v>
      </x:c>
      <x:c r="T52" s="31" t="str">
        <x:f>'Evaluation Plan'!T52</x:f>
        <x:v>One of 10 exact-scene paraphrases of canonical transfer trials.</x:v>
      </x:c>
      <x:c r="U52" s="31" t="n">
        <x:f>'Evaluation Plan'!U52</x:f>
        <x:v>0</x:v>
      </x:c>
    </x:row>
    <x:row r="53" ht="51" customHeight="1">
      <x:c r="A53" s="32" t="str">
        <x:v>Not collected</x:v>
      </x:c>
      <x:c r="B53" s="34" t="n">
        <x:f>'Evaluation Plan'!B53</x:f>
        <x:v>51</x:v>
      </x:c>
      <x:c r="C53" s="32" t="str">
        <x:f>'Evaluation Plan'!C53</x:f>
        <x:v>Set the crushed Pepsi can inside the bowl.</x:v>
      </x:c>
      <x:c r="D53" s="32" t="str">
        <x:f>'Evaluation Plan'!D53</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3" s="34" t="n">
        <x:f>'Evaluation Plan'!E53</x:f>
        <x:v>49</x:v>
      </x:c>
      <x:c r="F53" s="34" t="str">
        <x:f>'Evaluation Plan'!F53</x:f>
        <x:v>401</x:v>
      </x:c>
      <x:c r="G53" s="32" t="str">
        <x:f>'Evaluation Plan'!G53</x:f>
        <x:v>Exact matched-control scene and target; only the direct-name instruction wording changes.</x:v>
      </x:c>
      <x:c r="H53" s="32" t="str">
        <x:f>'Evaluation Plan'!H53</x:f>
        <x:v>crushed Pepsi can</x:v>
      </x:c>
      <x:c r="I53" s="32" t="str"/>
      <x:c r="J53" s="38" t="str">
        <x:f>'Evaluation Plan'!J53</x:f>
        <x:v>Language robustness</x:v>
      </x:c>
      <x:c r="K53" s="34" t="str">
        <x:f>'Evaluation Plan'!K53</x:f>
        <x:v>RD-CT08</x:v>
      </x:c>
      <x:c r="L53" s="34" t="str">
        <x:f>'Evaluation Plan'!L53</x:f>
        <x:v>direct-name paraphrase</x:v>
      </x:c>
      <x:c r="M53" s="34" t="str">
        <x:f>'Evaluation Plan'!M53</x:f>
        <x:v>crushed soda can</x:v>
      </x:c>
      <x:c r="N53" s="34" t="n">
        <x:f>'Evaluation Plan'!N53</x:f>
        <x:v>4</x:v>
      </x:c>
      <x:c r="O53" s="34" t="n">
        <x:f>'Evaluation Plan'!O53</x:f>
        <x:v>1</x:v>
      </x:c>
      <x:c r="P53" s="34" t="str">
        <x:f>'Evaluation Plan'!P53</x:f>
        <x:v>Empty</x:v>
      </x:c>
      <x:c r="Q53" s="32" t="str">
        <x:f>'Evaluation Plan'!Q53</x:f>
        <x:v>Matched-control direct-name prompt paraphrase</x:v>
      </x:c>
      <x:c r="R53" s="34" t="n">
        <x:f>'Evaluation Plan'!R53</x:f>
        <x:v>2</x:v>
      </x:c>
      <x:c r="S53" s="32" t="str">
        <x:f>'Evaluation Plan'!S53</x:f>
        <x:v>Reset the moved object exactly; preserve the scene; change only the wording.</x:v>
      </x:c>
      <x:c r="T53" s="32" t="str">
        <x:f>'Evaluation Plan'!T53</x:f>
        <x:v>One of 10 exact-scene paraphrases of matched manipulation controls.</x:v>
      </x:c>
      <x:c r="U53" s="32" t="n">
        <x:f>'Evaluation Plan'!U53</x:f>
        <x:v>0</x:v>
      </x:c>
    </x:row>
    <x:row r="54" ht="51" customHeight="1">
      <x:c r="A54" s="41" t="str">
        <x:v>Not collected</x:v>
      </x:c>
      <x:c r="B54" s="42" t="n">
        <x:f>'Evaluation Plan'!B54</x:f>
        <x:v>52</x:v>
      </x:c>
      <x:c r="C54" s="41" t="str">
        <x:f>'Evaluation Plan'!C54</x:f>
        <x:v>Move the pencil sharpener between the crushed Pepsi can and the airplane toy without propellers into the bowl.</x:v>
      </x:c>
      <x:c r="D54" s="41" t="str">
        <x:f>'Evaluation Plan'!D54</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4" s="42" t="str">
        <x:f>'Evaluation Plan'!E54</x:f>
      </x:c>
      <x:c r="F54" s="42" t="str">
        <x:f>'Evaluation Plan'!F54</x:f>
        <x:v>480</x:v>
      </x:c>
      <x:c r="G54" s="41" t="str">
        <x:f>'Evaluation Plan'!G54</x:f>
        <x:v>Masked source trajectory: the target identity and physical manipulation are trained under a direct-name prompt, while this relation × candidate-category composition is intentionally absent.</x:v>
      </x:c>
      <x:c r="H54" s="41" t="str">
        <x:f>'Evaluation Plan'!H54</x:f>
        <x:v>red pencil sharpener</x:v>
      </x:c>
      <x:c r="I54" s="41" t="str"/>
      <x:c r="J54" s="46" t="str">
        <x:f>'Evaluation Plan'!J54</x:f>
        <x:v>Concept/compositional transfer</x:v>
      </x:c>
      <x:c r="K54" s="42" t="str">
        <x:f>'Evaluation Plan'!K54</x:f>
        <x:v>RD-CT09</x:v>
      </x:c>
      <x:c r="L54" s="42" t="str">
        <x:f>'Evaluation Plan'!L54</x:f>
        <x:v>between</x:v>
      </x:c>
      <x:c r="M54" s="42" t="str">
        <x:f>'Evaluation Plan'!M54</x:f>
        <x:v>pencil sharpener</x:v>
      </x:c>
      <x:c r="N54" s="42" t="n">
        <x:f>'Evaluation Plan'!N54</x:f>
        <x:v>4</x:v>
      </x:c>
      <x:c r="O54" s="42" t="n">
        <x:f>'Evaluation Plan'!O54</x:f>
        <x:v>1</x:v>
      </x:c>
      <x:c r="P54" s="42" t="str">
        <x:f>'Evaluation Plan'!P54</x:f>
        <x:v>Empty</x:v>
      </x:c>
      <x:c r="Q54" s="41" t="str">
        <x:f>'Evaluation Plan'!Q54</x:f>
        <x:v>Primary held-out relation × candidate-category composition — Move</x:v>
      </x:c>
      <x:c r="R54" s="42" t="n">
        <x:f>'Evaluation Plan'!R54</x:f>
        <x:v>2</x:v>
      </x:c>
      <x:c r="S54" s="41" t="str">
        <x:f>'Evaluation Plan'!S54</x:f>
        <x:v>Build the listed relation scene with the bowl empty.</x:v>
      </x:c>
      <x:c r="T54" s="41" t="str">
        <x:f>'Evaluation Plan'!T54</x:f>
        <x:v>Both candidates are present. The held-out relation is the only information that identifies the target.</x:v>
      </x:c>
      <x:c r="U54" s="41" t="n">
        <x:f>'Evaluation Plan'!U54</x:f>
        <x:v>0</x:v>
      </x:c>
    </x:row>
    <x:row r="55" ht="51" customHeight="1">
      <x:c r="A55" s="32" t="str">
        <x:v>Not collected</x:v>
      </x:c>
      <x:c r="B55" s="34" t="n">
        <x:f>'Evaluation Plan'!B55</x:f>
        <x:v>53</x:v>
      </x:c>
      <x:c r="C55" s="32" t="str">
        <x:f>'Evaluation Plan'!C55</x:f>
        <x:v>Move the red pencil sharpener into the bowl.</x:v>
      </x:c>
      <x:c r="D55" s="32" t="str">
        <x:f>'Evaluation Plan'!D55</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5" s="34" t="n">
        <x:f>'Evaluation Plan'!E55</x:f>
        <x:v>52</x:v>
      </x:c>
      <x:c r="F55" s="34" t="str">
        <x:f>'Evaluation Plan'!F55</x:f>
        <x:v>480</x:v>
      </x:c>
      <x:c r="G55" s="32" t="str">
        <x:f>'Evaluation Plan'!G55</x:f>
        <x:v>Exact masked-cell training prompt for the same target identity. The evaluation scene and physical endpoint are identical to the paired transfer row.</x:v>
      </x:c>
      <x:c r="H55" s="32" t="str">
        <x:f>'Evaluation Plan'!H55</x:f>
        <x:v>red pencil sharpener</x:v>
      </x:c>
      <x:c r="I55" s="32" t="str"/>
      <x:c r="J55" s="37" t="str">
        <x:f>'Evaluation Plan'!J55</x:f>
        <x:v>Matched manipulation control</x:v>
      </x:c>
      <x:c r="K55" s="34" t="str">
        <x:f>'Evaluation Plan'!K55</x:f>
        <x:v>RD-CT09</x:v>
      </x:c>
      <x:c r="L55" s="34" t="str">
        <x:f>'Evaluation Plan'!L55</x:f>
        <x:v>direct name</x:v>
      </x:c>
      <x:c r="M55" s="34" t="str">
        <x:f>'Evaluation Plan'!M55</x:f>
        <x:v>pencil sharpener</x:v>
      </x:c>
      <x:c r="N55" s="34" t="n">
        <x:f>'Evaluation Plan'!N55</x:f>
        <x:v>4</x:v>
      </x:c>
      <x:c r="O55" s="34" t="n">
        <x:f>'Evaluation Plan'!O55</x:f>
        <x:v>1</x:v>
      </x:c>
      <x:c r="P55" s="34" t="str">
        <x:f>'Evaluation Plan'!P55</x:f>
        <x:v>Empty</x:v>
      </x:c>
      <x:c r="Q55" s="32" t="str">
        <x:f>'Evaluation Plan'!Q55</x:f>
        <x:v>Exact-scene direct-identity manipulation control</x:v>
      </x:c>
      <x:c r="R55" s="34" t="n">
        <x:f>'Evaluation Plan'!R55</x:f>
        <x:v>2</x:v>
      </x:c>
      <x:c r="S55" s="32" t="str">
        <x:f>'Evaluation Plan'!S55</x:f>
        <x:v>Reset the moved object exactly; preserve the scene; change only the instruction.</x:v>
      </x:c>
      <x:c r="T55" s="32" t="str">
        <x:f>'Evaluation Plan'!T55</x:f>
        <x:v>Controls recognition and manipulation of the same target without requiring referential reasoning.</x:v>
      </x:c>
      <x:c r="U55" s="32" t="n">
        <x:f>'Evaluation Plan'!U55</x:f>
        <x:v>0</x:v>
      </x:c>
    </x:row>
    <x:row r="56" ht="51" customHeight="1">
      <x:c r="A56" s="31" t="str">
        <x:v>Not collected</x:v>
      </x:c>
      <x:c r="B56" s="33" t="n">
        <x:f>'Evaluation Plan'!B56</x:f>
        <x:v>54</x:v>
      </x:c>
      <x:c r="C56" s="31" t="str">
        <x:f>'Evaluation Plan'!C56</x:f>
        <x:v>Move the pencil sharpener that lies on the segment joining the crushed Pepsi can and the airplane toy without propellers into the bowl.</x:v>
      </x:c>
      <x:c r="D56" s="31" t="str">
        <x:f>'Evaluation Plan'!D56</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6" s="33" t="n">
        <x:f>'Evaluation Plan'!E56</x:f>
        <x:v>52</x:v>
      </x:c>
      <x:c r="F56" s="33" t="str">
        <x:f>'Evaluation Plan'!F56</x:f>
        <x:v>480</x:v>
      </x:c>
      <x:c r="G56" s="31" t="str">
        <x:f>'Evaluation Plan'!G56</x:f>
        <x:v>Exact canonical transfer scene and masked trajectory reference; only the instruction wording changes. This remains a separate language diagnostic.</x:v>
      </x:c>
      <x:c r="H56" s="31" t="str">
        <x:f>'Evaluation Plan'!H56</x:f>
        <x:v>red pencil sharpener</x:v>
      </x:c>
      <x:c r="I56" s="31" t="str"/>
      <x:c r="J56" s="38" t="str">
        <x:f>'Evaluation Plan'!J56</x:f>
        <x:v>Language robustness</x:v>
      </x:c>
      <x:c r="K56" s="33" t="str">
        <x:f>'Evaluation Plan'!K56</x:f>
        <x:v>RD-CT09</x:v>
      </x:c>
      <x:c r="L56" s="33" t="str">
        <x:f>'Evaluation Plan'!L56</x:f>
        <x:v>between</x:v>
      </x:c>
      <x:c r="M56" s="33" t="str">
        <x:f>'Evaluation Plan'!M56</x:f>
        <x:v>pencil sharpener</x:v>
      </x:c>
      <x:c r="N56" s="33" t="n">
        <x:f>'Evaluation Plan'!N56</x:f>
        <x:v>4</x:v>
      </x:c>
      <x:c r="O56" s="33" t="n">
        <x:f>'Evaluation Plan'!O56</x:f>
        <x:v>1</x:v>
      </x:c>
      <x:c r="P56" s="33" t="str">
        <x:f>'Evaluation Plan'!P56</x:f>
        <x:v>Empty</x:v>
      </x:c>
      <x:c r="Q56" s="31" t="str">
        <x:f>'Evaluation Plan'!Q56</x:f>
        <x:v>Primary compositional-transfer prompt paraphrase</x:v>
      </x:c>
      <x:c r="R56" s="33" t="n">
        <x:f>'Evaluation Plan'!R56</x:f>
        <x:v>2</x:v>
      </x:c>
      <x:c r="S56" s="31" t="str">
        <x:f>'Evaluation Plan'!S56</x:f>
        <x:v>Reset the moved object exactly; preserve the scene; change only the wording.</x:v>
      </x:c>
      <x:c r="T56" s="31" t="str">
        <x:f>'Evaluation Plan'!T56</x:f>
        <x:v>One of 10 exact-scene paraphrases of canonical transfer trials.</x:v>
      </x:c>
      <x:c r="U56" s="31" t="n">
        <x:f>'Evaluation Plan'!U56</x:f>
        <x:v>0</x:v>
      </x:c>
    </x:row>
    <x:row r="57" ht="51" customHeight="1">
      <x:c r="A57" s="32" t="str">
        <x:v>Not collected</x:v>
      </x:c>
      <x:c r="B57" s="34" t="n">
        <x:f>'Evaluation Plan'!B57</x:f>
        <x:v>55</x:v>
      </x:c>
      <x:c r="C57" s="32" t="str">
        <x:f>'Evaluation Plan'!C57</x:f>
        <x:v>Set the red pencil sharpener inside the bowl.</x:v>
      </x:c>
      <x:c r="D57" s="32" t="str">
        <x:f>'Evaluation Plan'!D57</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7" s="34" t="n">
        <x:f>'Evaluation Plan'!E57</x:f>
        <x:v>53</x:v>
      </x:c>
      <x:c r="F57" s="34" t="str">
        <x:f>'Evaluation Plan'!F57</x:f>
        <x:v>480</x:v>
      </x:c>
      <x:c r="G57" s="32" t="str">
        <x:f>'Evaluation Plan'!G57</x:f>
        <x:v>Exact matched-control scene and target; only the direct-name instruction wording changes.</x:v>
      </x:c>
      <x:c r="H57" s="32" t="str">
        <x:f>'Evaluation Plan'!H57</x:f>
        <x:v>red pencil sharpener</x:v>
      </x:c>
      <x:c r="I57" s="32" t="str"/>
      <x:c r="J57" s="38" t="str">
        <x:f>'Evaluation Plan'!J57</x:f>
        <x:v>Language robustness</x:v>
      </x:c>
      <x:c r="K57" s="34" t="str">
        <x:f>'Evaluation Plan'!K57</x:f>
        <x:v>RD-CT09</x:v>
      </x:c>
      <x:c r="L57" s="34" t="str">
        <x:f>'Evaluation Plan'!L57</x:f>
        <x:v>direct-name paraphrase</x:v>
      </x:c>
      <x:c r="M57" s="34" t="str">
        <x:f>'Evaluation Plan'!M57</x:f>
        <x:v>pencil sharpener</x:v>
      </x:c>
      <x:c r="N57" s="34" t="n">
        <x:f>'Evaluation Plan'!N57</x:f>
        <x:v>4</x:v>
      </x:c>
      <x:c r="O57" s="34" t="n">
        <x:f>'Evaluation Plan'!O57</x:f>
        <x:v>1</x:v>
      </x:c>
      <x:c r="P57" s="34" t="str">
        <x:f>'Evaluation Plan'!P57</x:f>
        <x:v>Empty</x:v>
      </x:c>
      <x:c r="Q57" s="32" t="str">
        <x:f>'Evaluation Plan'!Q57</x:f>
        <x:v>Matched-control direct-name prompt paraphrase</x:v>
      </x:c>
      <x:c r="R57" s="34" t="n">
        <x:f>'Evaluation Plan'!R57</x:f>
        <x:v>2</x:v>
      </x:c>
      <x:c r="S57" s="32" t="str">
        <x:f>'Evaluation Plan'!S57</x:f>
        <x:v>Reset the moved object exactly; preserve the scene; change only the wording.</x:v>
      </x:c>
      <x:c r="T57" s="32" t="str">
        <x:f>'Evaluation Plan'!T57</x:f>
        <x:v>One of 10 exact-scene paraphrases of matched manipulation controls.</x:v>
      </x:c>
      <x:c r="U57" s="32" t="n">
        <x:f>'Evaluation Plan'!U57</x:f>
        <x:v>0</x:v>
      </x:c>
    </x:row>
    <x:row r="58" ht="51" customHeight="1">
      <x:c r="A58" s="41" t="str">
        <x:v>Not collected</x:v>
      </x:c>
      <x:c r="B58" s="42" t="n">
        <x:f>'Evaluation Plan'!B58</x:f>
        <x:v>56</x:v>
      </x:c>
      <x:c r="C58" s="41" t="str">
        <x:f>'Evaluation Plan'!C58</x:f>
        <x:v>Pick up the airplane toy furthest from the yellow pen and place it in the bowl.</x:v>
      </x:c>
      <x:c r="D58" s="41" t="str">
        <x:f>'Evaluation Plan'!D58</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58" s="42" t="str">
        <x:f>'Evaluation Plan'!E58</x:f>
      </x:c>
      <x:c r="F58" s="42" t="str">
        <x:f>'Evaluation Plan'!F58</x:f>
        <x:v>567</x:v>
      </x:c>
      <x:c r="G58" s="41" t="str">
        <x:f>'Evaluation Plan'!G58</x:f>
        <x:v>Masked source trajectory: the target identity and physical manipulation are trained under a direct-name prompt, while this relation × candidate-category composition is intentionally absent.</x:v>
      </x:c>
      <x:c r="H58" s="41" t="str">
        <x:f>'Evaluation Plan'!H58</x:f>
        <x:v>airplane toy without propellers</x:v>
      </x:c>
      <x:c r="I58" s="41" t="str"/>
      <x:c r="J58" s="46" t="str">
        <x:f>'Evaluation Plan'!J58</x:f>
        <x:v>Concept/compositional transfer</x:v>
      </x:c>
      <x:c r="K58" s="42" t="str">
        <x:f>'Evaluation Plan'!K58</x:f>
        <x:v>RD-CT10</x:v>
      </x:c>
      <x:c r="L58" s="42" t="str">
        <x:f>'Evaluation Plan'!L58</x:f>
        <x:v>furthest</x:v>
      </x:c>
      <x:c r="M58" s="42" t="str">
        <x:f>'Evaluation Plan'!M58</x:f>
        <x:v>airplane toy</x:v>
      </x:c>
      <x:c r="N58" s="42" t="n">
        <x:f>'Evaluation Plan'!N58</x:f>
        <x:v>4</x:v>
      </x:c>
      <x:c r="O58" s="42" t="n">
        <x:f>'Evaluation Plan'!O58</x:f>
        <x:v>1</x:v>
      </x:c>
      <x:c r="P58" s="42" t="str">
        <x:f>'Evaluation Plan'!P58</x:f>
        <x:v>Empty</x:v>
      </x:c>
      <x:c r="Q58" s="41" t="str">
        <x:f>'Evaluation Plan'!Q58</x:f>
        <x:v>Primary held-out relation × candidate-category composition — Pick up</x:v>
      </x:c>
      <x:c r="R58" s="42" t="n">
        <x:f>'Evaluation Plan'!R58</x:f>
        <x:v>2</x:v>
      </x:c>
      <x:c r="S58" s="41" t="str">
        <x:f>'Evaluation Plan'!S58</x:f>
        <x:v>Build the listed relation scene with the bowl empty.</x:v>
      </x:c>
      <x:c r="T58" s="41" t="str">
        <x:f>'Evaluation Plan'!T58</x:f>
        <x:v>Both candidates are present. The held-out relation is the only information that identifies the target.</x:v>
      </x:c>
      <x:c r="U58" s="41" t="n">
        <x:f>'Evaluation Plan'!U58</x:f>
        <x:v>0</x:v>
      </x:c>
    </x:row>
    <x:row r="59" ht="51" customHeight="1">
      <x:c r="A59" s="32" t="str">
        <x:v>Not collected</x:v>
      </x:c>
      <x:c r="B59" s="34" t="n">
        <x:f>'Evaluation Plan'!B59</x:f>
        <x:v>57</x:v>
      </x:c>
      <x:c r="C59" s="32" t="str">
        <x:f>'Evaluation Plan'!C59</x:f>
        <x:v>Put the airplane toy without propellers in the bowl.</x:v>
      </x:c>
      <x:c r="D59" s="32" t="str">
        <x:f>'Evaluation Plan'!D59</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59" s="34" t="n">
        <x:f>'Evaluation Plan'!E59</x:f>
        <x:v>56</x:v>
      </x:c>
      <x:c r="F59" s="34" t="str">
        <x:f>'Evaluation Plan'!F59</x:f>
        <x:v>567</x:v>
      </x:c>
      <x:c r="G59" s="32" t="str">
        <x:f>'Evaluation Plan'!G59</x:f>
        <x:v>Exact masked-cell training prompt for the same target identity. The evaluation scene and physical endpoint are identical to the paired transfer row.</x:v>
      </x:c>
      <x:c r="H59" s="32" t="str">
        <x:f>'Evaluation Plan'!H59</x:f>
        <x:v>airplane toy without propellers</x:v>
      </x:c>
      <x:c r="I59" s="32" t="str"/>
      <x:c r="J59" s="37" t="str">
        <x:f>'Evaluation Plan'!J59</x:f>
        <x:v>Matched manipulation control</x:v>
      </x:c>
      <x:c r="K59" s="34" t="str">
        <x:f>'Evaluation Plan'!K59</x:f>
        <x:v>RD-CT10</x:v>
      </x:c>
      <x:c r="L59" s="34" t="str">
        <x:f>'Evaluation Plan'!L59</x:f>
        <x:v>direct name</x:v>
      </x:c>
      <x:c r="M59" s="34" t="str">
        <x:f>'Evaluation Plan'!M59</x:f>
        <x:v>airplane toy</x:v>
      </x:c>
      <x:c r="N59" s="34" t="n">
        <x:f>'Evaluation Plan'!N59</x:f>
        <x:v>4</x:v>
      </x:c>
      <x:c r="O59" s="34" t="n">
        <x:f>'Evaluation Plan'!O59</x:f>
        <x:v>1</x:v>
      </x:c>
      <x:c r="P59" s="34" t="str">
        <x:f>'Evaluation Plan'!P59</x:f>
        <x:v>Empty</x:v>
      </x:c>
      <x:c r="Q59" s="32" t="str">
        <x:f>'Evaluation Plan'!Q59</x:f>
        <x:v>Exact-scene direct-identity manipulation control</x:v>
      </x:c>
      <x:c r="R59" s="34" t="n">
        <x:f>'Evaluation Plan'!R59</x:f>
        <x:v>2</x:v>
      </x:c>
      <x:c r="S59" s="32" t="str">
        <x:f>'Evaluation Plan'!S59</x:f>
        <x:v>Reset the moved object exactly; preserve the scene; change only the instruction.</x:v>
      </x:c>
      <x:c r="T59" s="32" t="str">
        <x:f>'Evaluation Plan'!T59</x:f>
        <x:v>Controls recognition and manipulation of the same target without requiring referential reasoning.</x:v>
      </x:c>
      <x:c r="U59" s="32" t="n">
        <x:f>'Evaluation Plan'!U59</x:f>
        <x:v>0</x:v>
      </x:c>
    </x:row>
    <x:row r="60" ht="51" customHeight="1">
      <x:c r="A60" s="31" t="str">
        <x:v>Not collected</x:v>
      </x:c>
      <x:c r="B60" s="33" t="n">
        <x:f>'Evaluation Plan'!B60</x:f>
        <x:v>58</x:v>
      </x:c>
      <x:c r="C60" s="31" t="str">
        <x:f>'Evaluation Plan'!C60</x:f>
        <x:v>Choose the airplane toy farthest from the yellow pen and put it in the bowl.</x:v>
      </x:c>
      <x:c r="D60" s="31" t="str">
        <x:f>'Evaluation Plan'!D60</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60" s="33" t="n">
        <x:f>'Evaluation Plan'!E60</x:f>
        <x:v>56</x:v>
      </x:c>
      <x:c r="F60" s="33" t="str">
        <x:f>'Evaluation Plan'!F60</x:f>
        <x:v>567</x:v>
      </x:c>
      <x:c r="G60" s="31" t="str">
        <x:f>'Evaluation Plan'!G60</x:f>
        <x:v>Exact canonical transfer scene and masked trajectory reference; only the instruction wording changes. This remains a separate language diagnostic.</x:v>
      </x:c>
      <x:c r="H60" s="31" t="str">
        <x:f>'Evaluation Plan'!H60</x:f>
        <x:v>airplane toy without propellers</x:v>
      </x:c>
      <x:c r="I60" s="31" t="str"/>
      <x:c r="J60" s="38" t="str">
        <x:f>'Evaluation Plan'!J60</x:f>
        <x:v>Language robustness</x:v>
      </x:c>
      <x:c r="K60" s="33" t="str">
        <x:f>'Evaluation Plan'!K60</x:f>
        <x:v>RD-CT10</x:v>
      </x:c>
      <x:c r="L60" s="33" t="str">
        <x:f>'Evaluation Plan'!L60</x:f>
        <x:v>furthest</x:v>
      </x:c>
      <x:c r="M60" s="33" t="str">
        <x:f>'Evaluation Plan'!M60</x:f>
        <x:v>airplane toy</x:v>
      </x:c>
      <x:c r="N60" s="33" t="n">
        <x:f>'Evaluation Plan'!N60</x:f>
        <x:v>4</x:v>
      </x:c>
      <x:c r="O60" s="33" t="n">
        <x:f>'Evaluation Plan'!O60</x:f>
        <x:v>1</x:v>
      </x:c>
      <x:c r="P60" s="33" t="str">
        <x:f>'Evaluation Plan'!P60</x:f>
        <x:v>Empty</x:v>
      </x:c>
      <x:c r="Q60" s="31" t="str">
        <x:f>'Evaluation Plan'!Q60</x:f>
        <x:v>Primary compositional-transfer prompt paraphrase</x:v>
      </x:c>
      <x:c r="R60" s="33" t="n">
        <x:f>'Evaluation Plan'!R60</x:f>
        <x:v>2</x:v>
      </x:c>
      <x:c r="S60" s="31" t="str">
        <x:f>'Evaluation Plan'!S60</x:f>
        <x:v>Reset the moved object exactly; preserve the scene; change only the wording.</x:v>
      </x:c>
      <x:c r="T60" s="31" t="str">
        <x:f>'Evaluation Plan'!T60</x:f>
        <x:v>One of 10 exact-scene paraphrases of canonical transfer trials.</x:v>
      </x:c>
      <x:c r="U60" s="31" t="n">
        <x:f>'Evaluation Plan'!U60</x:f>
        <x:v>0</x:v>
      </x:c>
    </x:row>
    <x:row r="61" ht="51" customHeight="1">
      <x:c r="A61" s="32" t="str">
        <x:v>Not collected</x:v>
      </x:c>
      <x:c r="B61" s="34" t="n">
        <x:f>'Evaluation Plan'!B61</x:f>
        <x:v>59</x:v>
      </x:c>
      <x:c r="C61" s="32" t="str">
        <x:f>'Evaluation Plan'!C61</x:f>
        <x:v>Take the airplane toy without propellers and set it in the bowl.</x:v>
      </x:c>
      <x:c r="D61" s="32" t="str">
        <x:f>'Evaluation Plan'!D61</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61" s="34" t="n">
        <x:f>'Evaluation Plan'!E61</x:f>
        <x:v>57</x:v>
      </x:c>
      <x:c r="F61" s="34" t="str">
        <x:f>'Evaluation Plan'!F61</x:f>
        <x:v>567</x:v>
      </x:c>
      <x:c r="G61" s="32" t="str">
        <x:f>'Evaluation Plan'!G61</x:f>
        <x:v>Exact matched-control scene and target; only the direct-name instruction wording changes.</x:v>
      </x:c>
      <x:c r="H61" s="32" t="str">
        <x:f>'Evaluation Plan'!H61</x:f>
        <x:v>airplane toy without propellers</x:v>
      </x:c>
      <x:c r="I61" s="32" t="str"/>
      <x:c r="J61" s="38" t="str">
        <x:f>'Evaluation Plan'!J61</x:f>
        <x:v>Language robustness</x:v>
      </x:c>
      <x:c r="K61" s="34" t="str">
        <x:f>'Evaluation Plan'!K61</x:f>
        <x:v>RD-CT10</x:v>
      </x:c>
      <x:c r="L61" s="34" t="str">
        <x:f>'Evaluation Plan'!L61</x:f>
        <x:v>direct-name paraphrase</x:v>
      </x:c>
      <x:c r="M61" s="34" t="str">
        <x:f>'Evaluation Plan'!M61</x:f>
        <x:v>airplane toy</x:v>
      </x:c>
      <x:c r="N61" s="34" t="n">
        <x:f>'Evaluation Plan'!N61</x:f>
        <x:v>4</x:v>
      </x:c>
      <x:c r="O61" s="34" t="n">
        <x:f>'Evaluation Plan'!O61</x:f>
        <x:v>1</x:v>
      </x:c>
      <x:c r="P61" s="34" t="str">
        <x:f>'Evaluation Plan'!P61</x:f>
        <x:v>Empty</x:v>
      </x:c>
      <x:c r="Q61" s="32" t="str">
        <x:f>'Evaluation Plan'!Q61</x:f>
        <x:v>Matched-control direct-name prompt paraphrase</x:v>
      </x:c>
      <x:c r="R61" s="34" t="n">
        <x:f>'Evaluation Plan'!R61</x:f>
        <x:v>2</x:v>
      </x:c>
      <x:c r="S61" s="32" t="str">
        <x:f>'Evaluation Plan'!S61</x:f>
        <x:v>Reset the moved object exactly; preserve the scene; change only the wording.</x:v>
      </x:c>
      <x:c r="T61" s="32" t="str">
        <x:f>'Evaluation Plan'!T61</x:f>
        <x:v>One of 10 exact-scene paraphrases of matched manipulation controls.</x:v>
      </x:c>
      <x:c r="U61" s="32" t="n">
        <x:f>'Evaluation Plan'!U61</x:f>
        <x:v>0</x:v>
      </x:c>
    </x:row>
    <x:row r="62" ht="51" customHeight="1">
      <x:c r="A62" s="41" t="str">
        <x:v>Not collected</x:v>
      </x:c>
      <x:c r="B62" s="42" t="n">
        <x:f>'Evaluation Plan'!B62</x:f>
        <x:v>60</x:v>
      </x:c>
      <x:c r="C62" s="41" t="str">
        <x:f>'Evaluation Plan'!C62</x:f>
        <x:v>Pick up the crushed soda can closest to the yellow pen and place it in the bowl.</x:v>
      </x:c>
      <x:c r="D62" s="41" t="str">
        <x:f>'Evaluation Plan'!D62</x:f>
        <x:v>Reference: yellow pen at table centre; crushed Pepsi can: 10 cm away from the robot from the reference; crushed Coke can: 24 cm toward the robot from the reference; red pencil sharpener: at the far robot-left corner, outside the distance comparison; Bowl: empty</x:v>
      </x:c>
      <x:c r="E62" s="42" t="str">
        <x:f>'Evaluation Plan'!E62</x:f>
      </x:c>
      <x:c r="F62" s="42" t="str">
        <x:f>'Evaluation Plan'!F62</x:f>
        <x:v>403</x:v>
      </x:c>
      <x:c r="G62" s="41" t="str">
        <x:f>'Evaluation Plan'!G62</x:f>
        <x:v>Masked source trajectory: the target identity and physical manipulation are trained under a direct-name prompt, while this relation × candidate-category composition is intentionally absent.</x:v>
      </x:c>
      <x:c r="H62" s="41" t="str">
        <x:f>'Evaluation Plan'!H62</x:f>
        <x:v>crushed Pepsi can</x:v>
      </x:c>
      <x:c r="I62" s="41" t="str"/>
      <x:c r="J62" s="46" t="str">
        <x:f>'Evaluation Plan'!J62</x:f>
        <x:v>Concept/compositional transfer</x:v>
      </x:c>
      <x:c r="K62" s="42" t="str">
        <x:f>'Evaluation Plan'!K62</x:f>
        <x:v>RD-CT11</x:v>
      </x:c>
      <x:c r="L62" s="42" t="str">
        <x:f>'Evaluation Plan'!L62</x:f>
        <x:v>closest</x:v>
      </x:c>
      <x:c r="M62" s="42" t="str">
        <x:f>'Evaluation Plan'!M62</x:f>
        <x:v>crushed soda can</x:v>
      </x:c>
      <x:c r="N62" s="42" t="n">
        <x:f>'Evaluation Plan'!N62</x:f>
        <x:v>4</x:v>
      </x:c>
      <x:c r="O62" s="42" t="n">
        <x:f>'Evaluation Plan'!O62</x:f>
        <x:v>1</x:v>
      </x:c>
      <x:c r="P62" s="42" t="str">
        <x:f>'Evaluation Plan'!P62</x:f>
        <x:v>Empty</x:v>
      </x:c>
      <x:c r="Q62" s="41" t="str">
        <x:f>'Evaluation Plan'!Q62</x:f>
        <x:v>Primary held-out relation × candidate-category composition — Pick up</x:v>
      </x:c>
      <x:c r="R62" s="42" t="n">
        <x:f>'Evaluation Plan'!R62</x:f>
        <x:v>3</x:v>
      </x:c>
      <x:c r="S62" s="41" t="str">
        <x:f>'Evaluation Plan'!S62</x:f>
        <x:v>Build the listed relation scene with the bowl empty.</x:v>
      </x:c>
      <x:c r="T62" s="41" t="str">
        <x:f>'Evaluation Plan'!T62</x:f>
        <x:v>Both candidates are present. The held-out relation is the only information that identifies the target.</x:v>
      </x:c>
      <x:c r="U62" s="41" t="n">
        <x:f>'Evaluation Plan'!U62</x:f>
        <x:v>0</x:v>
      </x:c>
    </x:row>
    <x:row r="63" ht="51" customHeight="1">
      <x:c r="A63" s="32" t="str">
        <x:v>Not collected</x:v>
      </x:c>
      <x:c r="B63" s="34" t="n">
        <x:f>'Evaluation Plan'!B63</x:f>
        <x:v>61</x:v>
      </x:c>
      <x:c r="C63" s="32" t="str">
        <x:f>'Evaluation Plan'!C63</x:f>
        <x:v>Put the crushed Pepsi can in the bowl.</x:v>
      </x:c>
      <x:c r="D63" s="32" t="str">
        <x:f>'Evaluation Plan'!D63</x:f>
        <x:v>Reference: yellow pen at table centre; crushed Pepsi can: 10 cm away from the robot from the reference; crushed Coke can: 24 cm toward the robot from the reference; red pencil sharpener: at the far robot-left corner, outside the distance comparison; Bowl: empty</x:v>
      </x:c>
      <x:c r="E63" s="34" t="n">
        <x:f>'Evaluation Plan'!E63</x:f>
        <x:v>60</x:v>
      </x:c>
      <x:c r="F63" s="34" t="str">
        <x:f>'Evaluation Plan'!F63</x:f>
        <x:v>403</x:v>
      </x:c>
      <x:c r="G63" s="32" t="str">
        <x:f>'Evaluation Plan'!G63</x:f>
        <x:v>Exact masked-cell training prompt for the same target identity. The evaluation scene and physical endpoint are identical to the paired transfer row.</x:v>
      </x:c>
      <x:c r="H63" s="32" t="str">
        <x:f>'Evaluation Plan'!H63</x:f>
        <x:v>crushed Pepsi can</x:v>
      </x:c>
      <x:c r="I63" s="32" t="str"/>
      <x:c r="J63" s="37" t="str">
        <x:f>'Evaluation Plan'!J63</x:f>
        <x:v>Matched manipulation control</x:v>
      </x:c>
      <x:c r="K63" s="34" t="str">
        <x:f>'Evaluation Plan'!K63</x:f>
        <x:v>RD-CT11</x:v>
      </x:c>
      <x:c r="L63" s="34" t="str">
        <x:f>'Evaluation Plan'!L63</x:f>
        <x:v>direct name</x:v>
      </x:c>
      <x:c r="M63" s="34" t="str">
        <x:f>'Evaluation Plan'!M63</x:f>
        <x:v>crushed soda can</x:v>
      </x:c>
      <x:c r="N63" s="34" t="n">
        <x:f>'Evaluation Plan'!N63</x:f>
        <x:v>4</x:v>
      </x:c>
      <x:c r="O63" s="34" t="n">
        <x:f>'Evaluation Plan'!O63</x:f>
        <x:v>1</x:v>
      </x:c>
      <x:c r="P63" s="34" t="str">
        <x:f>'Evaluation Plan'!P63</x:f>
        <x:v>Empty</x:v>
      </x:c>
      <x:c r="Q63" s="32" t="str">
        <x:f>'Evaluation Plan'!Q63</x:f>
        <x:v>Exact-scene direct-identity manipulation control</x:v>
      </x:c>
      <x:c r="R63" s="34" t="n">
        <x:f>'Evaluation Plan'!R63</x:f>
        <x:v>3</x:v>
      </x:c>
      <x:c r="S63" s="32" t="str">
        <x:f>'Evaluation Plan'!S63</x:f>
        <x:v>Reset the moved object exactly; preserve the scene; change only the instruction.</x:v>
      </x:c>
      <x:c r="T63" s="32" t="str">
        <x:f>'Evaluation Plan'!T63</x:f>
        <x:v>Controls recognition and manipulation of the same target without requiring referential reasoning.</x:v>
      </x:c>
      <x:c r="U63" s="32" t="n">
        <x:f>'Evaluation Plan'!U63</x:f>
        <x:v>0</x:v>
      </x:c>
    </x:row>
    <x:row r="64" ht="51" customHeight="1">
      <x:c r="A64" s="41" t="str">
        <x:v>Not collected</x:v>
      </x:c>
      <x:c r="B64" s="42" t="n">
        <x:f>'Evaluation Plan'!B64</x:f>
        <x:v>62</x:v>
      </x:c>
      <x:c r="C64" s="41" t="str">
        <x:f>'Evaluation Plan'!C64</x:f>
        <x:v>Pick up the pencil sharpener between the green pen and the crushed Coke can and place it in the bowl.</x:v>
      </x:c>
      <x:c r="D64" s="41" t="str">
        <x:f>'Evaluation Plan'!D64</x:f>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Bowl: empty</x:v>
      </x:c>
      <x:c r="E64" s="42" t="str">
        <x:f>'Evaluation Plan'!E64</x:f>
      </x:c>
      <x:c r="F64" s="42" t="str">
        <x:f>'Evaluation Plan'!F64</x:f>
        <x:v>481</x:v>
      </x:c>
      <x:c r="G64" s="41" t="str">
        <x:f>'Evaluation Plan'!G64</x:f>
        <x:v>Masked source trajectory: the target identity and physical manipulation are trained under a direct-name prompt, while this relation × candidate-category composition is intentionally absent.</x:v>
      </x:c>
      <x:c r="H64" s="41" t="str">
        <x:f>'Evaluation Plan'!H64</x:f>
        <x:v>red pencil sharpener</x:v>
      </x:c>
      <x:c r="I64" s="41" t="str"/>
      <x:c r="J64" s="46" t="str">
        <x:f>'Evaluation Plan'!J64</x:f>
        <x:v>Concept/compositional transfer</x:v>
      </x:c>
      <x:c r="K64" s="42" t="str">
        <x:f>'Evaluation Plan'!K64</x:f>
        <x:v>RD-CT12</x:v>
      </x:c>
      <x:c r="L64" s="42" t="str">
        <x:f>'Evaluation Plan'!L64</x:f>
        <x:v>between</x:v>
      </x:c>
      <x:c r="M64" s="42" t="str">
        <x:f>'Evaluation Plan'!M64</x:f>
        <x:v>pencil sharpener</x:v>
      </x:c>
      <x:c r="N64" s="42" t="n">
        <x:f>'Evaluation Plan'!N64</x:f>
        <x:v>4</x:v>
      </x:c>
      <x:c r="O64" s="42" t="n">
        <x:f>'Evaluation Plan'!O64</x:f>
        <x:v>1</x:v>
      </x:c>
      <x:c r="P64" s="42" t="str">
        <x:f>'Evaluation Plan'!P64</x:f>
        <x:v>Empty</x:v>
      </x:c>
      <x:c r="Q64" s="41" t="str">
        <x:f>'Evaluation Plan'!Q64</x:f>
        <x:v>Primary held-out relation × candidate-category composition — Pick up</x:v>
      </x:c>
      <x:c r="R64" s="42" t="n">
        <x:f>'Evaluation Plan'!R64</x:f>
        <x:v>3</x:v>
      </x:c>
      <x:c r="S64" s="41" t="str">
        <x:f>'Evaluation Plan'!S64</x:f>
        <x:v>Build the listed relation scene with the bowl empty.</x:v>
      </x:c>
      <x:c r="T64" s="41" t="str">
        <x:f>'Evaluation Plan'!T64</x:f>
        <x:v>Both candidates are present. The held-out relation is the only information that identifies the target.</x:v>
      </x:c>
      <x:c r="U64" s="41" t="n">
        <x:f>'Evaluation Plan'!U64</x:f>
        <x:v>0</x:v>
      </x:c>
    </x:row>
    <x:row r="65" ht="51" customHeight="1">
      <x:c r="A65" s="32" t="str">
        <x:v>Not collected</x:v>
      </x:c>
      <x:c r="B65" s="34" t="n">
        <x:f>'Evaluation Plan'!B65</x:f>
        <x:v>63</x:v>
      </x:c>
      <x:c r="C65" s="32" t="str">
        <x:f>'Evaluation Plan'!C65</x:f>
        <x:v>Put the red pencil sharpener in the bowl.</x:v>
      </x:c>
      <x:c r="D65" s="32" t="str">
        <x:f>'Evaluation Plan'!D65</x:f>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Bowl: empty</x:v>
      </x:c>
      <x:c r="E65" s="34" t="n">
        <x:f>'Evaluation Plan'!E65</x:f>
        <x:v>62</x:v>
      </x:c>
      <x:c r="F65" s="34" t="str">
        <x:f>'Evaluation Plan'!F65</x:f>
        <x:v>481</x:v>
      </x:c>
      <x:c r="G65" s="32" t="str">
        <x:f>'Evaluation Plan'!G65</x:f>
        <x:v>Exact masked-cell training prompt for the same target identity. The evaluation scene and physical endpoint are identical to the paired transfer row.</x:v>
      </x:c>
      <x:c r="H65" s="32" t="str">
        <x:f>'Evaluation Plan'!H65</x:f>
        <x:v>red pencil sharpener</x:v>
      </x:c>
      <x:c r="I65" s="32" t="str"/>
      <x:c r="J65" s="37" t="str">
        <x:f>'Evaluation Plan'!J65</x:f>
        <x:v>Matched manipulation control</x:v>
      </x:c>
      <x:c r="K65" s="34" t="str">
        <x:f>'Evaluation Plan'!K65</x:f>
        <x:v>RD-CT12</x:v>
      </x:c>
      <x:c r="L65" s="34" t="str">
        <x:f>'Evaluation Plan'!L65</x:f>
        <x:v>direct name</x:v>
      </x:c>
      <x:c r="M65" s="34" t="str">
        <x:f>'Evaluation Plan'!M65</x:f>
        <x:v>pencil sharpener</x:v>
      </x:c>
      <x:c r="N65" s="34" t="n">
        <x:f>'Evaluation Plan'!N65</x:f>
        <x:v>4</x:v>
      </x:c>
      <x:c r="O65" s="34" t="n">
        <x:f>'Evaluation Plan'!O65</x:f>
        <x:v>1</x:v>
      </x:c>
      <x:c r="P65" s="34" t="str">
        <x:f>'Evaluation Plan'!P65</x:f>
        <x:v>Empty</x:v>
      </x:c>
      <x:c r="Q65" s="32" t="str">
        <x:f>'Evaluation Plan'!Q65</x:f>
        <x:v>Exact-scene direct-identity manipulation control</x:v>
      </x:c>
      <x:c r="R65" s="34" t="n">
        <x:f>'Evaluation Plan'!R65</x:f>
        <x:v>3</x:v>
      </x:c>
      <x:c r="S65" s="32" t="str">
        <x:f>'Evaluation Plan'!S65</x:f>
        <x:v>Reset the moved object exactly; preserve the scene; change only the instruction.</x:v>
      </x:c>
      <x:c r="T65" s="32" t="str">
        <x:f>'Evaluation Plan'!T65</x:f>
        <x:v>Controls recognition and manipulation of the same target without requiring referential reasoning.</x:v>
      </x:c>
      <x:c r="U65" s="32" t="n">
        <x:f>'Evaluation Plan'!U65</x:f>
        <x:v>0</x:v>
      </x:c>
    </x:row>
    <x:row r="66" ht="51" customHeight="1">
      <x:c r="A66" s="41" t="str">
        <x:v>Not collected</x:v>
      </x:c>
      <x:c r="B66" s="42" t="n">
        <x:f>'Evaluation Plan'!B66</x:f>
        <x:v>64</x:v>
      </x:c>
      <x:c r="C66" s="41" t="str">
        <x:f>'Evaluation Plan'!C66</x:f>
        <x:v>Put the airplane toy furthest from the crushed Pepsi can in the bowl.</x:v>
      </x:c>
      <x:c r="D66" s="41" t="str">
        <x:f>'Evaluation Plan'!D66</x:f>
        <x:v>Reference: crushed Pepsi can at table centre; airplane toy without propellers: 10 cm toward robot-left from the reference; airplane toy with propellers: 24 cm away toward robot-right from the reference; red pencil sharpener: at the far robot-left corner, outside the distance comparison; Bowl: empty</x:v>
      </x:c>
      <x:c r="E66" s="42" t="str">
        <x:f>'Evaluation Plan'!E66</x:f>
      </x:c>
      <x:c r="F66" s="42" t="str">
        <x:f>'Evaluation Plan'!F66</x:f>
        <x:v>570</x:v>
      </x:c>
      <x:c r="G66" s="41" t="str">
        <x:f>'Evaluation Plan'!G66</x:f>
        <x:v>Masked source trajectory: the target identity and physical manipulation are trained under a direct-name prompt, while this relation × candidate-category composition is intentionally absent.</x:v>
      </x:c>
      <x:c r="H66" s="41" t="str">
        <x:f>'Evaluation Plan'!H66</x:f>
        <x:v>airplane toy with propellers</x:v>
      </x:c>
      <x:c r="I66" s="41" t="str"/>
      <x:c r="J66" s="46" t="str">
        <x:f>'Evaluation Plan'!J66</x:f>
        <x:v>Concept/compositional transfer</x:v>
      </x:c>
      <x:c r="K66" s="42" t="str">
        <x:f>'Evaluation Plan'!K66</x:f>
        <x:v>RD-CT13</x:v>
      </x:c>
      <x:c r="L66" s="42" t="str">
        <x:f>'Evaluation Plan'!L66</x:f>
        <x:v>furthest</x:v>
      </x:c>
      <x:c r="M66" s="42" t="str">
        <x:f>'Evaluation Plan'!M66</x:f>
        <x:v>airplane toy</x:v>
      </x:c>
      <x:c r="N66" s="42" t="n">
        <x:f>'Evaluation Plan'!N66</x:f>
        <x:v>4</x:v>
      </x:c>
      <x:c r="O66" s="42" t="n">
        <x:f>'Evaluation Plan'!O66</x:f>
        <x:v>1</x:v>
      </x:c>
      <x:c r="P66" s="42" t="str">
        <x:f>'Evaluation Plan'!P66</x:f>
        <x:v>Empty</x:v>
      </x:c>
      <x:c r="Q66" s="41" t="str">
        <x:f>'Evaluation Plan'!Q66</x:f>
        <x:v>Primary held-out relation × candidate-category composition — Put</x:v>
      </x:c>
      <x:c r="R66" s="42" t="n">
        <x:f>'Evaluation Plan'!R66</x:f>
        <x:v>3</x:v>
      </x:c>
      <x:c r="S66" s="41" t="str">
        <x:f>'Evaluation Plan'!S66</x:f>
        <x:v>Build the listed relation scene with the bowl empty.</x:v>
      </x:c>
      <x:c r="T66" s="41" t="str">
        <x:f>'Evaluation Plan'!T66</x:f>
        <x:v>Both candidates are present. The held-out relation is the only information that identifies the target.</x:v>
      </x:c>
      <x:c r="U66" s="41" t="n">
        <x:f>'Evaluation Plan'!U66</x:f>
        <x:v>0</x:v>
      </x:c>
    </x:row>
    <x:row r="67" ht="51" customHeight="1">
      <x:c r="A67" s="32" t="str">
        <x:v>Not collected</x:v>
      </x:c>
      <x:c r="B67" s="34" t="n">
        <x:f>'Evaluation Plan'!B67</x:f>
        <x:v>65</x:v>
      </x:c>
      <x:c r="C67" s="32" t="str">
        <x:f>'Evaluation Plan'!C67</x:f>
        <x:v>Put the airplane toy with propellers in the bowl.</x:v>
      </x:c>
      <x:c r="D67" s="32" t="str">
        <x:f>'Evaluation Plan'!D67</x:f>
        <x:v>Reference: crushed Pepsi can at table centre; airplane toy without propellers: 10 cm toward robot-left from the reference; airplane toy with propellers: 24 cm away toward robot-right from the reference; red pencil sharpener: at the far robot-left corner, outside the distance comparison; Bowl: empty</x:v>
      </x:c>
      <x:c r="E67" s="34" t="n">
        <x:f>'Evaluation Plan'!E67</x:f>
        <x:v>64</x:v>
      </x:c>
      <x:c r="F67" s="34" t="str">
        <x:f>'Evaluation Plan'!F67</x:f>
        <x:v>570</x:v>
      </x:c>
      <x:c r="G67" s="32" t="str">
        <x:f>'Evaluation Plan'!G67</x:f>
        <x:v>Exact masked-cell training prompt for the same target identity. The evaluation scene and physical endpoint are identical to the paired transfer row.</x:v>
      </x:c>
      <x:c r="H67" s="32" t="str">
        <x:f>'Evaluation Plan'!H67</x:f>
        <x:v>airplane toy with propellers</x:v>
      </x:c>
      <x:c r="I67" s="32" t="str"/>
      <x:c r="J67" s="37" t="str">
        <x:f>'Evaluation Plan'!J67</x:f>
        <x:v>Matched manipulation control</x:v>
      </x:c>
      <x:c r="K67" s="34" t="str">
        <x:f>'Evaluation Plan'!K67</x:f>
        <x:v>RD-CT13</x:v>
      </x:c>
      <x:c r="L67" s="34" t="str">
        <x:f>'Evaluation Plan'!L67</x:f>
        <x:v>direct name</x:v>
      </x:c>
      <x:c r="M67" s="34" t="str">
        <x:f>'Evaluation Plan'!M67</x:f>
        <x:v>airplane toy</x:v>
      </x:c>
      <x:c r="N67" s="34" t="n">
        <x:f>'Evaluation Plan'!N67</x:f>
        <x:v>4</x:v>
      </x:c>
      <x:c r="O67" s="34" t="n">
        <x:f>'Evaluation Plan'!O67</x:f>
        <x:v>1</x:v>
      </x:c>
      <x:c r="P67" s="34" t="str">
        <x:f>'Evaluation Plan'!P67</x:f>
        <x:v>Empty</x:v>
      </x:c>
      <x:c r="Q67" s="32" t="str">
        <x:f>'Evaluation Plan'!Q67</x:f>
        <x:v>Exact-scene direct-identity manipulation control</x:v>
      </x:c>
      <x:c r="R67" s="34" t="n">
        <x:f>'Evaluation Plan'!R67</x:f>
        <x:v>3</x:v>
      </x:c>
      <x:c r="S67" s="32" t="str">
        <x:f>'Evaluation Plan'!S67</x:f>
        <x:v>Reset the moved object exactly; preserve the scene; change only the instruction.</x:v>
      </x:c>
      <x:c r="T67" s="32" t="str">
        <x:f>'Evaluation Plan'!T67</x:f>
        <x:v>Controls recognition and manipulation of the same target without requiring referential reasoning.</x:v>
      </x:c>
      <x:c r="U67" s="32" t="n">
        <x:f>'Evaluation Plan'!U67</x:f>
        <x:v>0</x:v>
      </x:c>
    </x:row>
    <x:row r="68" ht="51" customHeight="1">
      <x:c r="A68" s="41" t="str">
        <x:v>Not collected</x:v>
      </x:c>
      <x:c r="B68" s="42" t="n">
        <x:f>'Evaluation Plan'!B68</x:f>
        <x:v>66</x:v>
      </x:c>
      <x:c r="C68" s="41" t="str">
        <x:f>'Evaluation Plan'!C68</x:f>
        <x:v>Put the crushed soda can closest to the airplane toy without propellers in the bowl.</x:v>
      </x:c>
      <x:c r="D68" s="41" t="str">
        <x:f>'Evaluation Plan'!D68</x:f>
        <x:v>Reference: airplane toy without propellers at table centre; crushed Coke can: 10 cm toward robot-left from the reference; crushed Pepsi can: 24 cm away toward robot-right from the reference; airplane toy with propellers: at the far robot-left corner, outside the distance comparison; Bowl: empty</x:v>
      </x:c>
      <x:c r="E68" s="42" t="str">
        <x:f>'Evaluation Plan'!E68</x:f>
      </x:c>
      <x:c r="F68" s="42" t="str">
        <x:f>'Evaluation Plan'!F68</x:f>
        <x:v>404</x:v>
      </x:c>
      <x:c r="G68" s="41" t="str">
        <x:f>'Evaluation Plan'!G68</x:f>
        <x:v>Masked source trajectory: the target identity and physical manipulation are trained under a direct-name prompt, while this relation × candidate-category composition is intentionally absent.</x:v>
      </x:c>
      <x:c r="H68" s="41" t="str">
        <x:f>'Evaluation Plan'!H68</x:f>
        <x:v>crushed Coke can</x:v>
      </x:c>
      <x:c r="I68" s="41" t="str"/>
      <x:c r="J68" s="46" t="str">
        <x:f>'Evaluation Plan'!J68</x:f>
        <x:v>Concept/compositional transfer</x:v>
      </x:c>
      <x:c r="K68" s="42" t="str">
        <x:f>'Evaluation Plan'!K68</x:f>
        <x:v>RD-CT14</x:v>
      </x:c>
      <x:c r="L68" s="42" t="str">
        <x:f>'Evaluation Plan'!L68</x:f>
        <x:v>closest</x:v>
      </x:c>
      <x:c r="M68" s="42" t="str">
        <x:f>'Evaluation Plan'!M68</x:f>
        <x:v>crushed soda can</x:v>
      </x:c>
      <x:c r="N68" s="42" t="n">
        <x:f>'Evaluation Plan'!N68</x:f>
        <x:v>4</x:v>
      </x:c>
      <x:c r="O68" s="42" t="n">
        <x:f>'Evaluation Plan'!O68</x:f>
        <x:v>1</x:v>
      </x:c>
      <x:c r="P68" s="42" t="str">
        <x:f>'Evaluation Plan'!P68</x:f>
        <x:v>Empty</x:v>
      </x:c>
      <x:c r="Q68" s="41" t="str">
        <x:f>'Evaluation Plan'!Q68</x:f>
        <x:v>Primary held-out relation × candidate-category composition — Put</x:v>
      </x:c>
      <x:c r="R68" s="42" t="n">
        <x:f>'Evaluation Plan'!R68</x:f>
        <x:v>3</x:v>
      </x:c>
      <x:c r="S68" s="41" t="str">
        <x:f>'Evaluation Plan'!S68</x:f>
        <x:v>Build the listed relation scene with the bowl empty.</x:v>
      </x:c>
      <x:c r="T68" s="41" t="str">
        <x:f>'Evaluation Plan'!T68</x:f>
        <x:v>Both candidates are present. The held-out relation is the only information that identifies the target.</x:v>
      </x:c>
      <x:c r="U68" s="41" t="n">
        <x:f>'Evaluation Plan'!U68</x:f>
        <x:v>0</x:v>
      </x:c>
    </x:row>
    <x:row r="69" ht="51" customHeight="1">
      <x:c r="A69" s="32" t="str">
        <x:v>Not collected</x:v>
      </x:c>
      <x:c r="B69" s="34" t="n">
        <x:f>'Evaluation Plan'!B69</x:f>
        <x:v>67</x:v>
      </x:c>
      <x:c r="C69" s="32" t="str">
        <x:f>'Evaluation Plan'!C69</x:f>
        <x:v>Pick up the crushed Coke can and place it in the bowl.</x:v>
      </x:c>
      <x:c r="D69" s="32" t="str">
        <x:f>'Evaluation Plan'!D69</x:f>
        <x:v>Reference: airplane toy without propellers at table centre; crushed Coke can: 10 cm toward robot-left from the reference; crushed Pepsi can: 24 cm away toward robot-right from the reference; airplane toy with propellers: at the far robot-left corner, outside the distance comparison; Bowl: empty</x:v>
      </x:c>
      <x:c r="E69" s="34" t="n">
        <x:f>'Evaluation Plan'!E69</x:f>
        <x:v>66</x:v>
      </x:c>
      <x:c r="F69" s="34" t="str">
        <x:f>'Evaluation Plan'!F69</x:f>
        <x:v>404</x:v>
      </x:c>
      <x:c r="G69" s="32" t="str">
        <x:f>'Evaluation Plan'!G69</x:f>
        <x:v>Exact masked-cell training prompt for the same target identity. The evaluation scene and physical endpoint are identical to the paired transfer row.</x:v>
      </x:c>
      <x:c r="H69" s="32" t="str">
        <x:f>'Evaluation Plan'!H69</x:f>
        <x:v>crushed Coke can</x:v>
      </x:c>
      <x:c r="I69" s="32" t="str"/>
      <x:c r="J69" s="37" t="str">
        <x:f>'Evaluation Plan'!J69</x:f>
        <x:v>Matched manipulation control</x:v>
      </x:c>
      <x:c r="K69" s="34" t="str">
        <x:f>'Evaluation Plan'!K69</x:f>
        <x:v>RD-CT14</x:v>
      </x:c>
      <x:c r="L69" s="34" t="str">
        <x:f>'Evaluation Plan'!L69</x:f>
        <x:v>direct name</x:v>
      </x:c>
      <x:c r="M69" s="34" t="str">
        <x:f>'Evaluation Plan'!M69</x:f>
        <x:v>crushed soda can</x:v>
      </x:c>
      <x:c r="N69" s="34" t="n">
        <x:f>'Evaluation Plan'!N69</x:f>
        <x:v>4</x:v>
      </x:c>
      <x:c r="O69" s="34" t="n">
        <x:f>'Evaluation Plan'!O69</x:f>
        <x:v>1</x:v>
      </x:c>
      <x:c r="P69" s="34" t="str">
        <x:f>'Evaluation Plan'!P69</x:f>
        <x:v>Empty</x:v>
      </x:c>
      <x:c r="Q69" s="32" t="str">
        <x:f>'Evaluation Plan'!Q69</x:f>
        <x:v>Exact-scene direct-identity manipulation control</x:v>
      </x:c>
      <x:c r="R69" s="34" t="n">
        <x:f>'Evaluation Plan'!R69</x:f>
        <x:v>3</x:v>
      </x:c>
      <x:c r="S69" s="32" t="str">
        <x:f>'Evaluation Plan'!S69</x:f>
        <x:v>Reset the moved object exactly; preserve the scene; change only the instruction.</x:v>
      </x:c>
      <x:c r="T69" s="32" t="str">
        <x:f>'Evaluation Plan'!T69</x:f>
        <x:v>Controls recognition and manipulation of the same target without requiring referential reasoning.</x:v>
      </x:c>
      <x:c r="U69" s="32" t="n">
        <x:f>'Evaluation Plan'!U69</x:f>
        <x:v>0</x:v>
      </x:c>
    </x:row>
    <x:row r="70" ht="51" customHeight="1">
      <x:c r="A70" s="41" t="str">
        <x:v>Not collected</x:v>
      </x:c>
      <x:c r="B70" s="42" t="n">
        <x:f>'Evaluation Plan'!B70</x:f>
        <x:v>68</x:v>
      </x:c>
      <x:c r="C70" s="41" t="str">
        <x:f>'Evaluation Plan'!C70</x:f>
        <x:v>Put the pencil sharpener between the airplane toy with propellers and the yellow pen in the bowl.</x:v>
      </x:c>
      <x:c r="D70" s="41" t="str">
        <x:f>'Evaluation Plan'!D70</x:f>
        <x:v>Reference A: airplane toy with propellers at 14 cm to robot-left of table centre; Reference B: yellow pen at 14 cm to robot-right of table centre; green pencil sharpener: at table centre on the straight Reference A–B segment; red pencil sharpener: 12 cm toward the robot from table centre, off the Reference A–B segment; Bowl: empty</x:v>
      </x:c>
      <x:c r="E70" s="42" t="str">
        <x:f>'Evaluation Plan'!E70</x:f>
      </x:c>
      <x:c r="F70" s="42" t="str">
        <x:f>'Evaluation Plan'!F70</x:f>
        <x:v>485</x:v>
      </x:c>
      <x:c r="G70" s="41" t="str">
        <x:f>'Evaluation Plan'!G70</x:f>
        <x:v>Masked source trajectory: the target identity and physical manipulation are trained under a direct-name prompt, while this relation × candidate-category composition is intentionally absent.</x:v>
      </x:c>
      <x:c r="H70" s="41" t="str">
        <x:f>'Evaluation Plan'!H70</x:f>
        <x:v>green pencil sharpener</x:v>
      </x:c>
      <x:c r="I70" s="41" t="str"/>
      <x:c r="J70" s="46" t="str">
        <x:f>'Evaluation Plan'!J70</x:f>
        <x:v>Concept/compositional transfer</x:v>
      </x:c>
      <x:c r="K70" s="42" t="str">
        <x:f>'Evaluation Plan'!K70</x:f>
        <x:v>RD-CT15</x:v>
      </x:c>
      <x:c r="L70" s="42" t="str">
        <x:f>'Evaluation Plan'!L70</x:f>
        <x:v>between</x:v>
      </x:c>
      <x:c r="M70" s="42" t="str">
        <x:f>'Evaluation Plan'!M70</x:f>
        <x:v>pencil sharpener</x:v>
      </x:c>
      <x:c r="N70" s="42" t="n">
        <x:f>'Evaluation Plan'!N70</x:f>
        <x:v>4</x:v>
      </x:c>
      <x:c r="O70" s="42" t="n">
        <x:f>'Evaluation Plan'!O70</x:f>
        <x:v>1</x:v>
      </x:c>
      <x:c r="P70" s="42" t="str">
        <x:f>'Evaluation Plan'!P70</x:f>
        <x:v>Empty</x:v>
      </x:c>
      <x:c r="Q70" s="41" t="str">
        <x:f>'Evaluation Plan'!Q70</x:f>
        <x:v>Primary held-out relation × candidate-category composition — Put</x:v>
      </x:c>
      <x:c r="R70" s="42" t="n">
        <x:f>'Evaluation Plan'!R70</x:f>
        <x:v>3</x:v>
      </x:c>
      <x:c r="S70" s="41" t="str">
        <x:f>'Evaluation Plan'!S70</x:f>
        <x:v>Build the listed relation scene with the bowl empty.</x:v>
      </x:c>
      <x:c r="T70" s="41" t="str">
        <x:f>'Evaluation Plan'!T70</x:f>
        <x:v>Both candidates are present. The held-out relation is the only information that identifies the target.</x:v>
      </x:c>
      <x:c r="U70" s="41" t="n">
        <x:f>'Evaluation Plan'!U70</x:f>
        <x:v>0</x:v>
      </x:c>
    </x:row>
    <x:row r="71" ht="51" customHeight="1">
      <x:c r="A71" s="32" t="str">
        <x:v>Not collected</x:v>
      </x:c>
      <x:c r="B71" s="34" t="n">
        <x:f>'Evaluation Plan'!B71</x:f>
        <x:v>69</x:v>
      </x:c>
      <x:c r="C71" s="32" t="str">
        <x:f>'Evaluation Plan'!C71</x:f>
        <x:v>Pick up the green pencil sharpener and place it in the bowl.</x:v>
      </x:c>
      <x:c r="D71" s="32" t="str">
        <x:f>'Evaluation Plan'!D71</x:f>
        <x:v>Reference A: airplane toy with propellers at 14 cm to robot-left of table centre; Reference B: yellow pen at 14 cm to robot-right of table centre; green pencil sharpener: at table centre on the straight Reference A–B segment; red pencil sharpener: 12 cm toward the robot from table centre, off the Reference A–B segment; Bowl: empty</x:v>
      </x:c>
      <x:c r="E71" s="34" t="n">
        <x:f>'Evaluation Plan'!E71</x:f>
        <x:v>68</x:v>
      </x:c>
      <x:c r="F71" s="34" t="str">
        <x:f>'Evaluation Plan'!F71</x:f>
        <x:v>485</x:v>
      </x:c>
      <x:c r="G71" s="32" t="str">
        <x:f>'Evaluation Plan'!G71</x:f>
        <x:v>Exact masked-cell training prompt for the same target identity. The evaluation scene and physical endpoint are identical to the paired transfer row.</x:v>
      </x:c>
      <x:c r="H71" s="32" t="str">
        <x:f>'Evaluation Plan'!H71</x:f>
        <x:v>green pencil sharpener</x:v>
      </x:c>
      <x:c r="I71" s="32" t="str"/>
      <x:c r="J71" s="37" t="str">
        <x:f>'Evaluation Plan'!J71</x:f>
        <x:v>Matched manipulation control</x:v>
      </x:c>
      <x:c r="K71" s="34" t="str">
        <x:f>'Evaluation Plan'!K71</x:f>
        <x:v>RD-CT15</x:v>
      </x:c>
      <x:c r="L71" s="34" t="str">
        <x:f>'Evaluation Plan'!L71</x:f>
        <x:v>direct name</x:v>
      </x:c>
      <x:c r="M71" s="34" t="str">
        <x:f>'Evaluation Plan'!M71</x:f>
        <x:v>pencil sharpener</x:v>
      </x:c>
      <x:c r="N71" s="34" t="n">
        <x:f>'Evaluation Plan'!N71</x:f>
        <x:v>4</x:v>
      </x:c>
      <x:c r="O71" s="34" t="n">
        <x:f>'Evaluation Plan'!O71</x:f>
        <x:v>1</x:v>
      </x:c>
      <x:c r="P71" s="34" t="str">
        <x:f>'Evaluation Plan'!P71</x:f>
        <x:v>Empty</x:v>
      </x:c>
      <x:c r="Q71" s="32" t="str">
        <x:f>'Evaluation Plan'!Q71</x:f>
        <x:v>Exact-scene direct-identity manipulation control</x:v>
      </x:c>
      <x:c r="R71" s="34" t="n">
        <x:f>'Evaluation Plan'!R71</x:f>
        <x:v>3</x:v>
      </x:c>
      <x:c r="S71" s="32" t="str">
        <x:f>'Evaluation Plan'!S71</x:f>
        <x:v>Reset the moved object exactly; preserve the scene; change only the instruction.</x:v>
      </x:c>
      <x:c r="T71" s="32" t="str">
        <x:f>'Evaluation Plan'!T71</x:f>
        <x:v>Controls recognition and manipulation of the same target without requiring referential reasoning.</x:v>
      </x:c>
      <x:c r="U71" s="32" t="n">
        <x:f>'Evaluation Plan'!U71</x:f>
        <x:v>0</x:v>
      </x:c>
    </x:row>
    <x:row r="72" ht="51" customHeight="1">
      <x:c r="A72" s="41" t="str">
        <x:v>Not collected</x:v>
      </x:c>
      <x:c r="B72" s="42" t="n">
        <x:f>'Evaluation Plan'!B72</x:f>
        <x:v>70</x:v>
      </x:c>
      <x:c r="C72" s="41" t="str">
        <x:f>'Evaluation Plan'!C72</x:f>
        <x:v>Move the airplane toy furthest from the red pencil sharpener into the bowl.</x:v>
      </x:c>
      <x:c r="D72" s="41" t="str">
        <x:f>'Evaluation Plan'!D72</x:f>
        <x:v>Reference: red pencil sharpener at table centre; airplane toy without propellers: 10 cm toward robot-right from the reference; airplane toy with propellers: 24 cm away toward robot-left from the reference; crushed Coke can: at the far robot-left corner, outside the distance comparison; Bowl: empty</x:v>
      </x:c>
      <x:c r="E72" s="42" t="str">
        <x:f>'Evaluation Plan'!E72</x:f>
      </x:c>
      <x:c r="F72" s="42" t="str">
        <x:f>'Evaluation Plan'!F72</x:f>
        <x:v>572</x:v>
      </x:c>
      <x:c r="G72" s="41" t="str">
        <x:f>'Evaluation Plan'!G72</x:f>
        <x:v>Masked source trajectory: the target identity and physical manipulation are trained under a direct-name prompt, while this relation × candidate-category composition is intentionally absent.</x:v>
      </x:c>
      <x:c r="H72" s="41" t="str">
        <x:f>'Evaluation Plan'!H72</x:f>
        <x:v>airplane toy with propellers</x:v>
      </x:c>
      <x:c r="I72" s="41" t="str"/>
      <x:c r="J72" s="46" t="str">
        <x:f>'Evaluation Plan'!J72</x:f>
        <x:v>Concept/compositional transfer</x:v>
      </x:c>
      <x:c r="K72" s="42" t="str">
        <x:f>'Evaluation Plan'!K72</x:f>
        <x:v>RD-CT16</x:v>
      </x:c>
      <x:c r="L72" s="42" t="str">
        <x:f>'Evaluation Plan'!L72</x:f>
        <x:v>furthest</x:v>
      </x:c>
      <x:c r="M72" s="42" t="str">
        <x:f>'Evaluation Plan'!M72</x:f>
        <x:v>airplane toy</x:v>
      </x:c>
      <x:c r="N72" s="42" t="n">
        <x:f>'Evaluation Plan'!N72</x:f>
        <x:v>4</x:v>
      </x:c>
      <x:c r="O72" s="42" t="n">
        <x:f>'Evaluation Plan'!O72</x:f>
        <x:v>1</x:v>
      </x:c>
      <x:c r="P72" s="42" t="str">
        <x:f>'Evaluation Plan'!P72</x:f>
        <x:v>Empty</x:v>
      </x:c>
      <x:c r="Q72" s="41" t="str">
        <x:f>'Evaluation Plan'!Q72</x:f>
        <x:v>Primary held-out relation × candidate-category composition — Move</x:v>
      </x:c>
      <x:c r="R72" s="42" t="n">
        <x:f>'Evaluation Plan'!R72</x:f>
        <x:v>3</x:v>
      </x:c>
      <x:c r="S72" s="41" t="str">
        <x:f>'Evaluation Plan'!S72</x:f>
        <x:v>Build the listed relation scene with the bowl empty.</x:v>
      </x:c>
      <x:c r="T72" s="41" t="str">
        <x:f>'Evaluation Plan'!T72</x:f>
        <x:v>Both candidates are present. The held-out relation is the only information that identifies the target.</x:v>
      </x:c>
      <x:c r="U72" s="41" t="n">
        <x:f>'Evaluation Plan'!U72</x:f>
        <x:v>0</x:v>
      </x:c>
    </x:row>
    <x:row r="73" ht="51" customHeight="1">
      <x:c r="A73" s="32" t="str">
        <x:v>Not collected</x:v>
      </x:c>
      <x:c r="B73" s="34" t="n">
        <x:f>'Evaluation Plan'!B73</x:f>
        <x:v>71</x:v>
      </x:c>
      <x:c r="C73" s="32" t="str">
        <x:f>'Evaluation Plan'!C73</x:f>
        <x:v>Move the airplane toy with propellers into the bowl.</x:v>
      </x:c>
      <x:c r="D73" s="32" t="str">
        <x:f>'Evaluation Plan'!D73</x:f>
        <x:v>Reference: red pencil sharpener at table centre; airplane toy without propellers: 10 cm toward robot-right from the reference; airplane toy with propellers: 24 cm away toward robot-left from the reference; crushed Coke can: at the far robot-left corner, outside the distance comparison; Bowl: empty</x:v>
      </x:c>
      <x:c r="E73" s="34" t="n">
        <x:f>'Evaluation Plan'!E73</x:f>
        <x:v>70</x:v>
      </x:c>
      <x:c r="F73" s="34" t="str">
        <x:f>'Evaluation Plan'!F73</x:f>
        <x:v>572</x:v>
      </x:c>
      <x:c r="G73" s="32" t="str">
        <x:f>'Evaluation Plan'!G73</x:f>
        <x:v>Exact masked-cell training prompt for the same target identity. The evaluation scene and physical endpoint are identical to the paired transfer row.</x:v>
      </x:c>
      <x:c r="H73" s="32" t="str">
        <x:f>'Evaluation Plan'!H73</x:f>
        <x:v>airplane toy with propellers</x:v>
      </x:c>
      <x:c r="I73" s="32" t="str"/>
      <x:c r="J73" s="37" t="str">
        <x:f>'Evaluation Plan'!J73</x:f>
        <x:v>Matched manipulation control</x:v>
      </x:c>
      <x:c r="K73" s="34" t="str">
        <x:f>'Evaluation Plan'!K73</x:f>
        <x:v>RD-CT16</x:v>
      </x:c>
      <x:c r="L73" s="34" t="str">
        <x:f>'Evaluation Plan'!L73</x:f>
        <x:v>direct name</x:v>
      </x:c>
      <x:c r="M73" s="34" t="str">
        <x:f>'Evaluation Plan'!M73</x:f>
        <x:v>airplane toy</x:v>
      </x:c>
      <x:c r="N73" s="34" t="n">
        <x:f>'Evaluation Plan'!N73</x:f>
        <x:v>4</x:v>
      </x:c>
      <x:c r="O73" s="34" t="n">
        <x:f>'Evaluation Plan'!O73</x:f>
        <x:v>1</x:v>
      </x:c>
      <x:c r="P73" s="34" t="str">
        <x:f>'Evaluation Plan'!P73</x:f>
        <x:v>Empty</x:v>
      </x:c>
      <x:c r="Q73" s="32" t="str">
        <x:f>'Evaluation Plan'!Q73</x:f>
        <x:v>Exact-scene direct-identity manipulation control</x:v>
      </x:c>
      <x:c r="R73" s="34" t="n">
        <x:f>'Evaluation Plan'!R73</x:f>
        <x:v>3</x:v>
      </x:c>
      <x:c r="S73" s="32" t="str">
        <x:f>'Evaluation Plan'!S73</x:f>
        <x:v>Reset the moved object exactly; preserve the scene; change only the instruction.</x:v>
      </x:c>
      <x:c r="T73" s="32" t="str">
        <x:f>'Evaluation Plan'!T73</x:f>
        <x:v>Controls recognition and manipulation of the same target without requiring referential reasoning.</x:v>
      </x:c>
      <x:c r="U73" s="32" t="n">
        <x:f>'Evaluation Plan'!U73</x:f>
        <x:v>0</x:v>
      </x:c>
    </x:row>
    <x:row r="74" ht="51" customHeight="1">
      <x:c r="A74" s="41" t="str">
        <x:v>Not collected</x:v>
      </x:c>
      <x:c r="B74" s="42" t="n">
        <x:f>'Evaluation Plan'!B74</x:f>
        <x:v>72</x:v>
      </x:c>
      <x:c r="C74" s="41" t="str">
        <x:f>'Evaluation Plan'!C74</x:f>
        <x:v>Move the crushed soda can closest to the red pencil sharpener into the bowl.</x:v>
      </x:c>
      <x:c r="D74" s="41" t="str">
        <x:f>'Evaluation Plan'!D74</x:f>
        <x:v>Reference: red pencil sharpener at table centre; crushed Coke can: 10 cm toward robot-right from the reference; crushed Pepsi can: 24 cm away toward robot-left from the reference; yellow pen: at the far robot-left corner, outside the distance comparison; Bowl: empty</x:v>
      </x:c>
      <x:c r="E74" s="42" t="str">
        <x:f>'Evaluation Plan'!E74</x:f>
      </x:c>
      <x:c r="F74" s="42" t="str">
        <x:f>'Evaluation Plan'!F74</x:f>
        <x:v>406</x:v>
      </x:c>
      <x:c r="G74" s="41" t="str">
        <x:f>'Evaluation Plan'!G74</x:f>
        <x:v>Masked source trajectory: the target identity and physical manipulation are trained under a direct-name prompt, while this relation × candidate-category composition is intentionally absent.</x:v>
      </x:c>
      <x:c r="H74" s="41" t="str">
        <x:f>'Evaluation Plan'!H74</x:f>
        <x:v>crushed Coke can</x:v>
      </x:c>
      <x:c r="I74" s="41" t="str"/>
      <x:c r="J74" s="46" t="str">
        <x:f>'Evaluation Plan'!J74</x:f>
        <x:v>Concept/compositional transfer</x:v>
      </x:c>
      <x:c r="K74" s="42" t="str">
        <x:f>'Evaluation Plan'!K74</x:f>
        <x:v>RD-CT17</x:v>
      </x:c>
      <x:c r="L74" s="42" t="str">
        <x:f>'Evaluation Plan'!L74</x:f>
        <x:v>closest</x:v>
      </x:c>
      <x:c r="M74" s="42" t="str">
        <x:f>'Evaluation Plan'!M74</x:f>
        <x:v>crushed soda can</x:v>
      </x:c>
      <x:c r="N74" s="42" t="n">
        <x:f>'Evaluation Plan'!N74</x:f>
        <x:v>4</x:v>
      </x:c>
      <x:c r="O74" s="42" t="n">
        <x:f>'Evaluation Plan'!O74</x:f>
        <x:v>1</x:v>
      </x:c>
      <x:c r="P74" s="42" t="str">
        <x:f>'Evaluation Plan'!P74</x:f>
        <x:v>Empty</x:v>
      </x:c>
      <x:c r="Q74" s="41" t="str">
        <x:f>'Evaluation Plan'!Q74</x:f>
        <x:v>Primary held-out relation × candidate-category composition — Move</x:v>
      </x:c>
      <x:c r="R74" s="42" t="n">
        <x:f>'Evaluation Plan'!R74</x:f>
        <x:v>3</x:v>
      </x:c>
      <x:c r="S74" s="41" t="str">
        <x:f>'Evaluation Plan'!S74</x:f>
        <x:v>Build the listed relation scene with the bowl empty.</x:v>
      </x:c>
      <x:c r="T74" s="41" t="str">
        <x:f>'Evaluation Plan'!T74</x:f>
        <x:v>Both candidates are present. The held-out relation is the only information that identifies the target.</x:v>
      </x:c>
      <x:c r="U74" s="41" t="n">
        <x:f>'Evaluation Plan'!U74</x:f>
        <x:v>0</x:v>
      </x:c>
    </x:row>
    <x:row r="75" ht="51" customHeight="1">
      <x:c r="A75" s="32" t="str">
        <x:v>Not collected</x:v>
      </x:c>
      <x:c r="B75" s="34" t="n">
        <x:f>'Evaluation Plan'!B75</x:f>
        <x:v>73</x:v>
      </x:c>
      <x:c r="C75" s="32" t="str">
        <x:f>'Evaluation Plan'!C75</x:f>
        <x:v>Put the crushed Coke can in the bowl.</x:v>
      </x:c>
      <x:c r="D75" s="32" t="str">
        <x:f>'Evaluation Plan'!D75</x:f>
        <x:v>Reference: red pencil sharpener at table centre; crushed Coke can: 10 cm toward robot-right from the reference; crushed Pepsi can: 24 cm away toward robot-left from the reference; yellow pen: at the far robot-left corner, outside the distance comparison; Bowl: empty</x:v>
      </x:c>
      <x:c r="E75" s="34" t="n">
        <x:f>'Evaluation Plan'!E75</x:f>
        <x:v>72</x:v>
      </x:c>
      <x:c r="F75" s="34" t="str">
        <x:f>'Evaluation Plan'!F75</x:f>
        <x:v>406</x:v>
      </x:c>
      <x:c r="G75" s="32" t="str">
        <x:f>'Evaluation Plan'!G75</x:f>
        <x:v>Exact masked-cell training prompt for the same target identity. The evaluation scene and physical endpoint are identical to the paired transfer row.</x:v>
      </x:c>
      <x:c r="H75" s="32" t="str">
        <x:f>'Evaluation Plan'!H75</x:f>
        <x:v>crushed Coke can</x:v>
      </x:c>
      <x:c r="I75" s="32" t="str"/>
      <x:c r="J75" s="37" t="str">
        <x:f>'Evaluation Plan'!J75</x:f>
        <x:v>Matched manipulation control</x:v>
      </x:c>
      <x:c r="K75" s="34" t="str">
        <x:f>'Evaluation Plan'!K75</x:f>
        <x:v>RD-CT17</x:v>
      </x:c>
      <x:c r="L75" s="34" t="str">
        <x:f>'Evaluation Plan'!L75</x:f>
        <x:v>direct name</x:v>
      </x:c>
      <x:c r="M75" s="34" t="str">
        <x:f>'Evaluation Plan'!M75</x:f>
        <x:v>crushed soda can</x:v>
      </x:c>
      <x:c r="N75" s="34" t="n">
        <x:f>'Evaluation Plan'!N75</x:f>
        <x:v>4</x:v>
      </x:c>
      <x:c r="O75" s="34" t="n">
        <x:f>'Evaluation Plan'!O75</x:f>
        <x:v>1</x:v>
      </x:c>
      <x:c r="P75" s="34" t="str">
        <x:f>'Evaluation Plan'!P75</x:f>
        <x:v>Empty</x:v>
      </x:c>
      <x:c r="Q75" s="32" t="str">
        <x:f>'Evaluation Plan'!Q75</x:f>
        <x:v>Exact-scene direct-identity manipulation control</x:v>
      </x:c>
      <x:c r="R75" s="34" t="n">
        <x:f>'Evaluation Plan'!R75</x:f>
        <x:v>3</x:v>
      </x:c>
      <x:c r="S75" s="32" t="str">
        <x:f>'Evaluation Plan'!S75</x:f>
        <x:v>Reset the moved object exactly; preserve the scene; change only the instruction.</x:v>
      </x:c>
      <x:c r="T75" s="32" t="str">
        <x:f>'Evaluation Plan'!T75</x:f>
        <x:v>Controls recognition and manipulation of the same target without requiring referential reasoning.</x:v>
      </x:c>
      <x:c r="U75" s="32" t="n">
        <x:f>'Evaluation Plan'!U75</x:f>
        <x:v>0</x:v>
      </x:c>
    </x:row>
    <x:row r="76" ht="51" customHeight="1">
      <x:c r="A76" s="41" t="str">
        <x:v>Not collected</x:v>
      </x:c>
      <x:c r="B76" s="42" t="n">
        <x:f>'Evaluation Plan'!B76</x:f>
        <x:v>74</x:v>
      </x:c>
      <x:c r="C76" s="41" t="str">
        <x:f>'Evaluation Plan'!C76</x:f>
        <x:v>Move the pencil sharpener between the crushed Pepsi can and the airplane toy without propellers into the bowl.</x:v>
      </x:c>
      <x:c r="D76" s="41" t="str">
        <x:f>'Evaluation Plan'!D76</x:f>
        <x:v>Reference A: crushed Pepsi can at 14 cm toward the robot from table centre; Reference B: airplane toy without propellers at 14 cm away from the robot from table centre; green pencil sharpener: at table centre on the straight Reference A–B segment; red pencil sharpener: 12 cm to robot-right of table centre, off the Reference A–B segment; Bowl: empty</x:v>
      </x:c>
      <x:c r="E76" s="42" t="str">
        <x:f>'Evaluation Plan'!E76</x:f>
      </x:c>
      <x:c r="F76" s="42" t="str">
        <x:f>'Evaluation Plan'!F76</x:f>
        <x:v>487</x:v>
      </x:c>
      <x:c r="G76" s="41" t="str">
        <x:f>'Evaluation Plan'!G76</x:f>
        <x:v>Masked source trajectory: the target identity and physical manipulation are trained under a direct-name prompt, while this relation × candidate-category composition is intentionally absent.</x:v>
      </x:c>
      <x:c r="H76" s="41" t="str">
        <x:f>'Evaluation Plan'!H76</x:f>
        <x:v>green pencil sharpener</x:v>
      </x:c>
      <x:c r="I76" s="41" t="str"/>
      <x:c r="J76" s="46" t="str">
        <x:f>'Evaluation Plan'!J76</x:f>
        <x:v>Concept/compositional transfer</x:v>
      </x:c>
      <x:c r="K76" s="42" t="str">
        <x:f>'Evaluation Plan'!K76</x:f>
        <x:v>RD-CT18</x:v>
      </x:c>
      <x:c r="L76" s="42" t="str">
        <x:f>'Evaluation Plan'!L76</x:f>
        <x:v>between</x:v>
      </x:c>
      <x:c r="M76" s="42" t="str">
        <x:f>'Evaluation Plan'!M76</x:f>
        <x:v>pencil sharpener</x:v>
      </x:c>
      <x:c r="N76" s="42" t="n">
        <x:f>'Evaluation Plan'!N76</x:f>
        <x:v>4</x:v>
      </x:c>
      <x:c r="O76" s="42" t="n">
        <x:f>'Evaluation Plan'!O76</x:f>
        <x:v>1</x:v>
      </x:c>
      <x:c r="P76" s="42" t="str">
        <x:f>'Evaluation Plan'!P76</x:f>
        <x:v>Empty</x:v>
      </x:c>
      <x:c r="Q76" s="41" t="str">
        <x:f>'Evaluation Plan'!Q76</x:f>
        <x:v>Primary held-out relation × candidate-category composition — Move</x:v>
      </x:c>
      <x:c r="R76" s="42" t="n">
        <x:f>'Evaluation Plan'!R76</x:f>
        <x:v>3</x:v>
      </x:c>
      <x:c r="S76" s="41" t="str">
        <x:f>'Evaluation Plan'!S76</x:f>
        <x:v>Build the listed relation scene with the bowl empty.</x:v>
      </x:c>
      <x:c r="T76" s="41" t="str">
        <x:f>'Evaluation Plan'!T76</x:f>
        <x:v>Both candidates are present. The held-out relation is the only information that identifies the target.</x:v>
      </x:c>
      <x:c r="U76" s="41" t="n">
        <x:f>'Evaluation Plan'!U76</x:f>
        <x:v>0</x:v>
      </x:c>
    </x:row>
    <x:row r="77" ht="51" customHeight="1">
      <x:c r="A77" s="32" t="str">
        <x:v>Not collected</x:v>
      </x:c>
      <x:c r="B77" s="34" t="n">
        <x:f>'Evaluation Plan'!B77</x:f>
        <x:v>75</x:v>
      </x:c>
      <x:c r="C77" s="32" t="str">
        <x:f>'Evaluation Plan'!C77</x:f>
        <x:v>Put the green pencil sharpener in the bowl.</x:v>
      </x:c>
      <x:c r="D77" s="32" t="str">
        <x:f>'Evaluation Plan'!D77</x:f>
        <x:v>Reference A: crushed Pepsi can at 14 cm toward the robot from table centre; Reference B: airplane toy without propellers at 14 cm away from the robot from table centre; green pencil sharpener: at table centre on the straight Reference A–B segment; red pencil sharpener: 12 cm to robot-right of table centre, off the Reference A–B segment; Bowl: empty</x:v>
      </x:c>
      <x:c r="E77" s="34" t="n">
        <x:f>'Evaluation Plan'!E77</x:f>
        <x:v>74</x:v>
      </x:c>
      <x:c r="F77" s="34" t="str">
        <x:f>'Evaluation Plan'!F77</x:f>
        <x:v>487</x:v>
      </x:c>
      <x:c r="G77" s="32" t="str">
        <x:f>'Evaluation Plan'!G77</x:f>
        <x:v>Exact masked-cell training prompt for the same target identity. The evaluation scene and physical endpoint are identical to the paired transfer row.</x:v>
      </x:c>
      <x:c r="H77" s="32" t="str">
        <x:f>'Evaluation Plan'!H77</x:f>
        <x:v>green pencil sharpener</x:v>
      </x:c>
      <x:c r="I77" s="32" t="str"/>
      <x:c r="J77" s="37" t="str">
        <x:f>'Evaluation Plan'!J77</x:f>
        <x:v>Matched manipulation control</x:v>
      </x:c>
      <x:c r="K77" s="34" t="str">
        <x:f>'Evaluation Plan'!K77</x:f>
        <x:v>RD-CT18</x:v>
      </x:c>
      <x:c r="L77" s="34" t="str">
        <x:f>'Evaluation Plan'!L77</x:f>
        <x:v>direct name</x:v>
      </x:c>
      <x:c r="M77" s="34" t="str">
        <x:f>'Evaluation Plan'!M77</x:f>
        <x:v>pencil sharpener</x:v>
      </x:c>
      <x:c r="N77" s="34" t="n">
        <x:f>'Evaluation Plan'!N77</x:f>
        <x:v>4</x:v>
      </x:c>
      <x:c r="O77" s="34" t="n">
        <x:f>'Evaluation Plan'!O77</x:f>
        <x:v>1</x:v>
      </x:c>
      <x:c r="P77" s="34" t="str">
        <x:f>'Evaluation Plan'!P77</x:f>
        <x:v>Empty</x:v>
      </x:c>
      <x:c r="Q77" s="32" t="str">
        <x:f>'Evaluation Plan'!Q77</x:f>
        <x:v>Exact-scene direct-identity manipulation control</x:v>
      </x:c>
      <x:c r="R77" s="34" t="n">
        <x:f>'Evaluation Plan'!R77</x:f>
        <x:v>3</x:v>
      </x:c>
      <x:c r="S77" s="32" t="str">
        <x:f>'Evaluation Plan'!S77</x:f>
        <x:v>Reset the moved object exactly; preserve the scene; change only the instruction.</x:v>
      </x:c>
      <x:c r="T77" s="32" t="str">
        <x:f>'Evaluation Plan'!T77</x:f>
        <x:v>Controls recognition and manipulation of the same target without requiring referential reasoning.</x:v>
      </x:c>
      <x:c r="U77" s="32" t="n">
        <x:f>'Evaluation Plan'!U77</x:f>
        <x:v>0</x:v>
      </x:c>
    </x:row>
    <x:row r="78" ht="51" customHeight="1">
      <x:c r="A78" s="41" t="str">
        <x:v>Not collected</x:v>
      </x:c>
      <x:c r="B78" s="42" t="n">
        <x:f>'Evaluation Plan'!B78</x:f>
        <x:v>76</x:v>
      </x:c>
      <x:c r="C78" s="41" t="str">
        <x:f>'Evaluation Plan'!C78</x:f>
        <x:v>Pick up the airplane toy furthest from the green pen and place it in the bowl.</x:v>
      </x:c>
      <x:c r="D78" s="41" t="str">
        <x:f>'Evaluation Plan'!D78</x:f>
        <x:v>Reference: green pen at table centre; airplane toy with propellers: 10 cm to robot-left of the reference; airplane toy without propellers: 24 cm to robot-right of the reference; red pencil sharpener: at the far robot-left corner, outside the distance comparison; Bowl: empty</x:v>
      </x:c>
      <x:c r="E78" s="42" t="str">
        <x:f>'Evaluation Plan'!E78</x:f>
      </x:c>
      <x:c r="F78" s="42" t="str">
        <x:f>'Evaluation Plan'!F78</x:f>
        <x:v>569</x:v>
      </x:c>
      <x:c r="G78" s="41" t="str">
        <x:f>'Evaluation Plan'!G78</x:f>
        <x:v>Masked source trajectory: the target identity and physical manipulation are trained under a direct-name prompt, while this relation × candidate-category composition is intentionally absent.</x:v>
      </x:c>
      <x:c r="H78" s="41" t="str">
        <x:f>'Evaluation Plan'!H78</x:f>
        <x:v>airplane toy without propellers</x:v>
      </x:c>
      <x:c r="I78" s="41" t="str"/>
      <x:c r="J78" s="46" t="str">
        <x:f>'Evaluation Plan'!J78</x:f>
        <x:v>Concept/compositional transfer</x:v>
      </x:c>
      <x:c r="K78" s="42" t="str">
        <x:f>'Evaluation Plan'!K78</x:f>
        <x:v>RD-CT19</x:v>
      </x:c>
      <x:c r="L78" s="42" t="str">
        <x:f>'Evaluation Plan'!L78</x:f>
        <x:v>furthest</x:v>
      </x:c>
      <x:c r="M78" s="42" t="str">
        <x:f>'Evaluation Plan'!M78</x:f>
        <x:v>airplane toy</x:v>
      </x:c>
      <x:c r="N78" s="42" t="n">
        <x:f>'Evaluation Plan'!N78</x:f>
        <x:v>4</x:v>
      </x:c>
      <x:c r="O78" s="42" t="n">
        <x:f>'Evaluation Plan'!O78</x:f>
        <x:v>1</x:v>
      </x:c>
      <x:c r="P78" s="42" t="str">
        <x:f>'Evaluation Plan'!P78</x:f>
        <x:v>Empty</x:v>
      </x:c>
      <x:c r="Q78" s="41" t="str">
        <x:f>'Evaluation Plan'!Q78</x:f>
        <x:v>Primary held-out relation × candidate-category composition — Pick up</x:v>
      </x:c>
      <x:c r="R78" s="42" t="n">
        <x:f>'Evaluation Plan'!R78</x:f>
        <x:v>3</x:v>
      </x:c>
      <x:c r="S78" s="41" t="str">
        <x:f>'Evaluation Plan'!S78</x:f>
        <x:v>Build the listed relation scene with the bowl empty.</x:v>
      </x:c>
      <x:c r="T78" s="41" t="str">
        <x:f>'Evaluation Plan'!T78</x:f>
        <x:v>Both candidates are present. The held-out relation is the only information that identifies the target.</x:v>
      </x:c>
      <x:c r="U78" s="41" t="n">
        <x:f>'Evaluation Plan'!U78</x:f>
        <x:v>0</x:v>
      </x:c>
    </x:row>
    <x:row r="79" ht="51" customHeight="1">
      <x:c r="A79" s="32" t="str">
        <x:v>Not collected</x:v>
      </x:c>
      <x:c r="B79" s="34" t="n">
        <x:f>'Evaluation Plan'!B79</x:f>
        <x:v>77</x:v>
      </x:c>
      <x:c r="C79" s="32" t="str">
        <x:f>'Evaluation Plan'!C79</x:f>
        <x:v>Put the airplane toy without propellers in the bowl.</x:v>
      </x:c>
      <x:c r="D79" s="32" t="str">
        <x:f>'Evaluation Plan'!D79</x:f>
        <x:v>Reference: green pen at table centre; airplane toy with propellers: 10 cm to robot-left of the reference; airplane toy without propellers: 24 cm to robot-right of the reference; red pencil sharpener: at the far robot-left corner, outside the distance comparison; Bowl: empty</x:v>
      </x:c>
      <x:c r="E79" s="34" t="n">
        <x:f>'Evaluation Plan'!E79</x:f>
        <x:v>76</x:v>
      </x:c>
      <x:c r="F79" s="34" t="str">
        <x:f>'Evaluation Plan'!F79</x:f>
        <x:v>569</x:v>
      </x:c>
      <x:c r="G79" s="32" t="str">
        <x:f>'Evaluation Plan'!G79</x:f>
        <x:v>Exact masked-cell training prompt for the same target identity. The evaluation scene and physical endpoint are identical to the paired transfer row.</x:v>
      </x:c>
      <x:c r="H79" s="32" t="str">
        <x:f>'Evaluation Plan'!H79</x:f>
        <x:v>airplane toy without propellers</x:v>
      </x:c>
      <x:c r="I79" s="32" t="str"/>
      <x:c r="J79" s="37" t="str">
        <x:f>'Evaluation Plan'!J79</x:f>
        <x:v>Matched manipulation control</x:v>
      </x:c>
      <x:c r="K79" s="34" t="str">
        <x:f>'Evaluation Plan'!K79</x:f>
        <x:v>RD-CT19</x:v>
      </x:c>
      <x:c r="L79" s="34" t="str">
        <x:f>'Evaluation Plan'!L79</x:f>
        <x:v>direct name</x:v>
      </x:c>
      <x:c r="M79" s="34" t="str">
        <x:f>'Evaluation Plan'!M79</x:f>
        <x:v>airplane toy</x:v>
      </x:c>
      <x:c r="N79" s="34" t="n">
        <x:f>'Evaluation Plan'!N79</x:f>
        <x:v>4</x:v>
      </x:c>
      <x:c r="O79" s="34" t="n">
        <x:f>'Evaluation Plan'!O79</x:f>
        <x:v>1</x:v>
      </x:c>
      <x:c r="P79" s="34" t="str">
        <x:f>'Evaluation Plan'!P79</x:f>
        <x:v>Empty</x:v>
      </x:c>
      <x:c r="Q79" s="32" t="str">
        <x:f>'Evaluation Plan'!Q79</x:f>
        <x:v>Exact-scene direct-identity manipulation control</x:v>
      </x:c>
      <x:c r="R79" s="34" t="n">
        <x:f>'Evaluation Plan'!R79</x:f>
        <x:v>3</x:v>
      </x:c>
      <x:c r="S79" s="32" t="str">
        <x:f>'Evaluation Plan'!S79</x:f>
        <x:v>Reset the moved object exactly; preserve the scene; change only the instruction.</x:v>
      </x:c>
      <x:c r="T79" s="32" t="str">
        <x:f>'Evaluation Plan'!T79</x:f>
        <x:v>Controls recognition and manipulation of the same target without requiring referential reasoning.</x:v>
      </x:c>
      <x:c r="U79" s="32" t="n">
        <x:f>'Evaluation Plan'!U79</x:f>
        <x:v>0</x:v>
      </x:c>
    </x:row>
    <x:row r="80" ht="51" customHeight="1">
      <x:c r="A80" s="41" t="str">
        <x:v>Not collected</x:v>
      </x:c>
      <x:c r="B80" s="42" t="n">
        <x:f>'Evaluation Plan'!B80</x:f>
        <x:v>78</x:v>
      </x:c>
      <x:c r="C80" s="41" t="str">
        <x:f>'Evaluation Plan'!C80</x:f>
        <x:v>Pick up the crushed soda can closest to the green pen and place it in the bowl.</x:v>
      </x:c>
      <x:c r="D80" s="41" t="str">
        <x:f>'Evaluation Plan'!D80</x:f>
        <x:v>Reference: green pen at table centre; crushed Pepsi can: 10 cm to robot-left of the reference; crushed Coke can: 24 cm to robot-right of the reference; green pencil sharpener: at the far robot-left corner, outside the distance comparison; Bowl: empty</x:v>
      </x:c>
      <x:c r="E80" s="42" t="str">
        <x:f>'Evaluation Plan'!E80</x:f>
      </x:c>
      <x:c r="F80" s="42" t="str">
        <x:f>'Evaluation Plan'!F80</x:f>
        <x:v>405</x:v>
      </x:c>
      <x:c r="G80" s="41" t="str">
        <x:f>'Evaluation Plan'!G80</x:f>
        <x:v>Masked source trajectory: the target identity and physical manipulation are trained under a direct-name prompt, while this relation × candidate-category composition is intentionally absent.</x:v>
      </x:c>
      <x:c r="H80" s="41" t="str">
        <x:f>'Evaluation Plan'!H80</x:f>
        <x:v>crushed Pepsi can</x:v>
      </x:c>
      <x:c r="I80" s="41" t="str"/>
      <x:c r="J80" s="46" t="str">
        <x:f>'Evaluation Plan'!J80</x:f>
        <x:v>Concept/compositional transfer</x:v>
      </x:c>
      <x:c r="K80" s="42" t="str">
        <x:f>'Evaluation Plan'!K80</x:f>
        <x:v>RD-CT20</x:v>
      </x:c>
      <x:c r="L80" s="42" t="str">
        <x:f>'Evaluation Plan'!L80</x:f>
        <x:v>closest</x:v>
      </x:c>
      <x:c r="M80" s="42" t="str">
        <x:f>'Evaluation Plan'!M80</x:f>
        <x:v>crushed soda can</x:v>
      </x:c>
      <x:c r="N80" s="42" t="n">
        <x:f>'Evaluation Plan'!N80</x:f>
        <x:v>4</x:v>
      </x:c>
      <x:c r="O80" s="42" t="n">
        <x:f>'Evaluation Plan'!O80</x:f>
        <x:v>1</x:v>
      </x:c>
      <x:c r="P80" s="42" t="str">
        <x:f>'Evaluation Plan'!P80</x:f>
        <x:v>Empty</x:v>
      </x:c>
      <x:c r="Q80" s="41" t="str">
        <x:f>'Evaluation Plan'!Q80</x:f>
        <x:v>Primary held-out relation × candidate-category composition — Pick up</x:v>
      </x:c>
      <x:c r="R80" s="42" t="n">
        <x:f>'Evaluation Plan'!R80</x:f>
        <x:v>3</x:v>
      </x:c>
      <x:c r="S80" s="41" t="str">
        <x:f>'Evaluation Plan'!S80</x:f>
        <x:v>Build the listed relation scene with the bowl empty.</x:v>
      </x:c>
      <x:c r="T80" s="41" t="str">
        <x:f>'Evaluation Plan'!T80</x:f>
        <x:v>Both candidates are present. The held-out relation is the only information that identifies the target.</x:v>
      </x:c>
      <x:c r="U80" s="41" t="n">
        <x:f>'Evaluation Plan'!U80</x:f>
        <x:v>0</x:v>
      </x:c>
    </x:row>
    <x:row r="81" ht="51" customHeight="1">
      <x:c r="A81" s="32" t="str">
        <x:v>Not collected</x:v>
      </x:c>
      <x:c r="B81" s="34" t="n">
        <x:f>'Evaluation Plan'!B81</x:f>
        <x:v>79</x:v>
      </x:c>
      <x:c r="C81" s="32" t="str">
        <x:f>'Evaluation Plan'!C81</x:f>
        <x:v>Move the crushed Pepsi can into the bowl.</x:v>
      </x:c>
      <x:c r="D81" s="32" t="str">
        <x:f>'Evaluation Plan'!D81</x:f>
        <x:v>Reference: green pen at table centre; crushed Pepsi can: 10 cm to robot-left of the reference; crushed Coke can: 24 cm to robot-right of the reference; green pencil sharpener: at the far robot-left corner, outside the distance comparison; Bowl: empty</x:v>
      </x:c>
      <x:c r="E81" s="34" t="n">
        <x:f>'Evaluation Plan'!E81</x:f>
        <x:v>78</x:v>
      </x:c>
      <x:c r="F81" s="34" t="str">
        <x:f>'Evaluation Plan'!F81</x:f>
        <x:v>405</x:v>
      </x:c>
      <x:c r="G81" s="32" t="str">
        <x:f>'Evaluation Plan'!G81</x:f>
        <x:v>Exact masked-cell training prompt for the same target identity. The evaluation scene and physical endpoint are identical to the paired transfer row.</x:v>
      </x:c>
      <x:c r="H81" s="32" t="str">
        <x:f>'Evaluation Plan'!H81</x:f>
        <x:v>crushed Pepsi can</x:v>
      </x:c>
      <x:c r="I81" s="32" t="str"/>
      <x:c r="J81" s="37" t="str">
        <x:f>'Evaluation Plan'!J81</x:f>
        <x:v>Matched manipulation control</x:v>
      </x:c>
      <x:c r="K81" s="34" t="str">
        <x:f>'Evaluation Plan'!K81</x:f>
        <x:v>RD-CT20</x:v>
      </x:c>
      <x:c r="L81" s="34" t="str">
        <x:f>'Evaluation Plan'!L81</x:f>
        <x:v>direct name</x:v>
      </x:c>
      <x:c r="M81" s="34" t="str">
        <x:f>'Evaluation Plan'!M81</x:f>
        <x:v>crushed soda can</x:v>
      </x:c>
      <x:c r="N81" s="34" t="n">
        <x:f>'Evaluation Plan'!N81</x:f>
        <x:v>4</x:v>
      </x:c>
      <x:c r="O81" s="34" t="n">
        <x:f>'Evaluation Plan'!O81</x:f>
        <x:v>1</x:v>
      </x:c>
      <x:c r="P81" s="34" t="str">
        <x:f>'Evaluation Plan'!P81</x:f>
        <x:v>Empty</x:v>
      </x:c>
      <x:c r="Q81" s="32" t="str">
        <x:f>'Evaluation Plan'!Q81</x:f>
        <x:v>Exact-scene direct-identity manipulation control</x:v>
      </x:c>
      <x:c r="R81" s="34" t="n">
        <x:f>'Evaluation Plan'!R81</x:f>
        <x:v>3</x:v>
      </x:c>
      <x:c r="S81" s="32" t="str">
        <x:f>'Evaluation Plan'!S81</x:f>
        <x:v>Reset the moved object exactly; preserve the scene; change only the instruction.</x:v>
      </x:c>
      <x:c r="T81" s="32" t="str">
        <x:f>'Evaluation Plan'!T81</x:f>
        <x:v>Controls recognition and manipulation of the same target without requiring referential reasoning.</x:v>
      </x:c>
      <x:c r="U81" s="32" t="n">
        <x:f>'Evaluation Plan'!U81</x:f>
        <x:v>0</x:v>
      </x:c>
    </x:row>
    <x:row r="82" ht="51" customHeight="1">
      <x:c r="A82" s="41" t="str">
        <x:v>Not collected</x:v>
      </x:c>
      <x:c r="B82" s="42" t="n">
        <x:f>'Evaluation Plan'!B82</x:f>
        <x:v>80</x:v>
      </x:c>
      <x:c r="C82" s="41" t="str">
        <x:f>'Evaluation Plan'!C82</x:f>
        <x:v>Pick up the pencil sharpener between the green pen and the crushed Coke can and place it in the bowl.</x:v>
      </x:c>
      <x:c r="D82" s="41" t="str">
        <x:f>'Evaluation Plan'!D82</x:f>
        <x:v>Reference A: green pen at 14 cm toward robot-left from table centre; Reference B: crushed Coke can at 14 cm away toward robot-right from table centre; red pencil sharpener: at table centre on the straight Reference A–B segment; green pencil sharpener: 12 cm toward robot-right from table centre, off the Reference A–B segment; Bowl: empty</x:v>
      </x:c>
      <x:c r="E82" s="42" t="str">
        <x:f>'Evaluation Plan'!E82</x:f>
      </x:c>
      <x:c r="F82" s="42" t="str">
        <x:f>'Evaluation Plan'!F82</x:f>
        <x:v>484</x:v>
      </x:c>
      <x:c r="G82" s="41" t="str">
        <x:f>'Evaluation Plan'!G82</x:f>
        <x:v>Masked source trajectory: the target identity and physical manipulation are trained under a direct-name prompt, while this relation × candidate-category composition is intentionally absent.</x:v>
      </x:c>
      <x:c r="H82" s="41" t="str">
        <x:f>'Evaluation Plan'!H82</x:f>
        <x:v>red pencil sharpener</x:v>
      </x:c>
      <x:c r="I82" s="41" t="str"/>
      <x:c r="J82" s="46" t="str">
        <x:f>'Evaluation Plan'!J82</x:f>
        <x:v>Concept/compositional transfer</x:v>
      </x:c>
      <x:c r="K82" s="42" t="str">
        <x:f>'Evaluation Plan'!K82</x:f>
        <x:v>RD-CT21</x:v>
      </x:c>
      <x:c r="L82" s="42" t="str">
        <x:f>'Evaluation Plan'!L82</x:f>
        <x:v>between</x:v>
      </x:c>
      <x:c r="M82" s="42" t="str">
        <x:f>'Evaluation Plan'!M82</x:f>
        <x:v>pencil sharpener</x:v>
      </x:c>
      <x:c r="N82" s="42" t="n">
        <x:f>'Evaluation Plan'!N82</x:f>
        <x:v>4</x:v>
      </x:c>
      <x:c r="O82" s="42" t="n">
        <x:f>'Evaluation Plan'!O82</x:f>
        <x:v>1</x:v>
      </x:c>
      <x:c r="P82" s="42" t="str">
        <x:f>'Evaluation Plan'!P82</x:f>
        <x:v>Empty</x:v>
      </x:c>
      <x:c r="Q82" s="41" t="str">
        <x:f>'Evaluation Plan'!Q82</x:f>
        <x:v>Primary held-out relation × candidate-category composition — Pick up</x:v>
      </x:c>
      <x:c r="R82" s="42" t="n">
        <x:f>'Evaluation Plan'!R82</x:f>
        <x:v>4</x:v>
      </x:c>
      <x:c r="S82" s="41" t="str">
        <x:f>'Evaluation Plan'!S82</x:f>
        <x:v>Build the listed relation scene with the bowl empty.</x:v>
      </x:c>
      <x:c r="T82" s="41" t="str">
        <x:f>'Evaluation Plan'!T82</x:f>
        <x:v>Both candidates are present. The held-out relation is the only information that identifies the target.</x:v>
      </x:c>
      <x:c r="U82" s="41" t="n">
        <x:f>'Evaluation Plan'!U82</x:f>
        <x:v>0</x:v>
      </x:c>
    </x:row>
    <x:row r="83" ht="51" customHeight="1">
      <x:c r="A83" s="44" t="str">
        <x:v>Not collected</x:v>
      </x:c>
      <x:c r="B83" s="45" t="n">
        <x:f>'Evaluation Plan'!B83</x:f>
        <x:v>81</x:v>
      </x:c>
      <x:c r="C83" s="44" t="str">
        <x:f>'Evaluation Plan'!C83</x:f>
        <x:v>Put the airplane toy furthest from the crushed Coke can in the bowl.</x:v>
      </x:c>
      <x:c r="D83" s="44" t="str">
        <x:f>'Evaluation Plan'!D83</x:f>
        <x:v>Reference: crushed Coke can at table centre; airplane toy with propellers: 10 cm to robot-right of the reference; airplane toy without propellers: 24 cm to robot-left of the reference; green pencil sharpener: at the far robot-left corner, outside the distance comparison; Bowl: empty</x:v>
      </x:c>
      <x:c r="E83" s="45" t="str">
        <x:f>'Evaluation Plan'!E83</x:f>
      </x:c>
      <x:c r="F83" s="45" t="str">
        <x:f>'Evaluation Plan'!F83</x:f>
        <x:v>571</x:v>
      </x:c>
      <x:c r="G83" s="44" t="str">
        <x:f>'Evaluation Plan'!G83</x:f>
        <x:v>Masked source trajectory: the target identity and physical manipulation are trained under a direct-name prompt, while this relation × candidate-category composition is intentionally absent.</x:v>
      </x:c>
      <x:c r="H83" s="44" t="str">
        <x:f>'Evaluation Plan'!H83</x:f>
        <x:v>airplane toy without propellers</x:v>
      </x:c>
      <x:c r="I83" s="44" t="str"/>
      <x:c r="J83" s="46" t="str">
        <x:f>'Evaluation Plan'!J83</x:f>
        <x:v>Concept/compositional transfer</x:v>
      </x:c>
      <x:c r="K83" s="45" t="str">
        <x:f>'Evaluation Plan'!K83</x:f>
        <x:v>RD-CT22</x:v>
      </x:c>
      <x:c r="L83" s="45" t="str">
        <x:f>'Evaluation Plan'!L83</x:f>
        <x:v>furthest</x:v>
      </x:c>
      <x:c r="M83" s="45" t="str">
        <x:f>'Evaluation Plan'!M83</x:f>
        <x:v>airplane toy</x:v>
      </x:c>
      <x:c r="N83" s="45" t="n">
        <x:f>'Evaluation Plan'!N83</x:f>
        <x:v>4</x:v>
      </x:c>
      <x:c r="O83" s="45" t="n">
        <x:f>'Evaluation Plan'!O83</x:f>
        <x:v>1</x:v>
      </x:c>
      <x:c r="P83" s="45" t="str">
        <x:f>'Evaluation Plan'!P83</x:f>
        <x:v>Empty</x:v>
      </x:c>
      <x:c r="Q83" s="44" t="str">
        <x:f>'Evaluation Plan'!Q83</x:f>
        <x:v>Primary held-out relation × candidate-category composition — Put</x:v>
      </x:c>
      <x:c r="R83" s="45" t="n">
        <x:f>'Evaluation Plan'!R83</x:f>
        <x:v>4</x:v>
      </x:c>
      <x:c r="S83" s="44" t="str">
        <x:f>'Evaluation Plan'!S83</x:f>
        <x:v>Build the listed relation scene with the bowl empty.</x:v>
      </x:c>
      <x:c r="T83" s="44" t="str">
        <x:f>'Evaluation Plan'!T83</x:f>
        <x:v>Both candidates are present. The held-out relation is the only information that identifies the target.</x:v>
      </x:c>
      <x:c r="U83" s="44" t="n">
        <x:f>'Evaluation Plan'!U83</x:f>
        <x:v>0</x:v>
      </x:c>
    </x:row>
    <x:row r="84" ht="51" customHeight="1">
      <x:c r="A84" s="41" t="str">
        <x:v>Not collected</x:v>
      </x:c>
      <x:c r="B84" s="42" t="n">
        <x:f>'Evaluation Plan'!B84</x:f>
        <x:v>82</x:v>
      </x:c>
      <x:c r="C84" s="41" t="str">
        <x:f>'Evaluation Plan'!C84</x:f>
        <x:v>Put the crushed soda can closest to the airplane toy with propellers in the bowl.</x:v>
      </x:c>
      <x:c r="D84" s="41" t="str">
        <x:f>'Evaluation Plan'!D84</x:f>
        <x:v>Reference: airplane toy with propellers at table centre; crushed Pepsi can: 10 cm to robot-right of the reference; crushed Coke can: 24 cm to robot-left of the reference; yellow pen: at the far robot-left corner, outside the distance comparison; Bowl: empty</x:v>
      </x:c>
      <x:c r="E84" s="42" t="str">
        <x:f>'Evaluation Plan'!E84</x:f>
      </x:c>
      <x:c r="F84" s="42" t="str">
        <x:f>'Evaluation Plan'!F84</x:f>
        <x:v>407</x:v>
      </x:c>
      <x:c r="G84" s="41" t="str">
        <x:f>'Evaluation Plan'!G84</x:f>
        <x:v>Masked source trajectory: the target identity and physical manipulation are trained under a direct-name prompt, while this relation × candidate-category composition is intentionally absent.</x:v>
      </x:c>
      <x:c r="H84" s="41" t="str">
        <x:f>'Evaluation Plan'!H84</x:f>
        <x:v>crushed Pepsi can</x:v>
      </x:c>
      <x:c r="I84" s="41" t="str"/>
      <x:c r="J84" s="46" t="str">
        <x:f>'Evaluation Plan'!J84</x:f>
        <x:v>Concept/compositional transfer</x:v>
      </x:c>
      <x:c r="K84" s="42" t="str">
        <x:f>'Evaluation Plan'!K84</x:f>
        <x:v>RD-CT23</x:v>
      </x:c>
      <x:c r="L84" s="42" t="str">
        <x:f>'Evaluation Plan'!L84</x:f>
        <x:v>closest</x:v>
      </x:c>
      <x:c r="M84" s="42" t="str">
        <x:f>'Evaluation Plan'!M84</x:f>
        <x:v>crushed soda can</x:v>
      </x:c>
      <x:c r="N84" s="42" t="n">
        <x:f>'Evaluation Plan'!N84</x:f>
        <x:v>4</x:v>
      </x:c>
      <x:c r="O84" s="42" t="n">
        <x:f>'Evaluation Plan'!O84</x:f>
        <x:v>1</x:v>
      </x:c>
      <x:c r="P84" s="42" t="str">
        <x:f>'Evaluation Plan'!P84</x:f>
        <x:v>Empty</x:v>
      </x:c>
      <x:c r="Q84" s="41" t="str">
        <x:f>'Evaluation Plan'!Q84</x:f>
        <x:v>Primary held-out relation × candidate-category composition — Put</x:v>
      </x:c>
      <x:c r="R84" s="42" t="n">
        <x:f>'Evaluation Plan'!R84</x:f>
        <x:v>4</x:v>
      </x:c>
      <x:c r="S84" s="41" t="str">
        <x:f>'Evaluation Plan'!S84</x:f>
        <x:v>Build the listed relation scene with the bowl empty.</x:v>
      </x:c>
      <x:c r="T84" s="41" t="str">
        <x:f>'Evaluation Plan'!T84</x:f>
        <x:v>Both candidates are present. The held-out relation is the only information that identifies the target.</x:v>
      </x:c>
      <x:c r="U84" s="41" t="n">
        <x:f>'Evaluation Plan'!U84</x:f>
        <x:v>0</x:v>
      </x:c>
    </x:row>
    <x:row r="85" ht="51" customHeight="1">
      <x:c r="A85" s="44" t="str">
        <x:v>Not collected</x:v>
      </x:c>
      <x:c r="B85" s="45" t="n">
        <x:f>'Evaluation Plan'!B85</x:f>
        <x:v>83</x:v>
      </x:c>
      <x:c r="C85" s="44" t="str">
        <x:f>'Evaluation Plan'!C85</x:f>
        <x:v>Put the pencil sharpener between the airplane toy with propellers and the yellow pen in the bowl.</x:v>
      </x:c>
      <x:c r="D85" s="44" t="str">
        <x:f>'Evaluation Plan'!D85</x:f>
        <x:v>Reference A: airplane toy with propellers at 14 cm toward robot-right from table centre; Reference B: yellow pen at 14 cm away toward robot-left from table centre; red pencil sharpener: at table centre on the straight Reference A–B segment; green pencil sharpener: 12 cm toward robot-left from table centre, off the Reference A–B segment; Bowl: empty</x:v>
      </x:c>
      <x:c r="E85" s="45" t="str">
        <x:f>'Evaluation Plan'!E85</x:f>
      </x:c>
      <x:c r="F85" s="45" t="str">
        <x:f>'Evaluation Plan'!F85</x:f>
        <x:v>486</x:v>
      </x:c>
      <x:c r="G85" s="44" t="str">
        <x:f>'Evaluation Plan'!G85</x:f>
        <x:v>Masked source trajectory: the target identity and physical manipulation are trained under a direct-name prompt, while this relation × candidate-category composition is intentionally absent.</x:v>
      </x:c>
      <x:c r="H85" s="44" t="str">
        <x:f>'Evaluation Plan'!H85</x:f>
        <x:v>red pencil sharpener</x:v>
      </x:c>
      <x:c r="I85" s="44" t="str"/>
      <x:c r="J85" s="46" t="str">
        <x:f>'Evaluation Plan'!J85</x:f>
        <x:v>Concept/compositional transfer</x:v>
      </x:c>
      <x:c r="K85" s="45" t="str">
        <x:f>'Evaluation Plan'!K85</x:f>
        <x:v>RD-CT24</x:v>
      </x:c>
      <x:c r="L85" s="45" t="str">
        <x:f>'Evaluation Plan'!L85</x:f>
        <x:v>between</x:v>
      </x:c>
      <x:c r="M85" s="45" t="str">
        <x:f>'Evaluation Plan'!M85</x:f>
        <x:v>pencil sharpener</x:v>
      </x:c>
      <x:c r="N85" s="45" t="n">
        <x:f>'Evaluation Plan'!N85</x:f>
        <x:v>4</x:v>
      </x:c>
      <x:c r="O85" s="45" t="n">
        <x:f>'Evaluation Plan'!O85</x:f>
        <x:v>1</x:v>
      </x:c>
      <x:c r="P85" s="45" t="str">
        <x:f>'Evaluation Plan'!P85</x:f>
        <x:v>Empty</x:v>
      </x:c>
      <x:c r="Q85" s="44" t="str">
        <x:f>'Evaluation Plan'!Q85</x:f>
        <x:v>Primary held-out relation × candidate-category composition — Put</x:v>
      </x:c>
      <x:c r="R85" s="45" t="n">
        <x:f>'Evaluation Plan'!R85</x:f>
        <x:v>4</x:v>
      </x:c>
      <x:c r="S85" s="44" t="str">
        <x:f>'Evaluation Plan'!S85</x:f>
        <x:v>Build the listed relation scene with the bowl empty.</x:v>
      </x:c>
      <x:c r="T85" s="44" t="str">
        <x:f>'Evaluation Plan'!T85</x:f>
        <x:v>Both candidates are present. The held-out relation is the only information that identifies the target.</x:v>
      </x:c>
      <x:c r="U85" s="44" t="n">
        <x:f>'Evaluation Plan'!U85</x:f>
        <x:v>0</x:v>
      </x:c>
    </x:row>
    <x:row r="86" ht="51" customHeight="1">
      <x:c r="A86" s="41" t="str">
        <x:v>Not collected</x:v>
      </x:c>
      <x:c r="B86" s="42" t="n">
        <x:f>'Evaluation Plan'!B86</x:f>
        <x:v>84</x:v>
      </x:c>
      <x:c r="C86" s="41" t="str">
        <x:f>'Evaluation Plan'!C86</x:f>
        <x:v>Move the airplane toy furthest from the green pencil sharpener into the bowl.</x:v>
      </x:c>
      <x:c r="D86" s="41" t="str">
        <x:f>'Evaluation Plan'!D86</x:f>
        <x:v>Reference: green pencil sharpener at table centre; airplane toy without propellers: 10 cm toward the robot from the reference; airplane toy with propellers: 24 cm away from the robot from the reference; yellow pen: at the far robot-left corner, outside the distance comparison; Bowl: empty</x:v>
      </x:c>
      <x:c r="E86" s="42" t="str">
        <x:f>'Evaluation Plan'!E86</x:f>
      </x:c>
      <x:c r="F86" s="42" t="str">
        <x:f>'Evaluation Plan'!F86</x:f>
        <x:v>574</x:v>
      </x:c>
      <x:c r="G86" s="41" t="str">
        <x:f>'Evaluation Plan'!G86</x:f>
        <x:v>Masked source trajectory: the target identity and physical manipulation are trained under a direct-name prompt, while this relation × candidate-category composition is intentionally absent.</x:v>
      </x:c>
      <x:c r="H86" s="41" t="str">
        <x:f>'Evaluation Plan'!H86</x:f>
        <x:v>airplane toy with propellers</x:v>
      </x:c>
      <x:c r="I86" s="41" t="str"/>
      <x:c r="J86" s="46" t="str">
        <x:f>'Evaluation Plan'!J86</x:f>
        <x:v>Concept/compositional transfer</x:v>
      </x:c>
      <x:c r="K86" s="42" t="str">
        <x:f>'Evaluation Plan'!K86</x:f>
        <x:v>RD-CT25</x:v>
      </x:c>
      <x:c r="L86" s="42" t="str">
        <x:f>'Evaluation Plan'!L86</x:f>
        <x:v>furthest</x:v>
      </x:c>
      <x:c r="M86" s="42" t="str">
        <x:f>'Evaluation Plan'!M86</x:f>
        <x:v>airplane toy</x:v>
      </x:c>
      <x:c r="N86" s="42" t="n">
        <x:f>'Evaluation Plan'!N86</x:f>
        <x:v>4</x:v>
      </x:c>
      <x:c r="O86" s="42" t="n">
        <x:f>'Evaluation Plan'!O86</x:f>
        <x:v>1</x:v>
      </x:c>
      <x:c r="P86" s="42" t="str">
        <x:f>'Evaluation Plan'!P86</x:f>
        <x:v>Empty</x:v>
      </x:c>
      <x:c r="Q86" s="41" t="str">
        <x:f>'Evaluation Plan'!Q86</x:f>
        <x:v>Primary held-out relation × candidate-category composition — Move</x:v>
      </x:c>
      <x:c r="R86" s="42" t="n">
        <x:f>'Evaluation Plan'!R86</x:f>
        <x:v>4</x:v>
      </x:c>
      <x:c r="S86" s="41" t="str">
        <x:f>'Evaluation Plan'!S86</x:f>
        <x:v>Build the listed relation scene with the bowl empty.</x:v>
      </x:c>
      <x:c r="T86" s="41" t="str">
        <x:f>'Evaluation Plan'!T86</x:f>
        <x:v>Both candidates are present. The held-out relation is the only information that identifies the target.</x:v>
      </x:c>
      <x:c r="U86" s="41" t="n">
        <x:f>'Evaluation Plan'!U86</x:f>
        <x:v>0</x:v>
      </x:c>
    </x:row>
    <x:row r="87" ht="51" customHeight="1">
      <x:c r="A87" s="44" t="str">
        <x:v>Not collected</x:v>
      </x:c>
      <x:c r="B87" s="45" t="n">
        <x:f>'Evaluation Plan'!B87</x:f>
        <x:v>85</x:v>
      </x:c>
      <x:c r="C87" s="44" t="str">
        <x:f>'Evaluation Plan'!C87</x:f>
        <x:v>Move the crushed soda can closest to the green pencil sharpener into the bowl.</x:v>
      </x:c>
      <x:c r="D87" s="44" t="str">
        <x:f>'Evaluation Plan'!D87</x:f>
        <x:v>Reference: green pencil sharpener at table centre; crushed Coke can: 10 cm toward the robot from the reference; crushed Pepsi can: 24 cm away from the robot from the reference; green pen: at the far robot-left corner, outside the distance comparison; Bowl: empty</x:v>
      </x:c>
      <x:c r="E87" s="45" t="str">
        <x:f>'Evaluation Plan'!E87</x:f>
      </x:c>
      <x:c r="F87" s="45" t="str">
        <x:f>'Evaluation Plan'!F87</x:f>
        <x:v>408</x:v>
      </x:c>
      <x:c r="G87" s="44" t="str">
        <x:f>'Evaluation Plan'!G87</x:f>
        <x:v>Masked source trajectory: the target identity and physical manipulation are trained under a direct-name prompt, while this relation × candidate-category composition is intentionally absent.</x:v>
      </x:c>
      <x:c r="H87" s="44" t="str">
        <x:f>'Evaluation Plan'!H87</x:f>
        <x:v>crushed Coke can</x:v>
      </x:c>
      <x:c r="I87" s="44" t="str"/>
      <x:c r="J87" s="46" t="str">
        <x:f>'Evaluation Plan'!J87</x:f>
        <x:v>Concept/compositional transfer</x:v>
      </x:c>
      <x:c r="K87" s="45" t="str">
        <x:f>'Evaluation Plan'!K87</x:f>
        <x:v>RD-CT26</x:v>
      </x:c>
      <x:c r="L87" s="45" t="str">
        <x:f>'Evaluation Plan'!L87</x:f>
        <x:v>closest</x:v>
      </x:c>
      <x:c r="M87" s="45" t="str">
        <x:f>'Evaluation Plan'!M87</x:f>
        <x:v>crushed soda can</x:v>
      </x:c>
      <x:c r="N87" s="45" t="n">
        <x:f>'Evaluation Plan'!N87</x:f>
        <x:v>4</x:v>
      </x:c>
      <x:c r="O87" s="45" t="n">
        <x:f>'Evaluation Plan'!O87</x:f>
        <x:v>1</x:v>
      </x:c>
      <x:c r="P87" s="45" t="str">
        <x:f>'Evaluation Plan'!P87</x:f>
        <x:v>Empty</x:v>
      </x:c>
      <x:c r="Q87" s="44" t="str">
        <x:f>'Evaluation Plan'!Q87</x:f>
        <x:v>Primary held-out relation × candidate-category composition — Move</x:v>
      </x:c>
      <x:c r="R87" s="45" t="n">
        <x:f>'Evaluation Plan'!R87</x:f>
        <x:v>4</x:v>
      </x:c>
      <x:c r="S87" s="44" t="str">
        <x:f>'Evaluation Plan'!S87</x:f>
        <x:v>Build the listed relation scene with the bowl empty.</x:v>
      </x:c>
      <x:c r="T87" s="44" t="str">
        <x:f>'Evaluation Plan'!T87</x:f>
        <x:v>Both candidates are present. The held-out relation is the only information that identifies the target.</x:v>
      </x:c>
      <x:c r="U87" s="44" t="n">
        <x:f>'Evaluation Plan'!U87</x:f>
        <x:v>0</x:v>
      </x:c>
    </x:row>
    <x:row r="88" ht="51" customHeight="1">
      <x:c r="A88" s="41" t="str">
        <x:v>Not collected</x:v>
      </x:c>
      <x:c r="B88" s="42" t="n">
        <x:f>'Evaluation Plan'!B88</x:f>
        <x:v>86</x:v>
      </x:c>
      <x:c r="C88" s="41" t="str">
        <x:f>'Evaluation Plan'!C88</x:f>
        <x:v>Move the pencil sharpener between the crushed Pepsi can and the airplane toy without propellers into the bowl.</x:v>
      </x:c>
      <x:c r="D88" s="41" t="str">
        <x:f>'Evaluation Plan'!D88</x:f>
        <x:v>Reference A: crushed Pepsi can at 14 cm to robot-left of table centre; Reference B: airplane toy without propellers at 14 cm to robot-right of table centre; green pencil sharpener: at table centre on the straight Reference A–B segment; red pencil sharpener: 12 cm toward the robot from table centre, off the Reference A–B segment; crushed Coke can: at the far robot-left corner, outside the distance comparison; Bowl: empty</x:v>
      </x:c>
      <x:c r="E88" s="42" t="str">
        <x:f>'Evaluation Plan'!E88</x:f>
      </x:c>
      <x:c r="F88" s="42" t="str">
        <x:f>'Evaluation Plan'!F88</x:f>
        <x:v>489</x:v>
      </x:c>
      <x:c r="G88" s="41" t="str">
        <x:f>'Evaluation Plan'!G88</x:f>
        <x:v>Masked source trajectory: the target identity and physical manipulation are trained under a direct-name prompt, while this relation × candidate-category composition is intentionally absent.</x:v>
      </x:c>
      <x:c r="H88" s="41" t="str">
        <x:f>'Evaluation Plan'!H88</x:f>
        <x:v>green pencil sharpener</x:v>
      </x:c>
      <x:c r="I88" s="41" t="str"/>
      <x:c r="J88" s="46" t="str">
        <x:f>'Evaluation Plan'!J88</x:f>
        <x:v>Concept/compositional transfer</x:v>
      </x:c>
      <x:c r="K88" s="42" t="str">
        <x:f>'Evaluation Plan'!K88</x:f>
        <x:v>RD-CT27</x:v>
      </x:c>
      <x:c r="L88" s="42" t="str">
        <x:f>'Evaluation Plan'!L88</x:f>
        <x:v>between</x:v>
      </x:c>
      <x:c r="M88" s="42" t="str">
        <x:f>'Evaluation Plan'!M88</x:f>
        <x:v>pencil sharpener</x:v>
      </x:c>
      <x:c r="N88" s="42" t="n">
        <x:f>'Evaluation Plan'!N88</x:f>
        <x:v>5</x:v>
      </x:c>
      <x:c r="O88" s="42" t="n">
        <x:f>'Evaluation Plan'!O88</x:f>
        <x:v>1</x:v>
      </x:c>
      <x:c r="P88" s="42" t="str">
        <x:f>'Evaluation Plan'!P88</x:f>
        <x:v>Empty</x:v>
      </x:c>
      <x:c r="Q88" s="41" t="str">
        <x:f>'Evaluation Plan'!Q88</x:f>
        <x:v>Primary held-out relation × candidate-category composition — Move</x:v>
      </x:c>
      <x:c r="R88" s="42" t="n">
        <x:f>'Evaluation Plan'!R88</x:f>
        <x:v>4</x:v>
      </x:c>
      <x:c r="S88" s="41" t="str">
        <x:f>'Evaluation Plan'!S88</x:f>
        <x:v>Build the listed relation scene with the bowl empty.</x:v>
      </x:c>
      <x:c r="T88" s="41" t="str">
        <x:f>'Evaluation Plan'!T88</x:f>
        <x:v>Both candidates are present. The held-out relation is the only information that identifies the target.</x:v>
      </x:c>
      <x:c r="U88" s="41" t="n">
        <x:f>'Evaluation Plan'!U88</x:f>
        <x:v>0</x:v>
      </x:c>
    </x:row>
    <x:row r="89" ht="51" customHeight="1">
      <x:c r="A89" s="44" t="str">
        <x:v>Not collected</x:v>
      </x:c>
      <x:c r="B89" s="45" t="n">
        <x:f>'Evaluation Plan'!B89</x:f>
        <x:v>87</x:v>
      </x:c>
      <x:c r="C89" s="44" t="str">
        <x:f>'Evaluation Plan'!C89</x:f>
        <x:v>Pick up the airplane toy furthest from the yellow pen and place it in the bowl.</x:v>
      </x:c>
      <x:c r="D89" s="44" t="str">
        <x:f>'Evaluation Plan'!D89</x:f>
        <x:v>Reference: yellow pen at table centre; airplane toy without propellers: 10 cm away from the robot from the reference; airplane toy with propellers: 24 cm toward the robot from the reference; green pencil sharpener: at the far robot-left corner, outside the distance comparison; red pencil sharpener: at the far robot-right corner, outside the distance comparison; Bowl: empty</x:v>
      </x:c>
      <x:c r="E89" s="45" t="str">
        <x:f>'Evaluation Plan'!E89</x:f>
      </x:c>
      <x:c r="F89" s="45" t="str">
        <x:f>'Evaluation Plan'!F89</x:f>
        <x:v>576</x:v>
      </x:c>
      <x:c r="G89" s="44" t="str">
        <x:f>'Evaluation Plan'!G89</x:f>
        <x:v>Masked source trajectory: the target identity and physical manipulation are trained under a direct-name prompt, while this relation × candidate-category composition is intentionally absent.</x:v>
      </x:c>
      <x:c r="H89" s="44" t="str">
        <x:f>'Evaluation Plan'!H89</x:f>
        <x:v>airplane toy with propellers</x:v>
      </x:c>
      <x:c r="I89" s="44" t="str"/>
      <x:c r="J89" s="46" t="str">
        <x:f>'Evaluation Plan'!J89</x:f>
        <x:v>Concept/compositional transfer</x:v>
      </x:c>
      <x:c r="K89" s="45" t="str">
        <x:f>'Evaluation Plan'!K89</x:f>
        <x:v>RD-CT28</x:v>
      </x:c>
      <x:c r="L89" s="45" t="str">
        <x:f>'Evaluation Plan'!L89</x:f>
        <x:v>furthest</x:v>
      </x:c>
      <x:c r="M89" s="45" t="str">
        <x:f>'Evaluation Plan'!M89</x:f>
        <x:v>airplane toy</x:v>
      </x:c>
      <x:c r="N89" s="45" t="n">
        <x:f>'Evaluation Plan'!N89</x:f>
        <x:v>5</x:v>
      </x:c>
      <x:c r="O89" s="45" t="n">
        <x:f>'Evaluation Plan'!O89</x:f>
        <x:v>1</x:v>
      </x:c>
      <x:c r="P89" s="45" t="str">
        <x:f>'Evaluation Plan'!P89</x:f>
        <x:v>Empty</x:v>
      </x:c>
      <x:c r="Q89" s="44" t="str">
        <x:f>'Evaluation Plan'!Q89</x:f>
        <x:v>Primary held-out relation × candidate-category composition — Pick up</x:v>
      </x:c>
      <x:c r="R89" s="45" t="n">
        <x:f>'Evaluation Plan'!R89</x:f>
        <x:v>4</x:v>
      </x:c>
      <x:c r="S89" s="44" t="str">
        <x:f>'Evaluation Plan'!S89</x:f>
        <x:v>Build the listed relation scene with the bowl empty.</x:v>
      </x:c>
      <x:c r="T89" s="44" t="str">
        <x:f>'Evaluation Plan'!T89</x:f>
        <x:v>Both candidates are present. The held-out relation is the only information that identifies the target.</x:v>
      </x:c>
      <x:c r="U89" s="44" t="n">
        <x:f>'Evaluation Plan'!U89</x:f>
        <x:v>0</x:v>
      </x:c>
    </x:row>
    <x:row r="90" ht="51" customHeight="1">
      <x:c r="A90" s="41" t="str">
        <x:v>Not collected</x:v>
      </x:c>
      <x:c r="B90" s="42" t="n">
        <x:f>'Evaluation Plan'!B90</x:f>
        <x:v>88</x:v>
      </x:c>
      <x:c r="C90" s="41" t="str">
        <x:f>'Evaluation Plan'!C90</x:f>
        <x:v>Pick up the crushed soda can closest to the yellow pen and place it in the bowl.</x:v>
      </x:c>
      <x:c r="D90" s="41" t="str">
        <x:f>'Evaluation Plan'!D90</x:f>
        <x:v>Reference: yellow pen at table centre; crushed Coke can: 10 cm away from the robot from the reference; crushed Pepsi can: 24 cm toward the robot from the reference; airplane toy without propellers: at the far robot-left corner, outside the distance comparison; green pencil sharpener: at the far robot-right corner, outside the distance comparison; Bowl: empty</x:v>
      </x:c>
      <x:c r="E90" s="42" t="str">
        <x:f>'Evaluation Plan'!E90</x:f>
      </x:c>
      <x:c r="F90" s="42" t="str">
        <x:f>'Evaluation Plan'!F90</x:f>
        <x:v>410</x:v>
      </x:c>
      <x:c r="G90" s="41" t="str">
        <x:f>'Evaluation Plan'!G90</x:f>
        <x:v>Masked source trajectory: the target identity and physical manipulation are trained under a direct-name prompt, while this relation × candidate-category composition is intentionally absent.</x:v>
      </x:c>
      <x:c r="H90" s="41" t="str">
        <x:f>'Evaluation Plan'!H90</x:f>
        <x:v>crushed Coke can</x:v>
      </x:c>
      <x:c r="I90" s="41" t="str"/>
      <x:c r="J90" s="46" t="str">
        <x:f>'Evaluation Plan'!J90</x:f>
        <x:v>Concept/compositional transfer</x:v>
      </x:c>
      <x:c r="K90" s="42" t="str">
        <x:f>'Evaluation Plan'!K90</x:f>
        <x:v>RD-CT29</x:v>
      </x:c>
      <x:c r="L90" s="42" t="str">
        <x:f>'Evaluation Plan'!L90</x:f>
        <x:v>closest</x:v>
      </x:c>
      <x:c r="M90" s="42" t="str">
        <x:f>'Evaluation Plan'!M90</x:f>
        <x:v>crushed soda can</x:v>
      </x:c>
      <x:c r="N90" s="42" t="n">
        <x:f>'Evaluation Plan'!N90</x:f>
        <x:v>5</x:v>
      </x:c>
      <x:c r="O90" s="42" t="n">
        <x:f>'Evaluation Plan'!O90</x:f>
        <x:v>1</x:v>
      </x:c>
      <x:c r="P90" s="42" t="str">
        <x:f>'Evaluation Plan'!P90</x:f>
        <x:v>Empty</x:v>
      </x:c>
      <x:c r="Q90" s="41" t="str">
        <x:f>'Evaluation Plan'!Q90</x:f>
        <x:v>Primary held-out relation × candidate-category composition — Pick up</x:v>
      </x:c>
      <x:c r="R90" s="42" t="n">
        <x:f>'Evaluation Plan'!R90</x:f>
        <x:v>4</x:v>
      </x:c>
      <x:c r="S90" s="41" t="str">
        <x:f>'Evaluation Plan'!S90</x:f>
        <x:v>Build the listed relation scene with the bowl empty.</x:v>
      </x:c>
      <x:c r="T90" s="41" t="str">
        <x:f>'Evaluation Plan'!T90</x:f>
        <x:v>Both candidates are present. The held-out relation is the only information that identifies the target.</x:v>
      </x:c>
      <x:c r="U90" s="41" t="n">
        <x:f>'Evaluation Plan'!U90</x:f>
        <x:v>0</x:v>
      </x:c>
    </x:row>
    <x:row r="91" ht="51" customHeight="1">
      <x:c r="A91" s="44" t="str">
        <x:v>Not collected</x:v>
      </x:c>
      <x:c r="B91" s="45" t="n">
        <x:f>'Evaluation Plan'!B91</x:f>
        <x:v>89</x:v>
      </x:c>
      <x:c r="C91" s="44" t="str">
        <x:f>'Evaluation Plan'!C91</x:f>
        <x:v>Pick up the pencil sharpener between the green pen and the crushed Coke can and place it in the bowl.</x:v>
      </x:c>
      <x:c r="D91" s="44" t="str">
        <x:f>'Evaluation Plan'!D91</x:f>
        <x:v>Reference A: green pen at 14 cm toward the robot from table centre; Reference B: crushed Coke can at 14 cm away from the robot from table centre; green pencil sharpener: at table centre on the straight Reference A–B segment; red pencil sharpener: 12 cm to robot-right of table centre, off the Reference A–B segment; airplane toy without propellers: at the far robot-left corner, outside the distance comparison; Bowl: empty</x:v>
      </x:c>
      <x:c r="E91" s="45" t="str">
        <x:f>'Evaluation Plan'!E91</x:f>
      </x:c>
      <x:c r="F91" s="45" t="str">
        <x:f>'Evaluation Plan'!F91</x:f>
        <x:v>490</x:v>
      </x:c>
      <x:c r="G91" s="44" t="str">
        <x:f>'Evaluation Plan'!G91</x:f>
        <x:v>Masked source trajectory: the target identity and physical manipulation are trained under a direct-name prompt, while this relation × candidate-category composition is intentionally absent.</x:v>
      </x:c>
      <x:c r="H91" s="44" t="str">
        <x:f>'Evaluation Plan'!H91</x:f>
        <x:v>green pencil sharpener</x:v>
      </x:c>
      <x:c r="I91" s="44" t="str"/>
      <x:c r="J91" s="46" t="str">
        <x:f>'Evaluation Plan'!J91</x:f>
        <x:v>Concept/compositional transfer</x:v>
      </x:c>
      <x:c r="K91" s="45" t="str">
        <x:f>'Evaluation Plan'!K91</x:f>
        <x:v>RD-CT30</x:v>
      </x:c>
      <x:c r="L91" s="45" t="str">
        <x:f>'Evaluation Plan'!L91</x:f>
        <x:v>between</x:v>
      </x:c>
      <x:c r="M91" s="45" t="str">
        <x:f>'Evaluation Plan'!M91</x:f>
        <x:v>pencil sharpener</x:v>
      </x:c>
      <x:c r="N91" s="45" t="n">
        <x:f>'Evaluation Plan'!N91</x:f>
        <x:v>5</x:v>
      </x:c>
      <x:c r="O91" s="45" t="n">
        <x:f>'Evaluation Plan'!O91</x:f>
        <x:v>1</x:v>
      </x:c>
      <x:c r="P91" s="45" t="str">
        <x:f>'Evaluation Plan'!P91</x:f>
        <x:v>Empty</x:v>
      </x:c>
      <x:c r="Q91" s="44" t="str">
        <x:f>'Evaluation Plan'!Q91</x:f>
        <x:v>Primary held-out relation × candidate-category composition — Pick up</x:v>
      </x:c>
      <x:c r="R91" s="45" t="n">
        <x:f>'Evaluation Plan'!R91</x:f>
        <x:v>4</x:v>
      </x:c>
      <x:c r="S91" s="44" t="str">
        <x:f>'Evaluation Plan'!S91</x:f>
        <x:v>Build the listed relation scene with the bowl empty.</x:v>
      </x:c>
      <x:c r="T91" s="44" t="str">
        <x:f>'Evaluation Plan'!T91</x:f>
        <x:v>Both candidates are present. The held-out relation is the only information that identifies the target.</x:v>
      </x:c>
      <x:c r="U91" s="44" t="n">
        <x:f>'Evaluation Plan'!U91</x:f>
        <x:v>0</x:v>
      </x:c>
    </x:row>
    <x:row r="92" ht="51" customHeight="1">
      <x:c r="A92" s="41" t="str">
        <x:v>Not collected</x:v>
      </x:c>
      <x:c r="B92" s="42" t="n">
        <x:f>'Evaluation Plan'!B92</x:f>
        <x:v>90</x:v>
      </x:c>
      <x:c r="C92" s="41" t="str">
        <x:f>'Evaluation Plan'!C92</x:f>
        <x:v>Put the airplane toy furthest from the crushed Pepsi can in the bowl.</x:v>
      </x:c>
      <x:c r="D92" s="41" t="str">
        <x:f>'Evaluation Plan'!D92</x:f>
        <x:v>Reference: crushed Pepsi can at table centre; airplane toy with propellers: 10 cm toward robot-left from the reference; airplane toy without propellers: 24 cm away toward robot-right from the reference; crushed Coke can: at the far robot-left corner, outside the distance comparison; green pencil sharpener: at the far robot-right corner, outside the distance comparison; Bowl: empty</x:v>
      </x:c>
      <x:c r="E92" s="42" t="str">
        <x:f>'Evaluation Plan'!E92</x:f>
      </x:c>
      <x:c r="F92" s="42" t="str">
        <x:f>'Evaluation Plan'!F92</x:f>
        <x:v>573</x:v>
      </x:c>
      <x:c r="G92" s="41" t="str">
        <x:f>'Evaluation Plan'!G92</x:f>
        <x:v>Masked source trajectory: the target identity and physical manipulation are trained under a direct-name prompt, while this relation × candidate-category composition is intentionally absent.</x:v>
      </x:c>
      <x:c r="H92" s="41" t="str">
        <x:f>'Evaluation Plan'!H92</x:f>
        <x:v>airplane toy without propellers</x:v>
      </x:c>
      <x:c r="I92" s="41" t="str"/>
      <x:c r="J92" s="46" t="str">
        <x:f>'Evaluation Plan'!J92</x:f>
        <x:v>Concept/compositional transfer</x:v>
      </x:c>
      <x:c r="K92" s="42" t="str">
        <x:f>'Evaluation Plan'!K92</x:f>
        <x:v>RD-CT31</x:v>
      </x:c>
      <x:c r="L92" s="42" t="str">
        <x:f>'Evaluation Plan'!L92</x:f>
        <x:v>furthest</x:v>
      </x:c>
      <x:c r="M92" s="42" t="str">
        <x:f>'Evaluation Plan'!M92</x:f>
        <x:v>airplane toy</x:v>
      </x:c>
      <x:c r="N92" s="42" t="n">
        <x:f>'Evaluation Plan'!N92</x:f>
        <x:v>5</x:v>
      </x:c>
      <x:c r="O92" s="42" t="n">
        <x:f>'Evaluation Plan'!O92</x:f>
        <x:v>1</x:v>
      </x:c>
      <x:c r="P92" s="42" t="str">
        <x:f>'Evaluation Plan'!P92</x:f>
        <x:v>Empty</x:v>
      </x:c>
      <x:c r="Q92" s="41" t="str">
        <x:f>'Evaluation Plan'!Q92</x:f>
        <x:v>Primary held-out relation × candidate-category composition — Put</x:v>
      </x:c>
      <x:c r="R92" s="42" t="n">
        <x:f>'Evaluation Plan'!R92</x:f>
        <x:v>4</x:v>
      </x:c>
      <x:c r="S92" s="41" t="str">
        <x:f>'Evaluation Plan'!S92</x:f>
        <x:v>Build the listed relation scene with the bowl empty.</x:v>
      </x:c>
      <x:c r="T92" s="41" t="str">
        <x:f>'Evaluation Plan'!T92</x:f>
        <x:v>Both candidates are present. The held-out relation is the only information that identifies the target.</x:v>
      </x:c>
      <x:c r="U92" s="41" t="n">
        <x:f>'Evaluation Plan'!U92</x:f>
        <x:v>0</x:v>
      </x:c>
    </x:row>
    <x:row r="93" ht="51" customHeight="1">
      <x:c r="A93" s="44" t="str">
        <x:v>Not collected</x:v>
      </x:c>
      <x:c r="B93" s="45" t="n">
        <x:f>'Evaluation Plan'!B93</x:f>
        <x:v>91</x:v>
      </x:c>
      <x:c r="C93" s="44" t="str">
        <x:f>'Evaluation Plan'!C93</x:f>
        <x:v>Put the crushed soda can closest to the airplane toy without propellers in the bowl.</x:v>
      </x:c>
      <x:c r="D93" s="44" t="str">
        <x:f>'Evaluation Plan'!D93</x:f>
        <x:v>Reference: airplane toy without propellers at table centre; crushed Pepsi can: 10 cm toward robot-left from the reference; crushed Coke can: 24 cm away toward robot-right from the reference; green pen: at the far robot-left corner, outside the distance comparison; yellow pen: at the far robot-right corner, outside the distance comparison; Bowl: empty</x:v>
      </x:c>
      <x:c r="E93" s="45" t="str">
        <x:f>'Evaluation Plan'!E93</x:f>
      </x:c>
      <x:c r="F93" s="45" t="str">
        <x:f>'Evaluation Plan'!F93</x:f>
        <x:v>409</x:v>
      </x:c>
      <x:c r="G93" s="44" t="str">
        <x:f>'Evaluation Plan'!G93</x:f>
        <x:v>Masked source trajectory: the target identity and physical manipulation are trained under a direct-name prompt, while this relation × candidate-category composition is intentionally absent.</x:v>
      </x:c>
      <x:c r="H93" s="44" t="str">
        <x:f>'Evaluation Plan'!H93</x:f>
        <x:v>crushed Pepsi can</x:v>
      </x:c>
      <x:c r="I93" s="44" t="str"/>
      <x:c r="J93" s="46" t="str">
        <x:f>'Evaluation Plan'!J93</x:f>
        <x:v>Concept/compositional transfer</x:v>
      </x:c>
      <x:c r="K93" s="45" t="str">
        <x:f>'Evaluation Plan'!K93</x:f>
        <x:v>RD-CT32</x:v>
      </x:c>
      <x:c r="L93" s="45" t="str">
        <x:f>'Evaluation Plan'!L93</x:f>
        <x:v>closest</x:v>
      </x:c>
      <x:c r="M93" s="45" t="str">
        <x:f>'Evaluation Plan'!M93</x:f>
        <x:v>crushed soda can</x:v>
      </x:c>
      <x:c r="N93" s="45" t="n">
        <x:f>'Evaluation Plan'!N93</x:f>
        <x:v>5</x:v>
      </x:c>
      <x:c r="O93" s="45" t="n">
        <x:f>'Evaluation Plan'!O93</x:f>
        <x:v>1</x:v>
      </x:c>
      <x:c r="P93" s="45" t="str">
        <x:f>'Evaluation Plan'!P93</x:f>
        <x:v>Empty</x:v>
      </x:c>
      <x:c r="Q93" s="44" t="str">
        <x:f>'Evaluation Plan'!Q93</x:f>
        <x:v>Primary held-out relation × candidate-category composition — Put</x:v>
      </x:c>
      <x:c r="R93" s="45" t="n">
        <x:f>'Evaluation Plan'!R93</x:f>
        <x:v>4</x:v>
      </x:c>
      <x:c r="S93" s="44" t="str">
        <x:f>'Evaluation Plan'!S93</x:f>
        <x:v>Build the listed relation scene with the bowl empty.</x:v>
      </x:c>
      <x:c r="T93" s="44" t="str">
        <x:f>'Evaluation Plan'!T93</x:f>
        <x:v>Both candidates are present. The held-out relation is the only information that identifies the target.</x:v>
      </x:c>
      <x:c r="U93" s="44" t="n">
        <x:f>'Evaluation Plan'!U93</x:f>
        <x:v>0</x:v>
      </x:c>
    </x:row>
    <x:row r="94" ht="51" customHeight="1">
      <x:c r="A94" s="41" t="str">
        <x:v>Not collected</x:v>
      </x:c>
      <x:c r="B94" s="42" t="n">
        <x:f>'Evaluation Plan'!B94</x:f>
        <x:v>92</x:v>
      </x:c>
      <x:c r="C94" s="41" t="str">
        <x:f>'Evaluation Plan'!C94</x:f>
        <x:v>Put the pencil sharpener between the airplane toy with propellers and the yellow pen in the bowl.</x:v>
      </x:c>
      <x:c r="D94" s="41" t="str">
        <x:f>'Evaluation Plan'!D94</x:f>
        <x:v>Reference A: airplane toy with propellers at 14 cm toward robot-left from table centre; Reference B: yellow pen at 14 cm away toward robot-right from table centre; red pencil sharpener: at table centre on the straight Reference A–B segment; green pencil sharpener: 12 cm toward robot-right from table centre, off the Reference A–B segment; green pen: at the far robot-left corner, outside the distance comparison; Bowl: empty</x:v>
      </x:c>
      <x:c r="E94" s="42" t="str">
        <x:f>'Evaluation Plan'!E94</x:f>
      </x:c>
      <x:c r="F94" s="42" t="str">
        <x:f>'Evaluation Plan'!F94</x:f>
        <x:v>488</x:v>
      </x:c>
      <x:c r="G94" s="41" t="str">
        <x:f>'Evaluation Plan'!G94</x:f>
        <x:v>Masked source trajectory: the target identity and physical manipulation are trained under a direct-name prompt, while this relation × candidate-category composition is intentionally absent.</x:v>
      </x:c>
      <x:c r="H94" s="41" t="str">
        <x:f>'Evaluation Plan'!H94</x:f>
        <x:v>red pencil sharpener</x:v>
      </x:c>
      <x:c r="I94" s="41" t="str"/>
      <x:c r="J94" s="46" t="str">
        <x:f>'Evaluation Plan'!J94</x:f>
        <x:v>Concept/compositional transfer</x:v>
      </x:c>
      <x:c r="K94" s="42" t="str">
        <x:f>'Evaluation Plan'!K94</x:f>
        <x:v>RD-CT33</x:v>
      </x:c>
      <x:c r="L94" s="42" t="str">
        <x:f>'Evaluation Plan'!L94</x:f>
        <x:v>between</x:v>
      </x:c>
      <x:c r="M94" s="42" t="str">
        <x:f>'Evaluation Plan'!M94</x:f>
        <x:v>pencil sharpener</x:v>
      </x:c>
      <x:c r="N94" s="42" t="n">
        <x:f>'Evaluation Plan'!N94</x:f>
        <x:v>5</x:v>
      </x:c>
      <x:c r="O94" s="42" t="n">
        <x:f>'Evaluation Plan'!O94</x:f>
        <x:v>1</x:v>
      </x:c>
      <x:c r="P94" s="42" t="str">
        <x:f>'Evaluation Plan'!P94</x:f>
        <x:v>Empty</x:v>
      </x:c>
      <x:c r="Q94" s="41" t="str">
        <x:f>'Evaluation Plan'!Q94</x:f>
        <x:v>Primary held-out relation × candidate-category composition — Put</x:v>
      </x:c>
      <x:c r="R94" s="42" t="n">
        <x:f>'Evaluation Plan'!R94</x:f>
        <x:v>4</x:v>
      </x:c>
      <x:c r="S94" s="41" t="str">
        <x:f>'Evaluation Plan'!S94</x:f>
        <x:v>Build the listed relation scene with the bowl empty.</x:v>
      </x:c>
      <x:c r="T94" s="41" t="str">
        <x:f>'Evaluation Plan'!T94</x:f>
        <x:v>Both candidates are present. The held-out relation is the only information that identifies the target.</x:v>
      </x:c>
      <x:c r="U94" s="41" t="n">
        <x:f>'Evaluation Plan'!U94</x:f>
        <x:v>0</x:v>
      </x:c>
    </x:row>
    <x:row r="95" ht="51" customHeight="1">
      <x:c r="A95" s="44" t="str">
        <x:v>Not collected</x:v>
      </x:c>
      <x:c r="B95" s="45" t="n">
        <x:f>'Evaluation Plan'!B95</x:f>
        <x:v>93</x:v>
      </x:c>
      <x:c r="C95" s="44" t="str">
        <x:f>'Evaluation Plan'!C95</x:f>
        <x:v>Move the airplane toy furthest from the red pencil sharpener into the bowl.</x:v>
      </x:c>
      <x:c r="D95" s="44" t="str">
        <x:f>'Evaluation Plan'!D95</x:f>
        <x:v>Reference: red pencil sharpener at table centre; airplane toy with propellers: 10 cm toward robot-right from the reference; airplane toy without propellers: 24 cm away toward robot-left from the reference; green pen: at the far robot-left corner, outside the distance comparison; yellow pen: at the far robot-right corner, outside the distance comparison; Bowl: empty</x:v>
      </x:c>
      <x:c r="E95" s="45" t="str">
        <x:f>'Evaluation Plan'!E95</x:f>
      </x:c>
      <x:c r="F95" s="45" t="str">
        <x:f>'Evaluation Plan'!F95</x:f>
        <x:v>575</x:v>
      </x:c>
      <x:c r="G95" s="44" t="str">
        <x:f>'Evaluation Plan'!G95</x:f>
        <x:v>Masked source trajectory: the target identity and physical manipulation are trained under a direct-name prompt, while this relation × candidate-category composition is intentionally absent.</x:v>
      </x:c>
      <x:c r="H95" s="44" t="str">
        <x:f>'Evaluation Plan'!H95</x:f>
        <x:v>airplane toy without propellers</x:v>
      </x:c>
      <x:c r="I95" s="44" t="str"/>
      <x:c r="J95" s="46" t="str">
        <x:f>'Evaluation Plan'!J95</x:f>
        <x:v>Concept/compositional transfer</x:v>
      </x:c>
      <x:c r="K95" s="45" t="str">
        <x:f>'Evaluation Plan'!K95</x:f>
        <x:v>RD-CT34</x:v>
      </x:c>
      <x:c r="L95" s="45" t="str">
        <x:f>'Evaluation Plan'!L95</x:f>
        <x:v>furthest</x:v>
      </x:c>
      <x:c r="M95" s="45" t="str">
        <x:f>'Evaluation Plan'!M95</x:f>
        <x:v>airplane toy</x:v>
      </x:c>
      <x:c r="N95" s="45" t="n">
        <x:f>'Evaluation Plan'!N95</x:f>
        <x:v>5</x:v>
      </x:c>
      <x:c r="O95" s="45" t="n">
        <x:f>'Evaluation Plan'!O95</x:f>
        <x:v>1</x:v>
      </x:c>
      <x:c r="P95" s="45" t="str">
        <x:f>'Evaluation Plan'!P95</x:f>
        <x:v>Empty</x:v>
      </x:c>
      <x:c r="Q95" s="44" t="str">
        <x:f>'Evaluation Plan'!Q95</x:f>
        <x:v>Primary held-out relation × candidate-category composition — Move</x:v>
      </x:c>
      <x:c r="R95" s="45" t="n">
        <x:f>'Evaluation Plan'!R95</x:f>
        <x:v>4</x:v>
      </x:c>
      <x:c r="S95" s="44" t="str">
        <x:f>'Evaluation Plan'!S95</x:f>
        <x:v>Build the listed relation scene with the bowl empty.</x:v>
      </x:c>
      <x:c r="T95" s="44" t="str">
        <x:f>'Evaluation Plan'!T95</x:f>
        <x:v>Both candidates are present. The held-out relation is the only information that identifies the target.</x:v>
      </x:c>
      <x:c r="U95" s="44" t="n">
        <x:f>'Evaluation Plan'!U95</x:f>
        <x:v>0</x:v>
      </x:c>
    </x:row>
    <x:row r="96" ht="51" customHeight="1">
      <x:c r="A96" s="41" t="str">
        <x:v>Not collected</x:v>
      </x:c>
      <x:c r="B96" s="42" t="n">
        <x:f>'Evaluation Plan'!B96</x:f>
        <x:v>94</x:v>
      </x:c>
      <x:c r="C96" s="41" t="str">
        <x:f>'Evaluation Plan'!C96</x:f>
        <x:v>Move the crushed soda can closest to the red pencil sharpener into the bowl.</x:v>
      </x:c>
      <x:c r="D96" s="41" t="str">
        <x:f>'Evaluation Plan'!D96</x:f>
        <x:v>Reference: red pencil sharpener at table centre; crushed Pepsi can: 10 cm toward robot-right from the reference; crushed Coke can: 24 cm away toward robot-left from the reference; green pencil sharpener: at the far robot-left corner, outside the distance comparison; green pen: at the far robot-right corner, outside the distance comparison; Bowl: empty</x:v>
      </x:c>
      <x:c r="E96" s="42" t="str">
        <x:f>'Evaluation Plan'!E96</x:f>
      </x:c>
      <x:c r="F96" s="42" t="str">
        <x:f>'Evaluation Plan'!F96</x:f>
        <x:v>411</x:v>
      </x:c>
      <x:c r="G96" s="41" t="str">
        <x:f>'Evaluation Plan'!G96</x:f>
        <x:v>Masked source trajectory: the target identity and physical manipulation are trained under a direct-name prompt, while this relation × candidate-category composition is intentionally absent.</x:v>
      </x:c>
      <x:c r="H96" s="41" t="str">
        <x:f>'Evaluation Plan'!H96</x:f>
        <x:v>crushed Pepsi can</x:v>
      </x:c>
      <x:c r="I96" s="41" t="str"/>
      <x:c r="J96" s="46" t="str">
        <x:f>'Evaluation Plan'!J96</x:f>
        <x:v>Concept/compositional transfer</x:v>
      </x:c>
      <x:c r="K96" s="42" t="str">
        <x:f>'Evaluation Plan'!K96</x:f>
        <x:v>RD-CT35</x:v>
      </x:c>
      <x:c r="L96" s="42" t="str">
        <x:f>'Evaluation Plan'!L96</x:f>
        <x:v>closest</x:v>
      </x:c>
      <x:c r="M96" s="42" t="str">
        <x:f>'Evaluation Plan'!M96</x:f>
        <x:v>crushed soda can</x:v>
      </x:c>
      <x:c r="N96" s="42" t="n">
        <x:f>'Evaluation Plan'!N96</x:f>
        <x:v>5</x:v>
      </x:c>
      <x:c r="O96" s="42" t="n">
        <x:f>'Evaluation Plan'!O96</x:f>
        <x:v>1</x:v>
      </x:c>
      <x:c r="P96" s="42" t="str">
        <x:f>'Evaluation Plan'!P96</x:f>
        <x:v>Empty</x:v>
      </x:c>
      <x:c r="Q96" s="41" t="str">
        <x:f>'Evaluation Plan'!Q96</x:f>
        <x:v>Primary held-out relation × candidate-category composition — Move</x:v>
      </x:c>
      <x:c r="R96" s="42" t="n">
        <x:f>'Evaluation Plan'!R96</x:f>
        <x:v>4</x:v>
      </x:c>
      <x:c r="S96" s="41" t="str">
        <x:f>'Evaluation Plan'!S96</x:f>
        <x:v>Build the listed relation scene with the bowl empty.</x:v>
      </x:c>
      <x:c r="T96" s="41" t="str">
        <x:f>'Evaluation Plan'!T96</x:f>
        <x:v>Both candidates are present. The held-out relation is the only information that identifies the target.</x:v>
      </x:c>
      <x:c r="U96" s="41" t="n">
        <x:f>'Evaluation Plan'!U96</x:f>
        <x:v>0</x:v>
      </x:c>
    </x:row>
    <x:row r="97" ht="51" customHeight="1">
      <x:c r="A97" s="44" t="str">
        <x:v>Not collected</x:v>
      </x:c>
      <x:c r="B97" s="45" t="n">
        <x:f>'Evaluation Plan'!B97</x:f>
        <x:v>95</x:v>
      </x:c>
      <x:c r="C97" s="44" t="str">
        <x:f>'Evaluation Plan'!C97</x:f>
        <x:v>Move the pencil sharpener between the crushed Pepsi can and the airplane toy without propellers into the bowl.</x:v>
      </x:c>
      <x:c r="D97" s="44" t="str">
        <x:f>'Evaluation Plan'!D97</x:f>
        <x:v>Reference A: crushed Pepsi can at 14 cm toward robot-right from table centre; Reference B: airplane toy without propellers at 14 cm away toward robot-left from table centre; red pencil sharpener: at table centre on the straight Reference A–B segment; green pencil sharpener: 12 cm toward robot-left from table centre, off the Reference A–B segment; green pen: at the far robot-left corner, outside the distance comparison; Bowl: empty</x:v>
      </x:c>
      <x:c r="E97" s="45" t="str">
        <x:f>'Evaluation Plan'!E97</x:f>
      </x:c>
      <x:c r="F97" s="45" t="str">
        <x:f>'Evaluation Plan'!F97</x:f>
        <x:v>491</x:v>
      </x:c>
      <x:c r="G97" s="44" t="str">
        <x:f>'Evaluation Plan'!G97</x:f>
        <x:v>Masked source trajectory: the target identity and physical manipulation are trained under a direct-name prompt, while this relation × candidate-category composition is intentionally absent.</x:v>
      </x:c>
      <x:c r="H97" s="44" t="str">
        <x:f>'Evaluation Plan'!H97</x:f>
        <x:v>red pencil sharpener</x:v>
      </x:c>
      <x:c r="I97" s="44" t="str"/>
      <x:c r="J97" s="46" t="str">
        <x:f>'Evaluation Plan'!J97</x:f>
        <x:v>Concept/compositional transfer</x:v>
      </x:c>
      <x:c r="K97" s="45" t="str">
        <x:f>'Evaluation Plan'!K97</x:f>
        <x:v>RD-CT36</x:v>
      </x:c>
      <x:c r="L97" s="45" t="str">
        <x:f>'Evaluation Plan'!L97</x:f>
        <x:v>between</x:v>
      </x:c>
      <x:c r="M97" s="45" t="str">
        <x:f>'Evaluation Plan'!M97</x:f>
        <x:v>pencil sharpener</x:v>
      </x:c>
      <x:c r="N97" s="45" t="n">
        <x:f>'Evaluation Plan'!N97</x:f>
        <x:v>5</x:v>
      </x:c>
      <x:c r="O97" s="45" t="n">
        <x:f>'Evaluation Plan'!O97</x:f>
        <x:v>1</x:v>
      </x:c>
      <x:c r="P97" s="45" t="str">
        <x:f>'Evaluation Plan'!P97</x:f>
        <x:v>Empty</x:v>
      </x:c>
      <x:c r="Q97" s="44" t="str">
        <x:f>'Evaluation Plan'!Q97</x:f>
        <x:v>Primary held-out relation × candidate-category composition — Move</x:v>
      </x:c>
      <x:c r="R97" s="45" t="n">
        <x:f>'Evaluation Plan'!R97</x:f>
        <x:v>4</x:v>
      </x:c>
      <x:c r="S97" s="44" t="str">
        <x:f>'Evaluation Plan'!S97</x:f>
        <x:v>Build the listed relation scene with the bowl empty.</x:v>
      </x:c>
      <x:c r="T97" s="44" t="str">
        <x:f>'Evaluation Plan'!T97</x:f>
        <x:v>Both candidates are present. The held-out relation is the only information that identifies the target.</x:v>
      </x:c>
      <x:c r="U97" s="44" t="n">
        <x:f>'Evaluation Plan'!U97</x:f>
        <x:v>0</x:v>
      </x:c>
    </x:row>
    <x:row r="98" ht="51" customHeight="1">
      <x:c r="A98" s="41" t="str">
        <x:v>Not collected</x:v>
      </x:c>
      <x:c r="B98" s="42" t="n">
        <x:f>'Evaluation Plan'!B98</x:f>
        <x:v>96</x:v>
      </x:c>
      <x:c r="C98" s="41" t="str">
        <x:f>'Evaluation Plan'!C98</x:f>
        <x:v>Pick up the airplane toy furthest from the green pen and place it in the bowl.</x:v>
      </x:c>
      <x:c r="D98" s="41" t="str">
        <x:f>'Evaluation Plan'!D98</x:f>
        <x:v>Reference: green pen at table centre; airplane toy without propellers: 10 cm to robot-left of the reference; airplane toy with propellers: 24 cm to robot-right of the reference; crushed Pepsi can: at the far robot-left corner, outside the distance comparison; green pencil sharpener: at the far robot-right corner, outside the distance comparison; Bowl: empty</x:v>
      </x:c>
      <x:c r="E98" s="42" t="str">
        <x:f>'Evaluation Plan'!E98</x:f>
      </x:c>
      <x:c r="F98" s="42" t="str">
        <x:f>'Evaluation Plan'!F98</x:f>
        <x:v>578</x:v>
      </x:c>
      <x:c r="G98" s="41" t="str">
        <x:f>'Evaluation Plan'!G98</x:f>
        <x:v>Masked source trajectory: the target identity and physical manipulation are trained under a direct-name prompt, while this relation × candidate-category composition is intentionally absent.</x:v>
      </x:c>
      <x:c r="H98" s="41" t="str">
        <x:f>'Evaluation Plan'!H98</x:f>
        <x:v>airplane toy with propellers</x:v>
      </x:c>
      <x:c r="I98" s="41" t="str"/>
      <x:c r="J98" s="46" t="str">
        <x:f>'Evaluation Plan'!J98</x:f>
        <x:v>Concept/compositional transfer</x:v>
      </x:c>
      <x:c r="K98" s="42" t="str">
        <x:f>'Evaluation Plan'!K98</x:f>
        <x:v>RD-CT37</x:v>
      </x:c>
      <x:c r="L98" s="42" t="str">
        <x:f>'Evaluation Plan'!L98</x:f>
        <x:v>furthest</x:v>
      </x:c>
      <x:c r="M98" s="42" t="str">
        <x:f>'Evaluation Plan'!M98</x:f>
        <x:v>airplane toy</x:v>
      </x:c>
      <x:c r="N98" s="42" t="n">
        <x:f>'Evaluation Plan'!N98</x:f>
        <x:v>5</x:v>
      </x:c>
      <x:c r="O98" s="42" t="n">
        <x:f>'Evaluation Plan'!O98</x:f>
        <x:v>1</x:v>
      </x:c>
      <x:c r="P98" s="42" t="str">
        <x:f>'Evaluation Plan'!P98</x:f>
        <x:v>Empty</x:v>
      </x:c>
      <x:c r="Q98" s="41" t="str">
        <x:f>'Evaluation Plan'!Q98</x:f>
        <x:v>Primary held-out relation × candidate-category composition — Pick up</x:v>
      </x:c>
      <x:c r="R98" s="42" t="n">
        <x:f>'Evaluation Plan'!R98</x:f>
        <x:v>4</x:v>
      </x:c>
      <x:c r="S98" s="41" t="str">
        <x:f>'Evaluation Plan'!S98</x:f>
        <x:v>Build the listed relation scene with the bowl empty.</x:v>
      </x:c>
      <x:c r="T98" s="41" t="str">
        <x:f>'Evaluation Plan'!T98</x:f>
        <x:v>Both candidates are present. The held-out relation is the only information that identifies the target.</x:v>
      </x:c>
      <x:c r="U98" s="41" t="n">
        <x:f>'Evaluation Plan'!U98</x:f>
        <x:v>0</x:v>
      </x:c>
    </x:row>
    <x:row r="99" ht="51" customHeight="1">
      <x:c r="A99" s="44" t="str">
        <x:v>Not collected</x:v>
      </x:c>
      <x:c r="B99" s="45" t="n">
        <x:f>'Evaluation Plan'!B99</x:f>
        <x:v>97</x:v>
      </x:c>
      <x:c r="C99" s="44" t="str">
        <x:f>'Evaluation Plan'!C99</x:f>
        <x:v>Pick up the crushed soda can closest to the green pen and place it in the bowl.</x:v>
      </x:c>
      <x:c r="D99" s="44" t="str">
        <x:f>'Evaluation Plan'!D99</x:f>
        <x:v>Reference: green pen at table centre; crushed Coke can: 10 cm to robot-left of the reference; crushed Pepsi can: 24 cm to robot-right of the reference; airplane toy with propellers: at the far robot-left corner, outside the distance comparison; airplane toy without propellers: at the far robot-right corner, outside the distance comparison; Bowl: empty</x:v>
      </x:c>
      <x:c r="E99" s="45" t="str">
        <x:f>'Evaluation Plan'!E99</x:f>
      </x:c>
      <x:c r="F99" s="45" t="str">
        <x:f>'Evaluation Plan'!F99</x:f>
        <x:v>412</x:v>
      </x:c>
      <x:c r="G99" s="44" t="str">
        <x:f>'Evaluation Plan'!G99</x:f>
        <x:v>Masked source trajectory: the target identity and physical manipulation are trained under a direct-name prompt, while this relation × candidate-category composition is intentionally absent.</x:v>
      </x:c>
      <x:c r="H99" s="44" t="str">
        <x:f>'Evaluation Plan'!H99</x:f>
        <x:v>crushed Coke can</x:v>
      </x:c>
      <x:c r="I99" s="44" t="str"/>
      <x:c r="J99" s="46" t="str">
        <x:f>'Evaluation Plan'!J99</x:f>
        <x:v>Concept/compositional transfer</x:v>
      </x:c>
      <x:c r="K99" s="45" t="str">
        <x:f>'Evaluation Plan'!K99</x:f>
        <x:v>RD-CT38</x:v>
      </x:c>
      <x:c r="L99" s="45" t="str">
        <x:f>'Evaluation Plan'!L99</x:f>
        <x:v>closest</x:v>
      </x:c>
      <x:c r="M99" s="45" t="str">
        <x:f>'Evaluation Plan'!M99</x:f>
        <x:v>crushed soda can</x:v>
      </x:c>
      <x:c r="N99" s="45" t="n">
        <x:f>'Evaluation Plan'!N99</x:f>
        <x:v>5</x:v>
      </x:c>
      <x:c r="O99" s="45" t="n">
        <x:f>'Evaluation Plan'!O99</x:f>
        <x:v>1</x:v>
      </x:c>
      <x:c r="P99" s="45" t="str">
        <x:f>'Evaluation Plan'!P99</x:f>
        <x:v>Empty</x:v>
      </x:c>
      <x:c r="Q99" s="44" t="str">
        <x:f>'Evaluation Plan'!Q99</x:f>
        <x:v>Primary held-out relation × candidate-category composition — Pick up</x:v>
      </x:c>
      <x:c r="R99" s="45" t="n">
        <x:f>'Evaluation Plan'!R99</x:f>
        <x:v>4</x:v>
      </x:c>
      <x:c r="S99" s="44" t="str">
        <x:f>'Evaluation Plan'!S99</x:f>
        <x:v>Build the listed relation scene with the bowl empty.</x:v>
      </x:c>
      <x:c r="T99" s="44" t="str">
        <x:f>'Evaluation Plan'!T99</x:f>
        <x:v>Both candidates are present. The held-out relation is the only information that identifies the target.</x:v>
      </x:c>
      <x:c r="U99" s="44" t="n">
        <x:f>'Evaluation Plan'!U99</x:f>
        <x:v>0</x:v>
      </x:c>
    </x:row>
    <x:row r="100" ht="51" customHeight="1">
      <x:c r="A100" s="41" t="str">
        <x:v>Not collected</x:v>
      </x:c>
      <x:c r="B100" s="42" t="n">
        <x:f>'Evaluation Plan'!B100</x:f>
        <x:v>98</x:v>
      </x:c>
      <x:c r="C100" s="41" t="str">
        <x:f>'Evaluation Plan'!C100</x:f>
        <x:v>Pick up the pencil sharpener between the green pen and the crushed Coke can and place it in the bowl.</x:v>
      </x:c>
      <x:c r="D100" s="41" t="str">
        <x:f>'Evaluation Plan'!D100</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crushed Pepsi can: at the far robot-left corner, outside the distance comparison; Bowl: empty</x:v>
      </x:c>
      <x:c r="E100" s="42" t="str">
        <x:f>'Evaluation Plan'!E100</x:f>
      </x:c>
      <x:c r="F100" s="42" t="str">
        <x:f>'Evaluation Plan'!F100</x:f>
        <x:v>492</x:v>
      </x:c>
      <x:c r="G100" s="41" t="str">
        <x:f>'Evaluation Plan'!G100</x:f>
        <x:v>Masked source trajectory: the target identity and physical manipulation are trained under a direct-name prompt, while this relation × candidate-category composition is intentionally absent.</x:v>
      </x:c>
      <x:c r="H100" s="41" t="str">
        <x:f>'Evaluation Plan'!H100</x:f>
        <x:v>green pencil sharpener</x:v>
      </x:c>
      <x:c r="I100" s="41" t="str"/>
      <x:c r="J100" s="46" t="str">
        <x:f>'Evaluation Plan'!J100</x:f>
        <x:v>Concept/compositional transfer</x:v>
      </x:c>
      <x:c r="K100" s="42" t="str">
        <x:f>'Evaluation Plan'!K100</x:f>
        <x:v>RD-CT39</x:v>
      </x:c>
      <x:c r="L100" s="42" t="str">
        <x:f>'Evaluation Plan'!L100</x:f>
        <x:v>between</x:v>
      </x:c>
      <x:c r="M100" s="42" t="str">
        <x:f>'Evaluation Plan'!M100</x:f>
        <x:v>pencil sharpener</x:v>
      </x:c>
      <x:c r="N100" s="42" t="n">
        <x:f>'Evaluation Plan'!N100</x:f>
        <x:v>5</x:v>
      </x:c>
      <x:c r="O100" s="42" t="n">
        <x:f>'Evaluation Plan'!O100</x:f>
        <x:v>1</x:v>
      </x:c>
      <x:c r="P100" s="42" t="str">
        <x:f>'Evaluation Plan'!P100</x:f>
        <x:v>Empty</x:v>
      </x:c>
      <x:c r="Q100" s="41" t="str">
        <x:f>'Evaluation Plan'!Q100</x:f>
        <x:v>Primary held-out relation × candidate-category composition — Pick up</x:v>
      </x:c>
      <x:c r="R100" s="42" t="n">
        <x:f>'Evaluation Plan'!R100</x:f>
        <x:v>4</x:v>
      </x:c>
      <x:c r="S100" s="41" t="str">
        <x:f>'Evaluation Plan'!S100</x:f>
        <x:v>Build the listed relation scene with the bowl empty.</x:v>
      </x:c>
      <x:c r="T100" s="41" t="str">
        <x:f>'Evaluation Plan'!T100</x:f>
        <x:v>Both candidates are present. The held-out relation is the only information that identifies the target.</x:v>
      </x:c>
      <x:c r="U100" s="41" t="n">
        <x:f>'Evaluation Plan'!U100</x:f>
        <x:v>0</x:v>
      </x:c>
    </x:row>
    <x:row r="101" ht="51" customHeight="1">
      <x:c r="A101" s="44" t="str">
        <x:v>Not collected</x:v>
      </x:c>
      <x:c r="B101" s="45" t="n">
        <x:f>'Evaluation Plan'!B101</x:f>
        <x:v>99</x:v>
      </x:c>
      <x:c r="C101" s="44" t="str">
        <x:f>'Evaluation Plan'!C101</x:f>
        <x:v>Put the airplane toy furthest from the crushed Coke can in the bowl.</x:v>
      </x:c>
      <x:c r="D101" s="44" t="str">
        <x:f>'Evaluation Plan'!D101</x:f>
        <x:v>Reference: crushed Coke can at table centre; airplane toy without propellers: 10 cm to robot-right of the reference; airplane toy with propellers: 24 cm to robot-left of the reference; yellow pen: at the far robot-left corner, outside the distance comparison; crushed Pepsi can: at the far robot-right corner, outside the distance comparison; Bowl: empty</x:v>
      </x:c>
      <x:c r="E101" s="45" t="str">
        <x:f>'Evaluation Plan'!E101</x:f>
      </x:c>
      <x:c r="F101" s="45" t="str">
        <x:f>'Evaluation Plan'!F101</x:f>
        <x:v>566</x:v>
      </x:c>
      <x:c r="G101" s="44" t="str">
        <x:f>'Evaluation Plan'!G101</x:f>
        <x:v>Masked source trajectory: the target identity and physical manipulation are trained under a direct-name prompt, while this relation × candidate-category composition is intentionally absent.</x:v>
      </x:c>
      <x:c r="H101" s="44" t="str">
        <x:f>'Evaluation Plan'!H101</x:f>
        <x:v>airplane toy with propellers</x:v>
      </x:c>
      <x:c r="I101" s="44" t="str"/>
      <x:c r="J101" s="46" t="str">
        <x:f>'Evaluation Plan'!J101</x:f>
        <x:v>Concept/compositional transfer</x:v>
      </x:c>
      <x:c r="K101" s="45" t="str">
        <x:f>'Evaluation Plan'!K101</x:f>
        <x:v>RD-CT40</x:v>
      </x:c>
      <x:c r="L101" s="45" t="str">
        <x:f>'Evaluation Plan'!L101</x:f>
        <x:v>furthest</x:v>
      </x:c>
      <x:c r="M101" s="45" t="str">
        <x:f>'Evaluation Plan'!M101</x:f>
        <x:v>airplane toy</x:v>
      </x:c>
      <x:c r="N101" s="45" t="n">
        <x:f>'Evaluation Plan'!N101</x:f>
        <x:v>5</x:v>
      </x:c>
      <x:c r="O101" s="45" t="n">
        <x:f>'Evaluation Plan'!O101</x:f>
        <x:v>1</x:v>
      </x:c>
      <x:c r="P101" s="45" t="str">
        <x:f>'Evaluation Plan'!P101</x:f>
        <x:v>Empty</x:v>
      </x:c>
      <x:c r="Q101" s="44" t="str">
        <x:f>'Evaluation Plan'!Q101</x:f>
        <x:v>Primary held-out relation × candidate-category composition — Put</x:v>
      </x:c>
      <x:c r="R101" s="45" t="n">
        <x:f>'Evaluation Plan'!R101</x:f>
        <x:v>4</x:v>
      </x:c>
      <x:c r="S101" s="44" t="str">
        <x:f>'Evaluation Plan'!S101</x:f>
        <x:v>Build the listed relation scene with the bowl empty.</x:v>
      </x:c>
      <x:c r="T101" s="44" t="str">
        <x:f>'Evaluation Plan'!T101</x:f>
        <x:v>Both candidates are present. The held-out relation is the only information that identifies the target.</x:v>
      </x:c>
      <x:c r="U101" s="44" t="n">
        <x:f>'Evaluation Plan'!U101</x:f>
        <x:v>0</x:v>
      </x:c>
    </x:row>
    <x:row r="102" ht="51" customHeight="1">
      <x:c r="A102" s="41" t="str">
        <x:v>Not collected</x:v>
      </x:c>
      <x:c r="B102" s="42" t="n">
        <x:f>'Evaluation Plan'!B102</x:f>
        <x:v>100</x:v>
      </x:c>
      <x:c r="C102" s="41" t="str">
        <x:f>'Evaluation Plan'!C102</x:f>
        <x:v>Put the crushed soda can closest to the airplane toy with propellers in the bowl.</x:v>
      </x:c>
      <x:c r="D102" s="41" t="str">
        <x:f>'Evaluation Plan'!D102</x:f>
        <x:v>Reference: airplane toy with propellers at table centre; crushed Coke can: 10 cm to robot-right of the reference; crushed Pepsi can: 24 cm to robot-left of the reference; red pencil sharpener: at the far robot-left corner, outside the distance comparison; green pen: at the far robot-right corner, outside the distance comparison; Bowl: empty</x:v>
      </x:c>
      <x:c r="E102" s="42" t="str">
        <x:f>'Evaluation Plan'!E102</x:f>
      </x:c>
      <x:c r="F102" s="42" t="str">
        <x:f>'Evaluation Plan'!F102</x:f>
        <x:v>414</x:v>
      </x:c>
      <x:c r="G102" s="41" t="str">
        <x:f>'Evaluation Plan'!G102</x:f>
        <x:v>Masked source trajectory: the target identity and physical manipulation are trained under a direct-name prompt, while this relation × candidate-category composition is intentionally absent.</x:v>
      </x:c>
      <x:c r="H102" s="41" t="str">
        <x:f>'Evaluation Plan'!H102</x:f>
        <x:v>crushed Coke can</x:v>
      </x:c>
      <x:c r="I102" s="41" t="str"/>
      <x:c r="J102" s="46" t="str">
        <x:f>'Evaluation Plan'!J102</x:f>
        <x:v>Concept/compositional transfer</x:v>
      </x:c>
      <x:c r="K102" s="42" t="str">
        <x:f>'Evaluation Plan'!K102</x:f>
        <x:v>RD-CT41</x:v>
      </x:c>
      <x:c r="L102" s="42" t="str">
        <x:f>'Evaluation Plan'!L102</x:f>
        <x:v>closest</x:v>
      </x:c>
      <x:c r="M102" s="42" t="str">
        <x:f>'Evaluation Plan'!M102</x:f>
        <x:v>crushed soda can</x:v>
      </x:c>
      <x:c r="N102" s="42" t="n">
        <x:f>'Evaluation Plan'!N102</x:f>
        <x:v>5</x:v>
      </x:c>
      <x:c r="O102" s="42" t="n">
        <x:f>'Evaluation Plan'!O102</x:f>
        <x:v>1</x:v>
      </x:c>
      <x:c r="P102" s="42" t="str">
        <x:f>'Evaluation Plan'!P102</x:f>
        <x:v>Empty</x:v>
      </x:c>
      <x:c r="Q102" s="41" t="str">
        <x:f>'Evaluation Plan'!Q102</x:f>
        <x:v>Primary held-out relation × candidate-category composition — Put</x:v>
      </x:c>
      <x:c r="R102" s="42" t="n">
        <x:f>'Evaluation Plan'!R102</x:f>
        <x:v>4</x:v>
      </x:c>
      <x:c r="S102" s="41" t="str">
        <x:f>'Evaluation Plan'!S102</x:f>
        <x:v>Build the listed relation scene with the bowl empty.</x:v>
      </x:c>
      <x:c r="T102" s="41" t="str">
        <x:f>'Evaluation Plan'!T102</x:f>
        <x:v>Both candidates are present. The held-out relation is the only information that identifies the target.</x:v>
      </x:c>
      <x:c r="U102" s="41" t="n">
        <x:f>'Evaluation Plan'!U102</x:f>
        <x:v>0</x:v>
      </x:c>
    </x:row>
    <x:row r="103" ht="51" customHeight="1">
      <x:c r="A103" s="44" t="str">
        <x:v>Not collected</x:v>
      </x:c>
      <x:c r="B103" s="45" t="n">
        <x:f>'Evaluation Plan'!B103</x:f>
        <x:v>101</x:v>
      </x:c>
      <x:c r="C103" s="44" t="str">
        <x:f>'Evaluation Plan'!C103</x:f>
        <x:v>Put the pencil sharpener between the airplane toy with propellers and the yellow pen in the bowl.</x:v>
      </x:c>
      <x:c r="D103" s="44" t="str">
        <x:f>'Evaluation Plan'!D103</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airplane toy without propellers: at the far robot-left corner, outside the distance comparison; Bowl: empty</x:v>
      </x:c>
      <x:c r="E103" s="45" t="str">
        <x:f>'Evaluation Plan'!E103</x:f>
      </x:c>
      <x:c r="F103" s="45" t="str">
        <x:f>'Evaluation Plan'!F103</x:f>
        <x:v>495</x:v>
      </x:c>
      <x:c r="G103" s="44" t="str">
        <x:f>'Evaluation Plan'!G103</x:f>
        <x:v>Masked source trajectory: the target identity and physical manipulation are trained under a direct-name prompt, while this relation × candidate-category composition is intentionally absent.</x:v>
      </x:c>
      <x:c r="H103" s="44" t="str">
        <x:f>'Evaluation Plan'!H103</x:f>
        <x:v>green pencil sharpener</x:v>
      </x:c>
      <x:c r="I103" s="44" t="str"/>
      <x:c r="J103" s="46" t="str">
        <x:f>'Evaluation Plan'!J103</x:f>
        <x:v>Concept/compositional transfer</x:v>
      </x:c>
      <x:c r="K103" s="45" t="str">
        <x:f>'Evaluation Plan'!K103</x:f>
        <x:v>RD-CT42</x:v>
      </x:c>
      <x:c r="L103" s="45" t="str">
        <x:f>'Evaluation Plan'!L103</x:f>
        <x:v>between</x:v>
      </x:c>
      <x:c r="M103" s="45" t="str">
        <x:f>'Evaluation Plan'!M103</x:f>
        <x:v>pencil sharpener</x:v>
      </x:c>
      <x:c r="N103" s="45" t="n">
        <x:f>'Evaluation Plan'!N103</x:f>
        <x:v>5</x:v>
      </x:c>
      <x:c r="O103" s="45" t="n">
        <x:f>'Evaluation Plan'!O103</x:f>
        <x:v>1</x:v>
      </x:c>
      <x:c r="P103" s="45" t="str">
        <x:f>'Evaluation Plan'!P103</x:f>
        <x:v>Empty</x:v>
      </x:c>
      <x:c r="Q103" s="44" t="str">
        <x:f>'Evaluation Plan'!Q103</x:f>
        <x:v>Primary held-out relation × candidate-category composition — Put</x:v>
      </x:c>
      <x:c r="R103" s="45" t="n">
        <x:f>'Evaluation Plan'!R103</x:f>
        <x:v>4</x:v>
      </x:c>
      <x:c r="S103" s="44" t="str">
        <x:f>'Evaluation Plan'!S103</x:f>
        <x:v>Build the listed relation scene with the bowl empty.</x:v>
      </x:c>
      <x:c r="T103" s="44" t="str">
        <x:f>'Evaluation Plan'!T103</x:f>
        <x:v>Both candidates are present. The held-out relation is the only information that identifies the target.</x:v>
      </x:c>
      <x:c r="U103" s="44" t="n">
        <x:f>'Evaluation Plan'!U103</x:f>
        <x:v>0</x:v>
      </x:c>
    </x:row>
    <x:row r="104" ht="51" customHeight="1">
      <x:c r="A104" s="41" t="str">
        <x:v>Not collected</x:v>
      </x:c>
      <x:c r="B104" s="42" t="n">
        <x:f>'Evaluation Plan'!B104</x:f>
        <x:v>102</x:v>
      </x:c>
      <x:c r="C104" s="41" t="str">
        <x:f>'Evaluation Plan'!C104</x:f>
        <x:v>Move the airplane toy furthest from the green pencil sharpener into the bowl.</x:v>
      </x:c>
      <x:c r="D104" s="41" t="str">
        <x:f>'Evaluation Plan'!D104</x:f>
        <x:v>Reference: green pencil sharpener at table centre; airplane toy with propellers: 10 cm toward the robot from the reference; airplane toy without propellers: 24 cm away from the robot from the reference; red pencil sharpener: at the far robot-left corner, outside the distance comparison; green pen: at the far robot-right corner, outside the distance comparison; Bowl: empty</x:v>
      </x:c>
      <x:c r="E104" s="42" t="str">
        <x:f>'Evaluation Plan'!E104</x:f>
      </x:c>
      <x:c r="F104" s="42" t="str">
        <x:f>'Evaluation Plan'!F104</x:f>
        <x:v>577</x:v>
      </x:c>
      <x:c r="G104" s="41" t="str">
        <x:f>'Evaluation Plan'!G104</x:f>
        <x:v>Masked source trajectory: the target identity and physical manipulation are trained under a direct-name prompt, while this relation × candidate-category composition is intentionally absent.</x:v>
      </x:c>
      <x:c r="H104" s="41" t="str">
        <x:f>'Evaluation Plan'!H104</x:f>
        <x:v>airplane toy without propellers</x:v>
      </x:c>
      <x:c r="I104" s="41" t="str"/>
      <x:c r="J104" s="46" t="str">
        <x:f>'Evaluation Plan'!J104</x:f>
        <x:v>Concept/compositional transfer</x:v>
      </x:c>
      <x:c r="K104" s="42" t="str">
        <x:f>'Evaluation Plan'!K104</x:f>
        <x:v>RD-CT43</x:v>
      </x:c>
      <x:c r="L104" s="42" t="str">
        <x:f>'Evaluation Plan'!L104</x:f>
        <x:v>furthest</x:v>
      </x:c>
      <x:c r="M104" s="42" t="str">
        <x:f>'Evaluation Plan'!M104</x:f>
        <x:v>airplane toy</x:v>
      </x:c>
      <x:c r="N104" s="42" t="n">
        <x:f>'Evaluation Plan'!N104</x:f>
        <x:v>5</x:v>
      </x:c>
      <x:c r="O104" s="42" t="n">
        <x:f>'Evaluation Plan'!O104</x:f>
        <x:v>1</x:v>
      </x:c>
      <x:c r="P104" s="42" t="str">
        <x:f>'Evaluation Plan'!P104</x:f>
        <x:v>Empty</x:v>
      </x:c>
      <x:c r="Q104" s="41" t="str">
        <x:f>'Evaluation Plan'!Q104</x:f>
        <x:v>Primary held-out relation × candidate-category composition — Move</x:v>
      </x:c>
      <x:c r="R104" s="42" t="n">
        <x:f>'Evaluation Plan'!R104</x:f>
        <x:v>4</x:v>
      </x:c>
      <x:c r="S104" s="41" t="str">
        <x:f>'Evaluation Plan'!S104</x:f>
        <x:v>Build the listed relation scene with the bowl empty.</x:v>
      </x:c>
      <x:c r="T104" s="41" t="str">
        <x:f>'Evaluation Plan'!T104</x:f>
        <x:v>Both candidates are present. The held-out relation is the only information that identifies the target.</x:v>
      </x:c>
      <x:c r="U104" s="41" t="n">
        <x:f>'Evaluation Plan'!U104</x:f>
        <x:v>0</x:v>
      </x:c>
    </x:row>
    <x:row r="105" ht="51" customHeight="1">
      <x:c r="A105" s="44" t="str">
        <x:v>Not collected</x:v>
      </x:c>
      <x:c r="B105" s="45" t="n">
        <x:f>'Evaluation Plan'!B105</x:f>
        <x:v>103</x:v>
      </x:c>
      <x:c r="C105" s="44" t="str">
        <x:f>'Evaluation Plan'!C105</x:f>
        <x:v>Move the crushed soda can closest to the green pencil sharpener into the bowl.</x:v>
      </x:c>
      <x:c r="D105" s="44" t="str">
        <x:f>'Evaluation Plan'!D105</x:f>
        <x:v>Reference: green pencil sharpener at table centre; crushed Pepsi can: 10 cm toward the robot from the reference; crushed Coke can: 24 cm away from the robot from the reference; airplane toy without propellers: at the far robot-left corner, outside the distance comparison; red pencil sharpener: at the far robot-right corner, outside the distance comparison; Bowl: empty</x:v>
      </x:c>
      <x:c r="E105" s="45" t="str">
        <x:f>'Evaluation Plan'!E105</x:f>
      </x:c>
      <x:c r="F105" s="45" t="str">
        <x:f>'Evaluation Plan'!F105</x:f>
        <x:v>413</x:v>
      </x:c>
      <x:c r="G105" s="44" t="str">
        <x:f>'Evaluation Plan'!G105</x:f>
        <x:v>Masked source trajectory: the target identity and physical manipulation are trained under a direct-name prompt, while this relation × candidate-category composition is intentionally absent.</x:v>
      </x:c>
      <x:c r="H105" s="44" t="str">
        <x:f>'Evaluation Plan'!H105</x:f>
        <x:v>crushed Pepsi can</x:v>
      </x:c>
      <x:c r="I105" s="44" t="str"/>
      <x:c r="J105" s="46" t="str">
        <x:f>'Evaluation Plan'!J105</x:f>
        <x:v>Concept/compositional transfer</x:v>
      </x:c>
      <x:c r="K105" s="45" t="str">
        <x:f>'Evaluation Plan'!K105</x:f>
        <x:v>RD-CT44</x:v>
      </x:c>
      <x:c r="L105" s="45" t="str">
        <x:f>'Evaluation Plan'!L105</x:f>
        <x:v>closest</x:v>
      </x:c>
      <x:c r="M105" s="45" t="str">
        <x:f>'Evaluation Plan'!M105</x:f>
        <x:v>crushed soda can</x:v>
      </x:c>
      <x:c r="N105" s="45" t="n">
        <x:f>'Evaluation Plan'!N105</x:f>
        <x:v>5</x:v>
      </x:c>
      <x:c r="O105" s="45" t="n">
        <x:f>'Evaluation Plan'!O105</x:f>
        <x:v>1</x:v>
      </x:c>
      <x:c r="P105" s="45" t="str">
        <x:f>'Evaluation Plan'!P105</x:f>
        <x:v>Empty</x:v>
      </x:c>
      <x:c r="Q105" s="44" t="str">
        <x:f>'Evaluation Plan'!Q105</x:f>
        <x:v>Primary held-out relation × candidate-category composition — Move</x:v>
      </x:c>
      <x:c r="R105" s="45" t="n">
        <x:f>'Evaluation Plan'!R105</x:f>
        <x:v>4</x:v>
      </x:c>
      <x:c r="S105" s="44" t="str">
        <x:f>'Evaluation Plan'!S105</x:f>
        <x:v>Build the listed relation scene with the bowl empty.</x:v>
      </x:c>
      <x:c r="T105" s="44" t="str">
        <x:f>'Evaluation Plan'!T105</x:f>
        <x:v>Both candidates are present. The held-out relation is the only information that identifies the target.</x:v>
      </x:c>
      <x:c r="U105" s="44" t="n">
        <x:f>'Evaluation Plan'!U105</x:f>
        <x:v>0</x:v>
      </x:c>
    </x:row>
    <x:row r="106" ht="51" customHeight="1">
      <x:c r="A106" s="41" t="str">
        <x:v>Not collected</x:v>
      </x:c>
      <x:c r="B106" s="42" t="n">
        <x:f>'Evaluation Plan'!B106</x:f>
        <x:v>104</x:v>
      </x:c>
      <x:c r="C106" s="41" t="str">
        <x:f>'Evaluation Plan'!C106</x:f>
        <x:v>Move the pencil sharpener between the crushed Pepsi can and the airplane toy without propellers into the bowl.</x:v>
      </x:c>
      <x:c r="D106" s="41" t="str">
        <x:f>'Evaluation Plan'!D106</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yellow pen: at the far robot-left corner, outside the distance comparison; Bowl: empty</x:v>
      </x:c>
      <x:c r="E106" s="42" t="str">
        <x:f>'Evaluation Plan'!E106</x:f>
      </x:c>
      <x:c r="F106" s="42" t="str">
        <x:f>'Evaluation Plan'!F106</x:f>
        <x:v>493</x:v>
      </x:c>
      <x:c r="G106" s="41" t="str">
        <x:f>'Evaluation Plan'!G106</x:f>
        <x:v>Masked source trajectory: the target identity and physical manipulation are trained under a direct-name prompt, while this relation × candidate-category composition is intentionally absent.</x:v>
      </x:c>
      <x:c r="H106" s="41" t="str">
        <x:f>'Evaluation Plan'!H106</x:f>
        <x:v>red pencil sharpener</x:v>
      </x:c>
      <x:c r="I106" s="41" t="str"/>
      <x:c r="J106" s="46" t="str">
        <x:f>'Evaluation Plan'!J106</x:f>
        <x:v>Concept/compositional transfer</x:v>
      </x:c>
      <x:c r="K106" s="42" t="str">
        <x:f>'Evaluation Plan'!K106</x:f>
        <x:v>RD-CT45</x:v>
      </x:c>
      <x:c r="L106" s="42" t="str">
        <x:f>'Evaluation Plan'!L106</x:f>
        <x:v>between</x:v>
      </x:c>
      <x:c r="M106" s="42" t="str">
        <x:f>'Evaluation Plan'!M106</x:f>
        <x:v>pencil sharpener</x:v>
      </x:c>
      <x:c r="N106" s="42" t="n">
        <x:f>'Evaluation Plan'!N106</x:f>
        <x:v>5</x:v>
      </x:c>
      <x:c r="O106" s="42" t="n">
        <x:f>'Evaluation Plan'!O106</x:f>
        <x:v>1</x:v>
      </x:c>
      <x:c r="P106" s="42" t="str">
        <x:f>'Evaluation Plan'!P106</x:f>
        <x:v>Empty</x:v>
      </x:c>
      <x:c r="Q106" s="41" t="str">
        <x:f>'Evaluation Plan'!Q106</x:f>
        <x:v>Primary held-out relation × candidate-category composition — Move</x:v>
      </x:c>
      <x:c r="R106" s="42" t="n">
        <x:f>'Evaluation Plan'!R106</x:f>
        <x:v>4</x:v>
      </x:c>
      <x:c r="S106" s="41" t="str">
        <x:f>'Evaluation Plan'!S106</x:f>
        <x:v>Build the listed relation scene with the bowl empty.</x:v>
      </x:c>
      <x:c r="T106" s="41" t="str">
        <x:f>'Evaluation Plan'!T106</x:f>
        <x:v>Both candidates are present. The held-out relation is the only information that identifies the target.</x:v>
      </x:c>
      <x:c r="U106" s="41" t="n">
        <x:f>'Evaluation Plan'!U106</x:f>
        <x:v>0</x:v>
      </x:c>
    </x:row>
    <x:row r="107" ht="51" customHeight="1">
      <x:c r="A107" s="44" t="str">
        <x:v>Not collected</x:v>
      </x:c>
      <x:c r="B107" s="45" t="n">
        <x:f>'Evaluation Plan'!B107</x:f>
        <x:v>105</x:v>
      </x:c>
      <x:c r="C107" s="44" t="str">
        <x:f>'Evaluation Plan'!C107</x:f>
        <x:v>Pick up the airplane toy furthest from the yellow pen and place it in the bowl.</x:v>
      </x:c>
      <x:c r="D107" s="44" t="str">
        <x:f>'Evaluation Plan'!D107</x:f>
        <x:v>Reference: yellow pen at table centre; airplane toy with propellers: 10 cm away from the robot from the reference; airplane toy without propellers: 24 cm toward the robot from the reference; crushed Coke can: at the far robot-left corner, outside the distance comparison; crushed Pepsi can: at the far robot-right corner, outside the distance comparison; Bowl: empty</x:v>
      </x:c>
      <x:c r="E107" s="45" t="str">
        <x:f>'Evaluation Plan'!E107</x:f>
      </x:c>
      <x:c r="F107" s="45" t="str">
        <x:f>'Evaluation Plan'!F107</x:f>
        <x:v>579</x:v>
      </x:c>
      <x:c r="G107" s="44" t="str">
        <x:f>'Evaluation Plan'!G107</x:f>
        <x:v>Masked source trajectory: the target identity and physical manipulation are trained under a direct-name prompt, while this relation × candidate-category composition is intentionally absent.</x:v>
      </x:c>
      <x:c r="H107" s="44" t="str">
        <x:f>'Evaluation Plan'!H107</x:f>
        <x:v>airplane toy without propellers</x:v>
      </x:c>
      <x:c r="I107" s="44" t="str"/>
      <x:c r="J107" s="46" t="str">
        <x:f>'Evaluation Plan'!J107</x:f>
        <x:v>Concept/compositional transfer</x:v>
      </x:c>
      <x:c r="K107" s="45" t="str">
        <x:f>'Evaluation Plan'!K107</x:f>
        <x:v>RD-CT46</x:v>
      </x:c>
      <x:c r="L107" s="45" t="str">
        <x:f>'Evaluation Plan'!L107</x:f>
        <x:v>furthest</x:v>
      </x:c>
      <x:c r="M107" s="45" t="str">
        <x:f>'Evaluation Plan'!M107</x:f>
        <x:v>airplane toy</x:v>
      </x:c>
      <x:c r="N107" s="45" t="n">
        <x:f>'Evaluation Plan'!N107</x:f>
        <x:v>5</x:v>
      </x:c>
      <x:c r="O107" s="45" t="n">
        <x:f>'Evaluation Plan'!O107</x:f>
        <x:v>1</x:v>
      </x:c>
      <x:c r="P107" s="45" t="str">
        <x:f>'Evaluation Plan'!P107</x:f>
        <x:v>Empty</x:v>
      </x:c>
      <x:c r="Q107" s="44" t="str">
        <x:f>'Evaluation Plan'!Q107</x:f>
        <x:v>Primary held-out relation × candidate-category composition — Pick up</x:v>
      </x:c>
      <x:c r="R107" s="45" t="n">
        <x:f>'Evaluation Plan'!R107</x:f>
        <x:v>4</x:v>
      </x:c>
      <x:c r="S107" s="44" t="str">
        <x:f>'Evaluation Plan'!S107</x:f>
        <x:v>Build the listed relation scene with the bowl empty.</x:v>
      </x:c>
      <x:c r="T107" s="44" t="str">
        <x:f>'Evaluation Plan'!T107</x:f>
        <x:v>Both candidates are present. The held-out relation is the only information that identifies the target.</x:v>
      </x:c>
      <x:c r="U107" s="44" t="n">
        <x:f>'Evaluation Plan'!U107</x:f>
        <x:v>0</x:v>
      </x:c>
    </x:row>
    <x:row r="108" ht="51" customHeight="1">
      <x:c r="A108" s="41" t="str">
        <x:v>Not collected</x:v>
      </x:c>
      <x:c r="B108" s="42" t="n">
        <x:f>'Evaluation Plan'!B108</x:f>
        <x:v>106</x:v>
      </x:c>
      <x:c r="C108" s="41" t="str">
        <x:f>'Evaluation Plan'!C108</x:f>
        <x:v>Pick up the crushed soda can closest to the yellow pen and place it in the bowl.</x:v>
      </x:c>
      <x:c r="D108" s="41" t="str">
        <x:f>'Evaluation Plan'!D108</x:f>
        <x:v>Reference: yellow pen at table centre; crushed Pepsi can: 10 cm away from the robot from the reference; crushed Coke can: 24 cm toward the robot from the reference; green pen: at the far robot-left corner, outside the distance comparison; airplane toy with propellers: at the far robot-right corner, outside the distance comparison; Bowl: empty</x:v>
      </x:c>
      <x:c r="E108" s="42" t="str">
        <x:f>'Evaluation Plan'!E108</x:f>
      </x:c>
      <x:c r="F108" s="42" t="str">
        <x:f>'Evaluation Plan'!F108</x:f>
        <x:v>401</x:v>
      </x:c>
      <x:c r="G108" s="41" t="str">
        <x:f>'Evaluation Plan'!G108</x:f>
        <x:v>Masked source trajectory: the target identity and physical manipulation are trained under a direct-name prompt, while this relation × candidate-category composition is intentionally absent.</x:v>
      </x:c>
      <x:c r="H108" s="41" t="str">
        <x:f>'Evaluation Plan'!H108</x:f>
        <x:v>crushed Pepsi can</x:v>
      </x:c>
      <x:c r="I108" s="41" t="str"/>
      <x:c r="J108" s="46" t="str">
        <x:f>'Evaluation Plan'!J108</x:f>
        <x:v>Concept/compositional transfer</x:v>
      </x:c>
      <x:c r="K108" s="42" t="str">
        <x:f>'Evaluation Plan'!K108</x:f>
        <x:v>RD-CT47</x:v>
      </x:c>
      <x:c r="L108" s="42" t="str">
        <x:f>'Evaluation Plan'!L108</x:f>
        <x:v>closest</x:v>
      </x:c>
      <x:c r="M108" s="42" t="str">
        <x:f>'Evaluation Plan'!M108</x:f>
        <x:v>crushed soda can</x:v>
      </x:c>
      <x:c r="N108" s="42" t="n">
        <x:f>'Evaluation Plan'!N108</x:f>
        <x:v>5</x:v>
      </x:c>
      <x:c r="O108" s="42" t="n">
        <x:f>'Evaluation Plan'!O108</x:f>
        <x:v>1</x:v>
      </x:c>
      <x:c r="P108" s="42" t="str">
        <x:f>'Evaluation Plan'!P108</x:f>
        <x:v>Empty</x:v>
      </x:c>
      <x:c r="Q108" s="41" t="str">
        <x:f>'Evaluation Plan'!Q108</x:f>
        <x:v>Primary held-out relation × candidate-category composition — Pick up</x:v>
      </x:c>
      <x:c r="R108" s="42" t="n">
        <x:f>'Evaluation Plan'!R108</x:f>
        <x:v>4</x:v>
      </x:c>
      <x:c r="S108" s="41" t="str">
        <x:f>'Evaluation Plan'!S108</x:f>
        <x:v>Build the listed relation scene with the bowl empty.</x:v>
      </x:c>
      <x:c r="T108" s="41" t="str">
        <x:f>'Evaluation Plan'!T108</x:f>
        <x:v>Both candidates are present. The held-out relation is the only information that identifies the target.</x:v>
      </x:c>
      <x:c r="U108" s="41" t="n">
        <x:f>'Evaluation Plan'!U108</x:f>
        <x:v>0</x:v>
      </x:c>
    </x:row>
    <x:row r="109" ht="51" customHeight="1">
      <x:c r="A109" s="44" t="str">
        <x:v>Not collected</x:v>
      </x:c>
      <x:c r="B109" s="45" t="n">
        <x:f>'Evaluation Plan'!B109</x:f>
        <x:v>107</x:v>
      </x:c>
      <x:c r="C109" s="44" t="str">
        <x:f>'Evaluation Plan'!C109</x:f>
        <x:v>Pick up the pencil sharpener between the green pen and the crushed Coke can and place it in the bowl.</x:v>
      </x:c>
      <x:c r="D109" s="44" t="str">
        <x:f>'Evaluation Plan'!D109</x:f>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yellow pen: at the far robot-left corner, outside the distance comparison; Bowl: empty</x:v>
      </x:c>
      <x:c r="E109" s="45" t="str">
        <x:f>'Evaluation Plan'!E109</x:f>
      </x:c>
      <x:c r="F109" s="45" t="str">
        <x:f>'Evaluation Plan'!F109</x:f>
        <x:v>494</x:v>
      </x:c>
      <x:c r="G109" s="44" t="str">
        <x:f>'Evaluation Plan'!G109</x:f>
        <x:v>Masked source trajectory: the target identity and physical manipulation are trained under a direct-name prompt, while this relation × candidate-category composition is intentionally absent.</x:v>
      </x:c>
      <x:c r="H109" s="44" t="str">
        <x:f>'Evaluation Plan'!H109</x:f>
        <x:v>red pencil sharpener</x:v>
      </x:c>
      <x:c r="I109" s="44" t="str"/>
      <x:c r="J109" s="46" t="str">
        <x:f>'Evaluation Plan'!J109</x:f>
        <x:v>Concept/compositional transfer</x:v>
      </x:c>
      <x:c r="K109" s="45" t="str">
        <x:f>'Evaluation Plan'!K109</x:f>
        <x:v>RD-CT48</x:v>
      </x:c>
      <x:c r="L109" s="45" t="str">
        <x:f>'Evaluation Plan'!L109</x:f>
        <x:v>between</x:v>
      </x:c>
      <x:c r="M109" s="45" t="str">
        <x:f>'Evaluation Plan'!M109</x:f>
        <x:v>pencil sharpener</x:v>
      </x:c>
      <x:c r="N109" s="45" t="n">
        <x:f>'Evaluation Plan'!N109</x:f>
        <x:v>5</x:v>
      </x:c>
      <x:c r="O109" s="45" t="n">
        <x:f>'Evaluation Plan'!O109</x:f>
        <x:v>1</x:v>
      </x:c>
      <x:c r="P109" s="45" t="str">
        <x:f>'Evaluation Plan'!P109</x:f>
        <x:v>Empty</x:v>
      </x:c>
      <x:c r="Q109" s="44" t="str">
        <x:f>'Evaluation Plan'!Q109</x:f>
        <x:v>Primary held-out relation × candidate-category composition — Pick up</x:v>
      </x:c>
      <x:c r="R109" s="45" t="n">
        <x:f>'Evaluation Plan'!R109</x:f>
        <x:v>4</x:v>
      </x:c>
      <x:c r="S109" s="44" t="str">
        <x:f>'Evaluation Plan'!S109</x:f>
        <x:v>Build the listed relation scene with the bowl empty.</x:v>
      </x:c>
      <x:c r="T109" s="44" t="str">
        <x:f>'Evaluation Plan'!T109</x:f>
        <x:v>Both candidates are present. The held-out relation is the only information that identifies the target.</x:v>
      </x:c>
      <x:c r="U109" s="44" t="n">
        <x:f>'Evaluation Plan'!U109</x:f>
        <x:v>0</x:v>
      </x:c>
    </x:row>
    <x:row r="110" ht="51" customHeight="1">
      <x:c r="A110" s="41" t="str">
        <x:v>Not collected</x:v>
      </x:c>
      <x:c r="B110" s="42" t="n">
        <x:f>'Evaluation Plan'!B110</x:f>
        <x:v>108</x:v>
      </x:c>
      <x:c r="C110" s="41" t="str">
        <x:f>'Evaluation Plan'!C110</x:f>
        <x:v>Put the airplane toy furthest from the crushed Pepsi can in the bowl.</x:v>
      </x:c>
      <x:c r="D110" s="41" t="str">
        <x:f>'Evaluation Plan'!D110</x:f>
        <x:v>Reference: crushed Pepsi can at table centre; airplane toy without propellers: 10 cm toward robot-left from the reference; airplane toy with propellers: 24 cm away toward robot-right from the reference; green pen: at the far robot-left corner, outside the distance comparison; yellow pen: at the far robot-right corner, outside the distance comparison; Bowl: empty</x:v>
      </x:c>
      <x:c r="E110" s="42" t="str">
        <x:f>'Evaluation Plan'!E110</x:f>
      </x:c>
      <x:c r="F110" s="42" t="str">
        <x:f>'Evaluation Plan'!F110</x:f>
        <x:v>568</x:v>
      </x:c>
      <x:c r="G110" s="41" t="str">
        <x:f>'Evaluation Plan'!G110</x:f>
        <x:v>Masked source trajectory: the target identity and physical manipulation are trained under a direct-name prompt, while this relation × candidate-category composition is intentionally absent.</x:v>
      </x:c>
      <x:c r="H110" s="41" t="str">
        <x:f>'Evaluation Plan'!H110</x:f>
        <x:v>airplane toy with propellers</x:v>
      </x:c>
      <x:c r="I110" s="41" t="str"/>
      <x:c r="J110" s="46" t="str">
        <x:f>'Evaluation Plan'!J110</x:f>
        <x:v>Concept/compositional transfer</x:v>
      </x:c>
      <x:c r="K110" s="42" t="str">
        <x:f>'Evaluation Plan'!K110</x:f>
        <x:v>RD-CT49</x:v>
      </x:c>
      <x:c r="L110" s="42" t="str">
        <x:f>'Evaluation Plan'!L110</x:f>
        <x:v>furthest</x:v>
      </x:c>
      <x:c r="M110" s="42" t="str">
        <x:f>'Evaluation Plan'!M110</x:f>
        <x:v>airplane toy</x:v>
      </x:c>
      <x:c r="N110" s="42" t="n">
        <x:f>'Evaluation Plan'!N110</x:f>
        <x:v>5</x:v>
      </x:c>
      <x:c r="O110" s="42" t="n">
        <x:f>'Evaluation Plan'!O110</x:f>
        <x:v>1</x:v>
      </x:c>
      <x:c r="P110" s="42" t="str">
        <x:f>'Evaluation Plan'!P110</x:f>
        <x:v>Empty</x:v>
      </x:c>
      <x:c r="Q110" s="41" t="str">
        <x:f>'Evaluation Plan'!Q110</x:f>
        <x:v>Primary held-out relation × candidate-category composition — Put</x:v>
      </x:c>
      <x:c r="R110" s="42" t="n">
        <x:f>'Evaluation Plan'!R110</x:f>
        <x:v>4</x:v>
      </x:c>
      <x:c r="S110" s="41" t="str">
        <x:f>'Evaluation Plan'!S110</x:f>
        <x:v>Build the listed relation scene with the bowl empty.</x:v>
      </x:c>
      <x:c r="T110" s="41" t="str">
        <x:f>'Evaluation Plan'!T110</x:f>
        <x:v>Both candidates are present. The held-out relation is the only information that identifies the target.</x:v>
      </x:c>
      <x:c r="U110" s="41" t="n">
        <x:f>'Evaluation Plan'!U110</x:f>
        <x:v>0</x:v>
      </x:c>
    </x:row>
    <x:row r="111" ht="51" customHeight="1">
      <x:c r="A111" s="44" t="str">
        <x:v>Not collected</x:v>
      </x:c>
      <x:c r="B111" s="45" t="n">
        <x:f>'Evaluation Plan'!B111</x:f>
        <x:v>109</x:v>
      </x:c>
      <x:c r="C111" s="44" t="str">
        <x:f>'Evaluation Plan'!C111</x:f>
        <x:v>Put the crushed soda can closest to the airplane toy without propellers in the bowl.</x:v>
      </x:c>
      <x:c r="D111" s="44" t="str">
        <x:f>'Evaluation Plan'!D111</x:f>
        <x:v>Reference: airplane toy without propellers at table centre; crushed Coke can: 10 cm toward robot-left from the reference; crushed Pepsi can: 24 cm away toward robot-right from the reference; green pencil sharpener: at the far robot-left corner, outside the distance comparison; red pencil sharpener: at the far robot-right corner, outside the distance comparison; Bowl: empty</x:v>
      </x:c>
      <x:c r="E111" s="45" t="str">
        <x:f>'Evaluation Plan'!E111</x:f>
      </x:c>
      <x:c r="F111" s="45" t="str">
        <x:f>'Evaluation Plan'!F111</x:f>
        <x:v>400</x:v>
      </x:c>
      <x:c r="G111" s="44" t="str">
        <x:f>'Evaluation Plan'!G111</x:f>
        <x:v>Masked source trajectory: the target identity and physical manipulation are trained under a direct-name prompt, while this relation × candidate-category composition is intentionally absent.</x:v>
      </x:c>
      <x:c r="H111" s="44" t="str">
        <x:f>'Evaluation Plan'!H111</x:f>
        <x:v>crushed Coke can</x:v>
      </x:c>
      <x:c r="I111" s="44" t="str"/>
      <x:c r="J111" s="46" t="str">
        <x:f>'Evaluation Plan'!J111</x:f>
        <x:v>Concept/compositional transfer</x:v>
      </x:c>
      <x:c r="K111" s="45" t="str">
        <x:f>'Evaluation Plan'!K111</x:f>
        <x:v>RD-CT50</x:v>
      </x:c>
      <x:c r="L111" s="45" t="str">
        <x:f>'Evaluation Plan'!L111</x:f>
        <x:v>closest</x:v>
      </x:c>
      <x:c r="M111" s="45" t="str">
        <x:f>'Evaluation Plan'!M111</x:f>
        <x:v>crushed soda can</x:v>
      </x:c>
      <x:c r="N111" s="45" t="n">
        <x:f>'Evaluation Plan'!N111</x:f>
        <x:v>5</x:v>
      </x:c>
      <x:c r="O111" s="45" t="n">
        <x:f>'Evaluation Plan'!O111</x:f>
        <x:v>1</x:v>
      </x:c>
      <x:c r="P111" s="45" t="str">
        <x:f>'Evaluation Plan'!P111</x:f>
        <x:v>Empty</x:v>
      </x:c>
      <x:c r="Q111" s="44" t="str">
        <x:f>'Evaluation Plan'!Q111</x:f>
        <x:v>Primary held-out relation × candidate-category composition — Put</x:v>
      </x:c>
      <x:c r="R111" s="45" t="n">
        <x:f>'Evaluation Plan'!R111</x:f>
        <x:v>4</x:v>
      </x:c>
      <x:c r="S111" s="44" t="str">
        <x:f>'Evaluation Plan'!S111</x:f>
        <x:v>Build the listed relation scene with the bowl empty.</x:v>
      </x:c>
      <x:c r="T111" s="44" t="str">
        <x:f>'Evaluation Plan'!T111</x:f>
        <x:v>Both candidates are present. The held-out relation is the only information that identifies the target.</x:v>
      </x:c>
      <x:c r="U111" s="44" t="n">
        <x:f>'Evaluation Plan'!U111</x:f>
        <x:v>0</x:v>
      </x:c>
    </x:row>
    <x:row r="112" ht="51" customHeight="1">
      <x:c r="A112" s="41" t="str">
        <x:v>Not collected</x:v>
      </x:c>
      <x:c r="B112" s="42" t="n">
        <x:f>'Evaluation Plan'!B112</x:f>
        <x:v>110</x:v>
      </x:c>
      <x:c r="C112" s="41" t="str">
        <x:f>'Evaluation Plan'!C112</x:f>
        <x:v>Pick up the block closest to the crushed Coke can and place it in the bowl.</x:v>
      </x:c>
      <x:c r="D112" s="41" t="str">
        <x:f>'Evaluation Plan'!D112</x:f>
        <x:v>Reference: crushed Coke can at table centre; green block: 10 cm toward the robot from the reference; blue block: 24 cm away from the robot from the reference; airplane toy with propellers: at the far robot-left corner, outside the distance comparison; Bowl: empty</x:v>
      </x:c>
      <x:c r="E112" s="42" t="str">
        <x:f>'Evaluation Plan'!E112</x:f>
      </x:c>
      <x:c r="F112" s="42" t="str">
        <x:f>'Evaluation Plan'!F112</x:f>
        <x:v>500; 1075; 350</x:v>
      </x:c>
      <x:c r="G112" s="41" t="str">
        <x:f>'Evaluation Plan'!G112</x:f>
        <x:v>Relation grounding is explicit in Referential Disambiguation, and both block identities are manipulated elsewhere in fine-tuning; block × referential-relation is absent.</x:v>
      </x:c>
      <x:c r="H112" s="41" t="str">
        <x:f>'Evaluation Plan'!H112</x:f>
        <x:v>green block</x:v>
      </x:c>
      <x:c r="I112" s="41" t="str"/>
      <x:c r="J112" s="47" t="str">
        <x:f>'Evaluation Plan'!J112</x:f>
        <x:v>Cross-task block reasoning</x:v>
      </x:c>
      <x:c r="K112" s="42" t="str">
        <x:f>'Evaluation Plan'!K112</x:f>
        <x:v>RD-BLOCK01</x:v>
      </x:c>
      <x:c r="L112" s="42" t="str">
        <x:f>'Evaluation Plan'!L112</x:f>
        <x:v>closest</x:v>
      </x:c>
      <x:c r="M112" s="42" t="str">
        <x:f>'Evaluation Plan'!M112</x:f>
        <x:v>block</x:v>
      </x:c>
      <x:c r="N112" s="42" t="n">
        <x:f>'Evaluation Plan'!N112</x:f>
        <x:v>4</x:v>
      </x:c>
      <x:c r="O112" s="42" t="n">
        <x:f>'Evaluation Plan'!O112</x:f>
        <x:v>1</x:v>
      </x:c>
      <x:c r="P112" s="42" t="str">
        <x:f>'Evaluation Plan'!P112</x:f>
        <x:v>Empty</x:v>
      </x:c>
      <x:c r="Q112" s="41" t="str">
        <x:f>'Evaluation Plan'!Q112</x:f>
        <x:v>Cross-task block candidate pair — closest</x:v>
      </x:c>
      <x:c r="R112" s="42" t="n">
        <x:f>'Evaluation Plan'!R112</x:f>
        <x:v>5</x:v>
      </x:c>
      <x:c r="S112" s="41" t="str">
        <x:f>'Evaluation Plan'!S112</x:f>
        <x:v>Build the listed four-object block scene with the bowl empty.</x:v>
      </x:c>
      <x:c r="T112" s="41" t="str">
        <x:f>'Evaluation Plan'!T112</x:f>
        <x:v>Reasoning-only cross-task diagnostic; no direct-name block control is included.</x:v>
      </x:c>
      <x:c r="U112" s="41" t="n">
        <x:f>'Evaluation Plan'!U112</x:f>
        <x:v>0</x:v>
      </x:c>
    </x:row>
    <x:row r="113" ht="51" customHeight="1">
      <x:c r="A113" s="32" t="str">
        <x:v>Not collected</x:v>
      </x:c>
      <x:c r="B113" s="34" t="n">
        <x:f>'Evaluation Plan'!B113</x:f>
        <x:v>111</x:v>
      </x:c>
      <x:c r="C113" s="32" t="str">
        <x:f>'Evaluation Plan'!C113</x:f>
        <x:v>Put the block furthest from the crushed Coke can in the bowl.</x:v>
      </x:c>
      <x:c r="D113" s="32" t="str">
        <x:f>'Evaluation Plan'!D113</x:f>
        <x:v>Reference: crushed Coke can at table centre; green block: 10 cm toward the robot from the reference; blue block: 24 cm away from the robot from the reference; airplane toy with propellers: at the far robot-left corner, outside the distance comparison; Bowl: empty</x:v>
      </x:c>
      <x:c r="E113" s="34" t="n">
        <x:f>'Evaluation Plan'!E113</x:f>
        <x:v>110</x:v>
      </x:c>
      <x:c r="F113" s="34" t="str">
        <x:f>'Evaluation Plan'!F113</x:f>
        <x:v>515; 1075; 350</x:v>
      </x:c>
      <x:c r="G113" s="32" t="str">
        <x:f>'Evaluation Plan'!G113</x:f>
        <x:v>Relation grounding is explicit in Referential Disambiguation, and both block identities are manipulated elsewhere in fine-tuning; block × referential-relation is absent.</x:v>
      </x:c>
      <x:c r="H113" s="32" t="str">
        <x:f>'Evaluation Plan'!H113</x:f>
        <x:v>blue block</x:v>
      </x:c>
      <x:c r="I113" s="32" t="str"/>
      <x:c r="J113" s="39" t="str">
        <x:f>'Evaluation Plan'!J113</x:f>
        <x:v>Cross-task block reasoning</x:v>
      </x:c>
      <x:c r="K113" s="34" t="str">
        <x:f>'Evaluation Plan'!K113</x:f>
        <x:v>RD-BLOCK01</x:v>
      </x:c>
      <x:c r="L113" s="34" t="str">
        <x:f>'Evaluation Plan'!L113</x:f>
        <x:v>furthest</x:v>
      </x:c>
      <x:c r="M113" s="34" t="str">
        <x:f>'Evaluation Plan'!M113</x:f>
        <x:v>block</x:v>
      </x:c>
      <x:c r="N113" s="34" t="n">
        <x:f>'Evaluation Plan'!N113</x:f>
        <x:v>4</x:v>
      </x:c>
      <x:c r="O113" s="34" t="n">
        <x:f>'Evaluation Plan'!O113</x:f>
        <x:v>1</x:v>
      </x:c>
      <x:c r="P113" s="34" t="str">
        <x:f>'Evaluation Plan'!P113</x:f>
        <x:v>Empty</x:v>
      </x:c>
      <x:c r="Q113" s="32" t="str">
        <x:f>'Evaluation Plan'!Q113</x:f>
        <x:v>Cross-task block candidate pair — furthest</x:v>
      </x:c>
      <x:c r="R113" s="34" t="n">
        <x:f>'Evaluation Plan'!R113</x:f>
        <x:v>5</x:v>
      </x:c>
      <x:c r="S113" s="32" t="str">
        <x:f>'Evaluation Plan'!S113</x:f>
        <x:v>Reset the moved block exactly; preserve the scene; change only the relation prompt.</x:v>
      </x:c>
      <x:c r="T113" s="32" t="str">
        <x:f>'Evaluation Plan'!T113</x:f>
        <x:v>Exact-scene closest/furthest counterfactual; the correct block switches.</x:v>
      </x:c>
      <x:c r="U113" s="32" t="n">
        <x:f>'Evaluation Plan'!U113</x:f>
        <x:v>0</x:v>
      </x:c>
    </x:row>
    <x:row r="114" ht="51" customHeight="1">
      <x:c r="A114" s="41" t="str">
        <x:v>Not collected</x:v>
      </x:c>
      <x:c r="B114" s="42" t="n">
        <x:f>'Evaluation Plan'!B114</x:f>
        <x:v>112</x:v>
      </x:c>
      <x:c r="C114" s="41" t="str">
        <x:f>'Evaluation Plan'!C114</x:f>
        <x:v>Put the block closest to the green pencil sharpener in the bowl.</x:v>
      </x:c>
      <x:c r="D114" s="41" t="str">
        <x:f>'Evaluation Plan'!D114</x:f>
        <x:v>Reference: green pencil sharpener at table centre; blue block: 10 cm away from the robot from the reference; green block: 24 cm toward the robot from the reference; airplane toy without propellers: at the far robot-left corner, outside the distance comparison; Bowl: empty</x:v>
      </x:c>
      <x:c r="E114" s="42" t="str">
        <x:f>'Evaluation Plan'!E114</x:f>
      </x:c>
      <x:c r="F114" s="42" t="str">
        <x:f>'Evaluation Plan'!F114</x:f>
        <x:v>500; 1075; 350</x:v>
      </x:c>
      <x:c r="G114" s="41" t="str">
        <x:f>'Evaluation Plan'!G114</x:f>
        <x:v>Relation grounding is explicit in Referential Disambiguation, and both block identities are manipulated elsewhere in fine-tuning; block × referential-relation is absent.</x:v>
      </x:c>
      <x:c r="H114" s="41" t="str">
        <x:f>'Evaluation Plan'!H114</x:f>
        <x:v>blue block</x:v>
      </x:c>
      <x:c r="I114" s="41" t="str"/>
      <x:c r="J114" s="47" t="str">
        <x:f>'Evaluation Plan'!J114</x:f>
        <x:v>Cross-task block reasoning</x:v>
      </x:c>
      <x:c r="K114" s="42" t="str">
        <x:f>'Evaluation Plan'!K114</x:f>
        <x:v>RD-BLOCK02</x:v>
      </x:c>
      <x:c r="L114" s="42" t="str">
        <x:f>'Evaluation Plan'!L114</x:f>
        <x:v>closest</x:v>
      </x:c>
      <x:c r="M114" s="42" t="str">
        <x:f>'Evaluation Plan'!M114</x:f>
        <x:v>block</x:v>
      </x:c>
      <x:c r="N114" s="42" t="n">
        <x:f>'Evaluation Plan'!N114</x:f>
        <x:v>4</x:v>
      </x:c>
      <x:c r="O114" s="42" t="n">
        <x:f>'Evaluation Plan'!O114</x:f>
        <x:v>1</x:v>
      </x:c>
      <x:c r="P114" s="42" t="str">
        <x:f>'Evaluation Plan'!P114</x:f>
        <x:v>Empty</x:v>
      </x:c>
      <x:c r="Q114" s="41" t="str">
        <x:f>'Evaluation Plan'!Q114</x:f>
        <x:v>Cross-task block candidate pair — closest</x:v>
      </x:c>
      <x:c r="R114" s="42" t="n">
        <x:f>'Evaluation Plan'!R114</x:f>
        <x:v>5</x:v>
      </x:c>
      <x:c r="S114" s="41" t="str">
        <x:f>'Evaluation Plan'!S114</x:f>
        <x:v>Build the listed four-object block scene with the bowl empty.</x:v>
      </x:c>
      <x:c r="T114" s="41" t="str">
        <x:f>'Evaluation Plan'!T114</x:f>
        <x:v>Reasoning-only cross-task diagnostic; no direct-name block control is included.</x:v>
      </x:c>
      <x:c r="U114" s="41" t="n">
        <x:f>'Evaluation Plan'!U114</x:f>
        <x:v>0</x:v>
      </x:c>
    </x:row>
    <x:row r="115" ht="51" customHeight="1">
      <x:c r="A115" s="32" t="str">
        <x:v>Not collected</x:v>
      </x:c>
      <x:c r="B115" s="34" t="n">
        <x:f>'Evaluation Plan'!B115</x:f>
        <x:v>113</x:v>
      </x:c>
      <x:c r="C115" s="32" t="str">
        <x:f>'Evaluation Plan'!C115</x:f>
        <x:v>Move the block furthest from the green pencil sharpener into the bowl.</x:v>
      </x:c>
      <x:c r="D115" s="32" t="str">
        <x:f>'Evaluation Plan'!D115</x:f>
        <x:v>Reference: green pencil sharpener at table centre; blue block: 10 cm away from the robot from the reference; green block: 24 cm toward the robot from the reference; airplane toy without propellers: at the far robot-left corner, outside the distance comparison; Bowl: empty</x:v>
      </x:c>
      <x:c r="E115" s="34" t="n">
        <x:f>'Evaluation Plan'!E115</x:f>
        <x:v>112</x:v>
      </x:c>
      <x:c r="F115" s="34" t="str">
        <x:f>'Evaluation Plan'!F115</x:f>
        <x:v>515; 1075; 350</x:v>
      </x:c>
      <x:c r="G115" s="32" t="str">
        <x:f>'Evaluation Plan'!G115</x:f>
        <x:v>Relation grounding is explicit in Referential Disambiguation, and both block identities are manipulated elsewhere in fine-tuning; block × referential-relation is absent.</x:v>
      </x:c>
      <x:c r="H115" s="32" t="str">
        <x:f>'Evaluation Plan'!H115</x:f>
        <x:v>green block</x:v>
      </x:c>
      <x:c r="I115" s="32" t="str"/>
      <x:c r="J115" s="39" t="str">
        <x:f>'Evaluation Plan'!J115</x:f>
        <x:v>Cross-task block reasoning</x:v>
      </x:c>
      <x:c r="K115" s="34" t="str">
        <x:f>'Evaluation Plan'!K115</x:f>
        <x:v>RD-BLOCK02</x:v>
      </x:c>
      <x:c r="L115" s="34" t="str">
        <x:f>'Evaluation Plan'!L115</x:f>
        <x:v>furthest</x:v>
      </x:c>
      <x:c r="M115" s="34" t="str">
        <x:f>'Evaluation Plan'!M115</x:f>
        <x:v>block</x:v>
      </x:c>
      <x:c r="N115" s="34" t="n">
        <x:f>'Evaluation Plan'!N115</x:f>
        <x:v>4</x:v>
      </x:c>
      <x:c r="O115" s="34" t="n">
        <x:f>'Evaluation Plan'!O115</x:f>
        <x:v>1</x:v>
      </x:c>
      <x:c r="P115" s="34" t="str">
        <x:f>'Evaluation Plan'!P115</x:f>
        <x:v>Empty</x:v>
      </x:c>
      <x:c r="Q115" s="32" t="str">
        <x:f>'Evaluation Plan'!Q115</x:f>
        <x:v>Cross-task block candidate pair — furthest</x:v>
      </x:c>
      <x:c r="R115" s="34" t="n">
        <x:f>'Evaluation Plan'!R115</x:f>
        <x:v>5</x:v>
      </x:c>
      <x:c r="S115" s="32" t="str">
        <x:f>'Evaluation Plan'!S115</x:f>
        <x:v>Reset the moved block exactly; preserve the scene; change only the relation prompt.</x:v>
      </x:c>
      <x:c r="T115" s="32" t="str">
        <x:f>'Evaluation Plan'!T115</x:f>
        <x:v>Exact-scene closest/furthest counterfactual; the correct block switches.</x:v>
      </x:c>
      <x:c r="U115" s="32" t="n">
        <x:f>'Evaluation Plan'!U115</x:f>
        <x:v>0</x:v>
      </x:c>
    </x:row>
    <x:row r="116" ht="51" customHeight="1">
      <x:c r="A116" s="41" t="str">
        <x:v>Not collected</x:v>
      </x:c>
      <x:c r="B116" s="42" t="n">
        <x:f>'Evaluation Plan'!B116</x:f>
        <x:v>114</x:v>
      </x:c>
      <x:c r="C116" s="41" t="str">
        <x:f>'Evaluation Plan'!C116</x:f>
        <x:v>Move the block closest to the green pen into the bowl.</x:v>
      </x:c>
      <x:c r="D116" s="41" t="str">
        <x:f>'Evaluation Plan'!D116</x:f>
        <x:v>Reference: green pen at table centre; green block: 10 cm toward robot-left from the reference; blue block: 24 cm away toward robot-right from the reference; crushed Coke can: at the far robot-left corner, outside the distance comparison; Bowl: empty</x:v>
      </x:c>
      <x:c r="E116" s="42" t="str">
        <x:f>'Evaluation Plan'!E116</x:f>
      </x:c>
      <x:c r="F116" s="42" t="str">
        <x:f>'Evaluation Plan'!F116</x:f>
        <x:v>500; 1075; 350</x:v>
      </x:c>
      <x:c r="G116" s="41" t="str">
        <x:f>'Evaluation Plan'!G116</x:f>
        <x:v>Relation grounding is explicit in Referential Disambiguation, and both block identities are manipulated elsewhere in fine-tuning; block × referential-relation is absent.</x:v>
      </x:c>
      <x:c r="H116" s="41" t="str">
        <x:f>'Evaluation Plan'!H116</x:f>
        <x:v>green block</x:v>
      </x:c>
      <x:c r="I116" s="41" t="str"/>
      <x:c r="J116" s="47" t="str">
        <x:f>'Evaluation Plan'!J116</x:f>
        <x:v>Cross-task block reasoning</x:v>
      </x:c>
      <x:c r="K116" s="42" t="str">
        <x:f>'Evaluation Plan'!K116</x:f>
        <x:v>RD-BLOCK03</x:v>
      </x:c>
      <x:c r="L116" s="42" t="str">
        <x:f>'Evaluation Plan'!L116</x:f>
        <x:v>closest</x:v>
      </x:c>
      <x:c r="M116" s="42" t="str">
        <x:f>'Evaluation Plan'!M116</x:f>
        <x:v>block</x:v>
      </x:c>
      <x:c r="N116" s="42" t="n">
        <x:f>'Evaluation Plan'!N116</x:f>
        <x:v>4</x:v>
      </x:c>
      <x:c r="O116" s="42" t="n">
        <x:f>'Evaluation Plan'!O116</x:f>
        <x:v>1</x:v>
      </x:c>
      <x:c r="P116" s="42" t="str">
        <x:f>'Evaluation Plan'!P116</x:f>
        <x:v>Empty</x:v>
      </x:c>
      <x:c r="Q116" s="41" t="str">
        <x:f>'Evaluation Plan'!Q116</x:f>
        <x:v>Cross-task block candidate pair — closest</x:v>
      </x:c>
      <x:c r="R116" s="42" t="n">
        <x:f>'Evaluation Plan'!R116</x:f>
        <x:v>5</x:v>
      </x:c>
      <x:c r="S116" s="41" t="str">
        <x:f>'Evaluation Plan'!S116</x:f>
        <x:v>Build the listed four-object block scene with the bowl empty.</x:v>
      </x:c>
      <x:c r="T116" s="41" t="str">
        <x:f>'Evaluation Plan'!T116</x:f>
        <x:v>Reasoning-only cross-task diagnostic; no direct-name block control is included.</x:v>
      </x:c>
      <x:c r="U116" s="41" t="n">
        <x:f>'Evaluation Plan'!U116</x:f>
        <x:v>0</x:v>
      </x:c>
    </x:row>
    <x:row r="117" ht="51" customHeight="1">
      <x:c r="A117" s="32" t="str">
        <x:v>Not collected</x:v>
      </x:c>
      <x:c r="B117" s="34" t="n">
        <x:f>'Evaluation Plan'!B117</x:f>
        <x:v>115</x:v>
      </x:c>
      <x:c r="C117" s="32" t="str">
        <x:f>'Evaluation Plan'!C117</x:f>
        <x:v>Pick up the block furthest from the green pen and place it in the bowl.</x:v>
      </x:c>
      <x:c r="D117" s="32" t="str">
        <x:f>'Evaluation Plan'!D117</x:f>
        <x:v>Reference: green pen at table centre; green block: 10 cm toward robot-left from the reference; blue block: 24 cm away toward robot-right from the reference; crushed Coke can: at the far robot-left corner, outside the distance comparison; Bowl: empty</x:v>
      </x:c>
      <x:c r="E117" s="34" t="n">
        <x:f>'Evaluation Plan'!E117</x:f>
        <x:v>114</x:v>
      </x:c>
      <x:c r="F117" s="34" t="str">
        <x:f>'Evaluation Plan'!F117</x:f>
        <x:v>515; 1075; 350</x:v>
      </x:c>
      <x:c r="G117" s="32" t="str">
        <x:f>'Evaluation Plan'!G117</x:f>
        <x:v>Relation grounding is explicit in Referential Disambiguation, and both block identities are manipulated elsewhere in fine-tuning; block × referential-relation is absent.</x:v>
      </x:c>
      <x:c r="H117" s="32" t="str">
        <x:f>'Evaluation Plan'!H117</x:f>
        <x:v>blue block</x:v>
      </x:c>
      <x:c r="I117" s="32" t="str"/>
      <x:c r="J117" s="39" t="str">
        <x:f>'Evaluation Plan'!J117</x:f>
        <x:v>Cross-task block reasoning</x:v>
      </x:c>
      <x:c r="K117" s="34" t="str">
        <x:f>'Evaluation Plan'!K117</x:f>
        <x:v>RD-BLOCK03</x:v>
      </x:c>
      <x:c r="L117" s="34" t="str">
        <x:f>'Evaluation Plan'!L117</x:f>
        <x:v>furthest</x:v>
      </x:c>
      <x:c r="M117" s="34" t="str">
        <x:f>'Evaluation Plan'!M117</x:f>
        <x:v>block</x:v>
      </x:c>
      <x:c r="N117" s="34" t="n">
        <x:f>'Evaluation Plan'!N117</x:f>
        <x:v>4</x:v>
      </x:c>
      <x:c r="O117" s="34" t="n">
        <x:f>'Evaluation Plan'!O117</x:f>
        <x:v>1</x:v>
      </x:c>
      <x:c r="P117" s="34" t="str">
        <x:f>'Evaluation Plan'!P117</x:f>
        <x:v>Empty</x:v>
      </x:c>
      <x:c r="Q117" s="32" t="str">
        <x:f>'Evaluation Plan'!Q117</x:f>
        <x:v>Cross-task block candidate pair — furthest</x:v>
      </x:c>
      <x:c r="R117" s="34" t="n">
        <x:f>'Evaluation Plan'!R117</x:f>
        <x:v>5</x:v>
      </x:c>
      <x:c r="S117" s="32" t="str">
        <x:f>'Evaluation Plan'!S117</x:f>
        <x:v>Reset the moved block exactly; preserve the scene; change only the relation prompt.</x:v>
      </x:c>
      <x:c r="T117" s="32" t="str">
        <x:f>'Evaluation Plan'!T117</x:f>
        <x:v>Exact-scene closest/furthest counterfactual; the correct block switches.</x:v>
      </x:c>
      <x:c r="U117" s="32" t="n">
        <x:f>'Evaluation Plan'!U117</x:f>
        <x:v>0</x:v>
      </x:c>
    </x:row>
    <x:row r="118" ht="51" customHeight="1">
      <x:c r="A118" s="41" t="str">
        <x:v>Not collected</x:v>
      </x:c>
      <x:c r="B118" s="42" t="n">
        <x:f>'Evaluation Plan'!B118</x:f>
        <x:v>116</x:v>
      </x:c>
      <x:c r="C118" s="41" t="str">
        <x:f>'Evaluation Plan'!C118</x:f>
        <x:v>Pick up the block closest to the airplane toy with propellers and place it in the bowl.</x:v>
      </x:c>
      <x:c r="D118" s="41" t="str">
        <x:f>'Evaluation Plan'!D118</x:f>
        <x:v>Reference: airplane toy with propellers at table centre; blue block: 10 cm toward robot-right from the reference; green block: 24 cm away toward robot-left from the reference; crushed Pepsi can: at the far robot-left corner, outside the distance comparison; Bowl: empty</x:v>
      </x:c>
      <x:c r="E118" s="42" t="str">
        <x:f>'Evaluation Plan'!E118</x:f>
      </x:c>
      <x:c r="F118" s="42" t="str">
        <x:f>'Evaluation Plan'!F118</x:f>
        <x:v>500; 1075; 350</x:v>
      </x:c>
      <x:c r="G118" s="41" t="str">
        <x:f>'Evaluation Plan'!G118</x:f>
        <x:v>Relation grounding is explicit in Referential Disambiguation, and both block identities are manipulated elsewhere in fine-tuning; block × referential-relation is absent.</x:v>
      </x:c>
      <x:c r="H118" s="41" t="str">
        <x:f>'Evaluation Plan'!H118</x:f>
        <x:v>blue block</x:v>
      </x:c>
      <x:c r="I118" s="41" t="str"/>
      <x:c r="J118" s="47" t="str">
        <x:f>'Evaluation Plan'!J118</x:f>
        <x:v>Cross-task block reasoning</x:v>
      </x:c>
      <x:c r="K118" s="42" t="str">
        <x:f>'Evaluation Plan'!K118</x:f>
        <x:v>RD-BLOCK04</x:v>
      </x:c>
      <x:c r="L118" s="42" t="str">
        <x:f>'Evaluation Plan'!L118</x:f>
        <x:v>closest</x:v>
      </x:c>
      <x:c r="M118" s="42" t="str">
        <x:f>'Evaluation Plan'!M118</x:f>
        <x:v>block</x:v>
      </x:c>
      <x:c r="N118" s="42" t="n">
        <x:f>'Evaluation Plan'!N118</x:f>
        <x:v>4</x:v>
      </x:c>
      <x:c r="O118" s="42" t="n">
        <x:f>'Evaluation Plan'!O118</x:f>
        <x:v>1</x:v>
      </x:c>
      <x:c r="P118" s="42" t="str">
        <x:f>'Evaluation Plan'!P118</x:f>
        <x:v>Empty</x:v>
      </x:c>
      <x:c r="Q118" s="41" t="str">
        <x:f>'Evaluation Plan'!Q118</x:f>
        <x:v>Cross-task block candidate pair — closest</x:v>
      </x:c>
      <x:c r="R118" s="42" t="n">
        <x:f>'Evaluation Plan'!R118</x:f>
        <x:v>5</x:v>
      </x:c>
      <x:c r="S118" s="41" t="str">
        <x:f>'Evaluation Plan'!S118</x:f>
        <x:v>Build the listed four-object block scene with the bowl empty.</x:v>
      </x:c>
      <x:c r="T118" s="41" t="str">
        <x:f>'Evaluation Plan'!T118</x:f>
        <x:v>Reasoning-only cross-task diagnostic; no direct-name block control is included.</x:v>
      </x:c>
      <x:c r="U118" s="41" t="n">
        <x:f>'Evaluation Plan'!U118</x:f>
        <x:v>0</x:v>
      </x:c>
    </x:row>
    <x:row r="119" ht="51" customHeight="1">
      <x:c r="A119" s="32" t="str">
        <x:v>Not collected</x:v>
      </x:c>
      <x:c r="B119" s="34" t="n">
        <x:f>'Evaluation Plan'!B119</x:f>
        <x:v>117</x:v>
      </x:c>
      <x:c r="C119" s="32" t="str">
        <x:f>'Evaluation Plan'!C119</x:f>
        <x:v>Put the block furthest from the airplane toy with propellers in the bowl.</x:v>
      </x:c>
      <x:c r="D119" s="32" t="str">
        <x:f>'Evaluation Plan'!D119</x:f>
        <x:v>Reference: airplane toy with propellers at table centre; blue block: 10 cm toward robot-right from the reference; green block: 24 cm away toward robot-left from the reference; crushed Pepsi can: at the far robot-left corner, outside the distance comparison; Bowl: empty</x:v>
      </x:c>
      <x:c r="E119" s="34" t="n">
        <x:f>'Evaluation Plan'!E119</x:f>
        <x:v>116</x:v>
      </x:c>
      <x:c r="F119" s="34" t="str">
        <x:f>'Evaluation Plan'!F119</x:f>
        <x:v>515; 1075; 350</x:v>
      </x:c>
      <x:c r="G119" s="32" t="str">
        <x:f>'Evaluation Plan'!G119</x:f>
        <x:v>Relation grounding is explicit in Referential Disambiguation, and both block identities are manipulated elsewhere in fine-tuning; block × referential-relation is absent.</x:v>
      </x:c>
      <x:c r="H119" s="32" t="str">
        <x:f>'Evaluation Plan'!H119</x:f>
        <x:v>green block</x:v>
      </x:c>
      <x:c r="I119" s="32" t="str"/>
      <x:c r="J119" s="39" t="str">
        <x:f>'Evaluation Plan'!J119</x:f>
        <x:v>Cross-task block reasoning</x:v>
      </x:c>
      <x:c r="K119" s="34" t="str">
        <x:f>'Evaluation Plan'!K119</x:f>
        <x:v>RD-BLOCK04</x:v>
      </x:c>
      <x:c r="L119" s="34" t="str">
        <x:f>'Evaluation Plan'!L119</x:f>
        <x:v>furthest</x:v>
      </x:c>
      <x:c r="M119" s="34" t="str">
        <x:f>'Evaluation Plan'!M119</x:f>
        <x:v>block</x:v>
      </x:c>
      <x:c r="N119" s="34" t="n">
        <x:f>'Evaluation Plan'!N119</x:f>
        <x:v>4</x:v>
      </x:c>
      <x:c r="O119" s="34" t="n">
        <x:f>'Evaluation Plan'!O119</x:f>
        <x:v>1</x:v>
      </x:c>
      <x:c r="P119" s="34" t="str">
        <x:f>'Evaluation Plan'!P119</x:f>
        <x:v>Empty</x:v>
      </x:c>
      <x:c r="Q119" s="32" t="str">
        <x:f>'Evaluation Plan'!Q119</x:f>
        <x:v>Cross-task block candidate pair — furthest</x:v>
      </x:c>
      <x:c r="R119" s="34" t="n">
        <x:f>'Evaluation Plan'!R119</x:f>
        <x:v>5</x:v>
      </x:c>
      <x:c r="S119" s="32" t="str">
        <x:f>'Evaluation Plan'!S119</x:f>
        <x:v>Reset the moved block exactly; preserve the scene; change only the relation prompt.</x:v>
      </x:c>
      <x:c r="T119" s="32" t="str">
        <x:f>'Evaluation Plan'!T119</x:f>
        <x:v>Exact-scene closest/furthest counterfactual; the correct block switches.</x:v>
      </x:c>
      <x:c r="U119" s="32" t="n">
        <x:f>'Evaluation Plan'!U119</x:f>
        <x:v>0</x:v>
      </x:c>
    </x:row>
    <x:row r="120" ht="51" customHeight="1">
      <x:c r="A120" s="41" t="str">
        <x:v>Not collected</x:v>
      </x:c>
      <x:c r="B120" s="42" t="n">
        <x:f>'Evaluation Plan'!B120</x:f>
        <x:v>118</x:v>
      </x:c>
      <x:c r="C120" s="41" t="str">
        <x:f>'Evaluation Plan'!C120</x:f>
        <x:v>Put the block closest to the crushed Coke can in the bowl.</x:v>
      </x:c>
      <x:c r="D120" s="41" t="str">
        <x:f>'Evaluation Plan'!D120</x:f>
        <x:v>Reference: crushed Coke can at table centre; green block: 10 cm to robot-left of the reference; blue block: 24 cm to robot-right of the reference; red pencil sharpener: at the far robot-left corner, outside the distance comparison; Bowl: empty</x:v>
      </x:c>
      <x:c r="E120" s="42" t="str">
        <x:f>'Evaluation Plan'!E120</x:f>
      </x:c>
      <x:c r="F120" s="42" t="str">
        <x:f>'Evaluation Plan'!F120</x:f>
        <x:v>500; 1075; 350</x:v>
      </x:c>
      <x:c r="G120" s="41" t="str">
        <x:f>'Evaluation Plan'!G120</x:f>
        <x:v>Relation grounding is explicit in Referential Disambiguation, and both block identities are manipulated elsewhere in fine-tuning; block × referential-relation is absent.</x:v>
      </x:c>
      <x:c r="H120" s="41" t="str">
        <x:f>'Evaluation Plan'!H120</x:f>
        <x:v>green block</x:v>
      </x:c>
      <x:c r="I120" s="41" t="str"/>
      <x:c r="J120" s="47" t="str">
        <x:f>'Evaluation Plan'!J120</x:f>
        <x:v>Cross-task block reasoning</x:v>
      </x:c>
      <x:c r="K120" s="42" t="str">
        <x:f>'Evaluation Plan'!K120</x:f>
        <x:v>RD-BLOCK05</x:v>
      </x:c>
      <x:c r="L120" s="42" t="str">
        <x:f>'Evaluation Plan'!L120</x:f>
        <x:v>closest</x:v>
      </x:c>
      <x:c r="M120" s="42" t="str">
        <x:f>'Evaluation Plan'!M120</x:f>
        <x:v>block</x:v>
      </x:c>
      <x:c r="N120" s="42" t="n">
        <x:f>'Evaluation Plan'!N120</x:f>
        <x:v>4</x:v>
      </x:c>
      <x:c r="O120" s="42" t="n">
        <x:f>'Evaluation Plan'!O120</x:f>
        <x:v>1</x:v>
      </x:c>
      <x:c r="P120" s="42" t="str">
        <x:f>'Evaluation Plan'!P120</x:f>
        <x:v>Empty</x:v>
      </x:c>
      <x:c r="Q120" s="41" t="str">
        <x:f>'Evaluation Plan'!Q120</x:f>
        <x:v>Cross-task block candidate pair — closest</x:v>
      </x:c>
      <x:c r="R120" s="42" t="n">
        <x:f>'Evaluation Plan'!R120</x:f>
        <x:v>5</x:v>
      </x:c>
      <x:c r="S120" s="41" t="str">
        <x:f>'Evaluation Plan'!S120</x:f>
        <x:v>Build the listed four-object block scene with the bowl empty.</x:v>
      </x:c>
      <x:c r="T120" s="41" t="str">
        <x:f>'Evaluation Plan'!T120</x:f>
        <x:v>Reasoning-only cross-task diagnostic; no direct-name block control is included.</x:v>
      </x:c>
      <x:c r="U120" s="41" t="n">
        <x:f>'Evaluation Plan'!U120</x:f>
        <x:v>0</x:v>
      </x:c>
    </x:row>
    <x:row r="121" ht="51" customHeight="1">
      <x:c r="A121" s="32" t="str">
        <x:v>Not collected</x:v>
      </x:c>
      <x:c r="B121" s="34" t="n">
        <x:f>'Evaluation Plan'!B121</x:f>
        <x:v>119</x:v>
      </x:c>
      <x:c r="C121" s="32" t="str">
        <x:f>'Evaluation Plan'!C121</x:f>
        <x:v>Move the block furthest from the crushed Coke can into the bowl.</x:v>
      </x:c>
      <x:c r="D121" s="32" t="str">
        <x:f>'Evaluation Plan'!D121</x:f>
        <x:v>Reference: crushed Coke can at table centre; green block: 10 cm to robot-left of the reference; blue block: 24 cm to robot-right of the reference; red pencil sharpener: at the far robot-left corner, outside the distance comparison; Bowl: empty</x:v>
      </x:c>
      <x:c r="E121" s="34" t="n">
        <x:f>'Evaluation Plan'!E121</x:f>
        <x:v>118</x:v>
      </x:c>
      <x:c r="F121" s="34" t="str">
        <x:f>'Evaluation Plan'!F121</x:f>
        <x:v>515; 1075; 350</x:v>
      </x:c>
      <x:c r="G121" s="32" t="str">
        <x:f>'Evaluation Plan'!G121</x:f>
        <x:v>Relation grounding is explicit in Referential Disambiguation, and both block identities are manipulated elsewhere in fine-tuning; block × referential-relation is absent.</x:v>
      </x:c>
      <x:c r="H121" s="32" t="str">
        <x:f>'Evaluation Plan'!H121</x:f>
        <x:v>blue block</x:v>
      </x:c>
      <x:c r="I121" s="32" t="str"/>
      <x:c r="J121" s="39" t="str">
        <x:f>'Evaluation Plan'!J121</x:f>
        <x:v>Cross-task block reasoning</x:v>
      </x:c>
      <x:c r="K121" s="34" t="str">
        <x:f>'Evaluation Plan'!K121</x:f>
        <x:v>RD-BLOCK05</x:v>
      </x:c>
      <x:c r="L121" s="34" t="str">
        <x:f>'Evaluation Plan'!L121</x:f>
        <x:v>furthest</x:v>
      </x:c>
      <x:c r="M121" s="34" t="str">
        <x:f>'Evaluation Plan'!M121</x:f>
        <x:v>block</x:v>
      </x:c>
      <x:c r="N121" s="34" t="n">
        <x:f>'Evaluation Plan'!N121</x:f>
        <x:v>4</x:v>
      </x:c>
      <x:c r="O121" s="34" t="n">
        <x:f>'Evaluation Plan'!O121</x:f>
        <x:v>1</x:v>
      </x:c>
      <x:c r="P121" s="34" t="str">
        <x:f>'Evaluation Plan'!P121</x:f>
        <x:v>Empty</x:v>
      </x:c>
      <x:c r="Q121" s="32" t="str">
        <x:f>'Evaluation Plan'!Q121</x:f>
        <x:v>Cross-task block candidate pair — furthest</x:v>
      </x:c>
      <x:c r="R121" s="34" t="n">
        <x:f>'Evaluation Plan'!R121</x:f>
        <x:v>5</x:v>
      </x:c>
      <x:c r="S121" s="32" t="str">
        <x:f>'Evaluation Plan'!S121</x:f>
        <x:v>Reset the moved block exactly; preserve the scene; change only the relation prompt.</x:v>
      </x:c>
      <x:c r="T121" s="32" t="str">
        <x:f>'Evaluation Plan'!T121</x:f>
        <x:v>Exact-scene closest/furthest counterfactual; the correct block switches.</x:v>
      </x:c>
      <x:c r="U121" s="32" t="n">
        <x:f>'Evaluation Plan'!U121</x:f>
        <x:v>0</x:v>
      </x:c>
    </x:row>
    <x:row r="122" ht="51" customHeight="1">
      <x:c r="A122" s="41" t="str">
        <x:v>Not collected</x:v>
      </x:c>
      <x:c r="B122" s="42" t="n">
        <x:f>'Evaluation Plan'!B122</x:f>
        <x:v>120</x:v>
      </x:c>
      <x:c r="C122" s="41" t="str">
        <x:f>'Evaluation Plan'!C122</x:f>
        <x:v>Move the block closest to the green pencil sharpener into the bowl.</x:v>
      </x:c>
      <x:c r="D122" s="41" t="str">
        <x:f>'Evaluation Plan'!D122</x:f>
        <x:v>Reference: green pencil sharpener at table centre; blue block: 10 cm to robot-right of the reference; green block: 24 cm to robot-left of the reference; green pen: at the far robot-left corner, outside the distance comparison; Bowl: empty</x:v>
      </x:c>
      <x:c r="E122" s="42" t="str">
        <x:f>'Evaluation Plan'!E122</x:f>
      </x:c>
      <x:c r="F122" s="42" t="str">
        <x:f>'Evaluation Plan'!F122</x:f>
        <x:v>500; 1075; 350</x:v>
      </x:c>
      <x:c r="G122" s="41" t="str">
        <x:f>'Evaluation Plan'!G122</x:f>
        <x:v>Relation grounding is explicit in Referential Disambiguation, and both block identities are manipulated elsewhere in fine-tuning; block × referential-relation is absent.</x:v>
      </x:c>
      <x:c r="H122" s="41" t="str">
        <x:f>'Evaluation Plan'!H122</x:f>
        <x:v>blue block</x:v>
      </x:c>
      <x:c r="I122" s="41" t="str"/>
      <x:c r="J122" s="47" t="str">
        <x:f>'Evaluation Plan'!J122</x:f>
        <x:v>Cross-task block reasoning</x:v>
      </x:c>
      <x:c r="K122" s="42" t="str">
        <x:f>'Evaluation Plan'!K122</x:f>
        <x:v>RD-BLOCK06</x:v>
      </x:c>
      <x:c r="L122" s="42" t="str">
        <x:f>'Evaluation Plan'!L122</x:f>
        <x:v>closest</x:v>
      </x:c>
      <x:c r="M122" s="42" t="str">
        <x:f>'Evaluation Plan'!M122</x:f>
        <x:v>block</x:v>
      </x:c>
      <x:c r="N122" s="42" t="n">
        <x:f>'Evaluation Plan'!N122</x:f>
        <x:v>4</x:v>
      </x:c>
      <x:c r="O122" s="42" t="n">
        <x:f>'Evaluation Plan'!O122</x:f>
        <x:v>1</x:v>
      </x:c>
      <x:c r="P122" s="42" t="str">
        <x:f>'Evaluation Plan'!P122</x:f>
        <x:v>Empty</x:v>
      </x:c>
      <x:c r="Q122" s="41" t="str">
        <x:f>'Evaluation Plan'!Q122</x:f>
        <x:v>Cross-task block candidate pair — closest</x:v>
      </x:c>
      <x:c r="R122" s="42" t="n">
        <x:f>'Evaluation Plan'!R122</x:f>
        <x:v>5</x:v>
      </x:c>
      <x:c r="S122" s="41" t="str">
        <x:f>'Evaluation Plan'!S122</x:f>
        <x:v>Build the listed four-object block scene with the bowl empty.</x:v>
      </x:c>
      <x:c r="T122" s="41" t="str">
        <x:f>'Evaluation Plan'!T122</x:f>
        <x:v>Reasoning-only cross-task diagnostic; no direct-name block control is included.</x:v>
      </x:c>
      <x:c r="U122" s="41" t="n">
        <x:f>'Evaluation Plan'!U122</x:f>
        <x:v>0</x:v>
      </x:c>
    </x:row>
    <x:row r="123" ht="51" customHeight="1">
      <x:c r="A123" s="32" t="str">
        <x:v>Not collected</x:v>
      </x:c>
      <x:c r="B123" s="34" t="n">
        <x:f>'Evaluation Plan'!B123</x:f>
        <x:v>121</x:v>
      </x:c>
      <x:c r="C123" s="32" t="str">
        <x:f>'Evaluation Plan'!C123</x:f>
        <x:v>Pick up the block furthest from the green pencil sharpener and place it in the bowl.</x:v>
      </x:c>
      <x:c r="D123" s="32" t="str">
        <x:f>'Evaluation Plan'!D123</x:f>
        <x:v>Reference: green pencil sharpener at table centre; blue block: 10 cm to robot-right of the reference; green block: 24 cm to robot-left of the reference; green pen: at the far robot-left corner, outside the distance comparison; Bowl: empty</x:v>
      </x:c>
      <x:c r="E123" s="34" t="n">
        <x:f>'Evaluation Plan'!E123</x:f>
        <x:v>120</x:v>
      </x:c>
      <x:c r="F123" s="34" t="str">
        <x:f>'Evaluation Plan'!F123</x:f>
        <x:v>515; 1075; 350</x:v>
      </x:c>
      <x:c r="G123" s="32" t="str">
        <x:f>'Evaluation Plan'!G123</x:f>
        <x:v>Relation grounding is explicit in Referential Disambiguation, and both block identities are manipulated elsewhere in fine-tuning; block × referential-relation is absent.</x:v>
      </x:c>
      <x:c r="H123" s="32" t="str">
        <x:f>'Evaluation Plan'!H123</x:f>
        <x:v>green block</x:v>
      </x:c>
      <x:c r="I123" s="32" t="str"/>
      <x:c r="J123" s="39" t="str">
        <x:f>'Evaluation Plan'!J123</x:f>
        <x:v>Cross-task block reasoning</x:v>
      </x:c>
      <x:c r="K123" s="34" t="str">
        <x:f>'Evaluation Plan'!K123</x:f>
        <x:v>RD-BLOCK06</x:v>
      </x:c>
      <x:c r="L123" s="34" t="str">
        <x:f>'Evaluation Plan'!L123</x:f>
        <x:v>furthest</x:v>
      </x:c>
      <x:c r="M123" s="34" t="str">
        <x:f>'Evaluation Plan'!M123</x:f>
        <x:v>block</x:v>
      </x:c>
      <x:c r="N123" s="34" t="n">
        <x:f>'Evaluation Plan'!N123</x:f>
        <x:v>4</x:v>
      </x:c>
      <x:c r="O123" s="34" t="n">
        <x:f>'Evaluation Plan'!O123</x:f>
        <x:v>1</x:v>
      </x:c>
      <x:c r="P123" s="34" t="str">
        <x:f>'Evaluation Plan'!P123</x:f>
        <x:v>Empty</x:v>
      </x:c>
      <x:c r="Q123" s="32" t="str">
        <x:f>'Evaluation Plan'!Q123</x:f>
        <x:v>Cross-task block candidate pair — furthest</x:v>
      </x:c>
      <x:c r="R123" s="34" t="n">
        <x:f>'Evaluation Plan'!R123</x:f>
        <x:v>5</x:v>
      </x:c>
      <x:c r="S123" s="32" t="str">
        <x:f>'Evaluation Plan'!S123</x:f>
        <x:v>Reset the moved block exactly; preserve the scene; change only the relation prompt.</x:v>
      </x:c>
      <x:c r="T123" s="32" t="str">
        <x:f>'Evaluation Plan'!T123</x:f>
        <x:v>Exact-scene closest/furthest counterfactual; the correct block switches.</x:v>
      </x:c>
      <x:c r="U123" s="32" t="n">
        <x:f>'Evaluation Plan'!U123</x:f>
        <x:v>0</x:v>
      </x:c>
    </x:row>
    <x:row r="124" ht="51" customHeight="1">
      <x:c r="A124" s="41" t="str">
        <x:v>Not collected</x:v>
      </x:c>
      <x:c r="B124" s="42" t="n">
        <x:f>'Evaluation Plan'!B124</x:f>
        <x:v>122</x:v>
      </x:c>
      <x:c r="C124" s="41" t="str">
        <x:f>'Evaluation Plan'!C124</x:f>
        <x:v>Pick up the block closest to the green pen and place it in the bowl.</x:v>
      </x:c>
      <x:c r="D124" s="41" t="str">
        <x:f>'Evaluation Plan'!D124</x:f>
        <x:v>Reference: green pen at table centre; green block: 10 cm toward the robot from the reference; blue block: 24 cm away from the robot from the reference; yellow pen: at the far robot-left corner, outside the distance comparison; Bowl: empty</x:v>
      </x:c>
      <x:c r="E124" s="42" t="str">
        <x:f>'Evaluation Plan'!E124</x:f>
      </x:c>
      <x:c r="F124" s="42" t="str">
        <x:f>'Evaluation Plan'!F124</x:f>
        <x:v>500; 1075; 350</x:v>
      </x:c>
      <x:c r="G124" s="41" t="str">
        <x:f>'Evaluation Plan'!G124</x:f>
        <x:v>Relation grounding is explicit in Referential Disambiguation, and both block identities are manipulated elsewhere in fine-tuning; block × referential-relation is absent.</x:v>
      </x:c>
      <x:c r="H124" s="41" t="str">
        <x:f>'Evaluation Plan'!H124</x:f>
        <x:v>green block</x:v>
      </x:c>
      <x:c r="I124" s="41" t="str"/>
      <x:c r="J124" s="47" t="str">
        <x:f>'Evaluation Plan'!J124</x:f>
        <x:v>Cross-task block reasoning</x:v>
      </x:c>
      <x:c r="K124" s="42" t="str">
        <x:f>'Evaluation Plan'!K124</x:f>
        <x:v>RD-BLOCK07</x:v>
      </x:c>
      <x:c r="L124" s="42" t="str">
        <x:f>'Evaluation Plan'!L124</x:f>
        <x:v>closest</x:v>
      </x:c>
      <x:c r="M124" s="42" t="str">
        <x:f>'Evaluation Plan'!M124</x:f>
        <x:v>block</x:v>
      </x:c>
      <x:c r="N124" s="42" t="n">
        <x:f>'Evaluation Plan'!N124</x:f>
        <x:v>4</x:v>
      </x:c>
      <x:c r="O124" s="42" t="n">
        <x:f>'Evaluation Plan'!O124</x:f>
        <x:v>1</x:v>
      </x:c>
      <x:c r="P124" s="42" t="str">
        <x:f>'Evaluation Plan'!P124</x:f>
        <x:v>Empty</x:v>
      </x:c>
      <x:c r="Q124" s="41" t="str">
        <x:f>'Evaluation Plan'!Q124</x:f>
        <x:v>Cross-task block candidate pair — closest</x:v>
      </x:c>
      <x:c r="R124" s="42" t="n">
        <x:f>'Evaluation Plan'!R124</x:f>
        <x:v>5</x:v>
      </x:c>
      <x:c r="S124" s="41" t="str">
        <x:f>'Evaluation Plan'!S124</x:f>
        <x:v>Build the listed four-object block scene with the bowl empty.</x:v>
      </x:c>
      <x:c r="T124" s="41" t="str">
        <x:f>'Evaluation Plan'!T124</x:f>
        <x:v>Reasoning-only cross-task diagnostic; no direct-name block control is included.</x:v>
      </x:c>
      <x:c r="U124" s="41" t="n">
        <x:f>'Evaluation Plan'!U124</x:f>
        <x:v>0</x:v>
      </x:c>
    </x:row>
    <x:row r="125" ht="51" customHeight="1">
      <x:c r="A125" s="32" t="str">
        <x:v>Not collected</x:v>
      </x:c>
      <x:c r="B125" s="34" t="n">
        <x:f>'Evaluation Plan'!B125</x:f>
        <x:v>123</x:v>
      </x:c>
      <x:c r="C125" s="32" t="str">
        <x:f>'Evaluation Plan'!C125</x:f>
        <x:v>Put the block furthest from the green pen in the bowl.</x:v>
      </x:c>
      <x:c r="D125" s="32" t="str">
        <x:f>'Evaluation Plan'!D125</x:f>
        <x:v>Reference: green pen at table centre; green block: 10 cm toward the robot from the reference; blue block: 24 cm away from the robot from the reference; yellow pen: at the far robot-left corner, outside the distance comparison; Bowl: empty</x:v>
      </x:c>
      <x:c r="E125" s="34" t="n">
        <x:f>'Evaluation Plan'!E125</x:f>
        <x:v>122</x:v>
      </x:c>
      <x:c r="F125" s="34" t="str">
        <x:f>'Evaluation Plan'!F125</x:f>
        <x:v>515; 1075; 350</x:v>
      </x:c>
      <x:c r="G125" s="32" t="str">
        <x:f>'Evaluation Plan'!G125</x:f>
        <x:v>Relation grounding is explicit in Referential Disambiguation, and both block identities are manipulated elsewhere in fine-tuning; block × referential-relation is absent.</x:v>
      </x:c>
      <x:c r="H125" s="32" t="str">
        <x:f>'Evaluation Plan'!H125</x:f>
        <x:v>blue block</x:v>
      </x:c>
      <x:c r="I125" s="32" t="str"/>
      <x:c r="J125" s="39" t="str">
        <x:f>'Evaluation Plan'!J125</x:f>
        <x:v>Cross-task block reasoning</x:v>
      </x:c>
      <x:c r="K125" s="34" t="str">
        <x:f>'Evaluation Plan'!K125</x:f>
        <x:v>RD-BLOCK07</x:v>
      </x:c>
      <x:c r="L125" s="34" t="str">
        <x:f>'Evaluation Plan'!L125</x:f>
        <x:v>furthest</x:v>
      </x:c>
      <x:c r="M125" s="34" t="str">
        <x:f>'Evaluation Plan'!M125</x:f>
        <x:v>block</x:v>
      </x:c>
      <x:c r="N125" s="34" t="n">
        <x:f>'Evaluation Plan'!N125</x:f>
        <x:v>4</x:v>
      </x:c>
      <x:c r="O125" s="34" t="n">
        <x:f>'Evaluation Plan'!O125</x:f>
        <x:v>1</x:v>
      </x:c>
      <x:c r="P125" s="34" t="str">
        <x:f>'Evaluation Plan'!P125</x:f>
        <x:v>Empty</x:v>
      </x:c>
      <x:c r="Q125" s="32" t="str">
        <x:f>'Evaluation Plan'!Q125</x:f>
        <x:v>Cross-task block candidate pair — furthest</x:v>
      </x:c>
      <x:c r="R125" s="34" t="n">
        <x:f>'Evaluation Plan'!R125</x:f>
        <x:v>5</x:v>
      </x:c>
      <x:c r="S125" s="32" t="str">
        <x:f>'Evaluation Plan'!S125</x:f>
        <x:v>Reset the moved block exactly; preserve the scene; change only the relation prompt.</x:v>
      </x:c>
      <x:c r="T125" s="32" t="str">
        <x:f>'Evaluation Plan'!T125</x:f>
        <x:v>Exact-scene closest/furthest counterfactual; the correct block switches.</x:v>
      </x:c>
      <x:c r="U125" s="32" t="n">
        <x:f>'Evaluation Plan'!U125</x:f>
        <x:v>0</x:v>
      </x:c>
    </x:row>
    <x:row r="126" ht="51" customHeight="1">
      <x:c r="A126" s="41" t="str">
        <x:v>Not collected</x:v>
      </x:c>
      <x:c r="B126" s="42" t="n">
        <x:f>'Evaluation Plan'!B126</x:f>
        <x:v>124</x:v>
      </x:c>
      <x:c r="C126" s="41" t="str">
        <x:f>'Evaluation Plan'!C126</x:f>
        <x:v>Pick up the block between the green pen and the crushed Coke can and place it in the bowl.</x:v>
      </x:c>
      <x:c r="D126" s="41" t="str">
        <x:f>'Evaluation Plan'!D126</x:f>
        <x:v>Reference A: green pen at 14 cm toward robot-left from table centre; Reference B: crushed Coke can at 14 cm away toward robot-right from table centre; green block: at table centre on the straight Reference A–B segment; blue block: 12 cm toward robot-right from table centre, off the Reference A–B segment; Bowl: empty</x:v>
      </x:c>
      <x:c r="E126" s="42" t="str">
        <x:f>'Evaluation Plan'!E126</x:f>
      </x:c>
      <x:c r="F126" s="42" t="str">
        <x:f>'Evaluation Plan'!F126</x:f>
        <x:v>530; 1075; 350</x:v>
      </x:c>
      <x:c r="G126" s="41" t="str">
        <x:f>'Evaluation Plan'!G126</x:f>
        <x:v>Between is explicit in Referential Disambiguation, and both block identities are manipulated elsewhere in fine-tuning; block × between is absent.</x:v>
      </x:c>
      <x:c r="H126" s="41" t="str">
        <x:f>'Evaluation Plan'!H126</x:f>
        <x:v>green block</x:v>
      </x:c>
      <x:c r="I126" s="41" t="str"/>
      <x:c r="J126" s="47" t="str">
        <x:f>'Evaluation Plan'!J126</x:f>
        <x:v>Cross-task block reasoning</x:v>
      </x:c>
      <x:c r="K126" s="42" t="str">
        <x:f>'Evaluation Plan'!K126</x:f>
        <x:v>RD-BLOCK-B01A</x:v>
      </x:c>
      <x:c r="L126" s="42" t="str">
        <x:f>'Evaluation Plan'!L126</x:f>
        <x:v>between</x:v>
      </x:c>
      <x:c r="M126" s="42" t="str">
        <x:f>'Evaluation Plan'!M126</x:f>
        <x:v>block</x:v>
      </x:c>
      <x:c r="N126" s="42" t="n">
        <x:f>'Evaluation Plan'!N126</x:f>
        <x:v>4</x:v>
      </x:c>
      <x:c r="O126" s="42" t="n">
        <x:f>'Evaluation Plan'!O126</x:f>
        <x:v>1</x:v>
      </x:c>
      <x:c r="P126" s="42" t="str">
        <x:f>'Evaluation Plan'!P126</x:f>
        <x:v>Empty</x:v>
      </x:c>
      <x:c r="Q126" s="41" t="str">
        <x:f>'Evaluation Plan'!Q126</x:f>
        <x:v>Cross-task block candidate pair — between</x:v>
      </x:c>
      <x:c r="R126" s="42" t="n">
        <x:f>'Evaluation Plan'!R126</x:f>
        <x:v>5</x:v>
      </x:c>
      <x:c r="S126" s="41" t="str">
        <x:f>'Evaluation Plan'!S126</x:f>
        <x:v>Build the listed four-object between scene.</x:v>
      </x:c>
      <x:c r="T126" s="41" t="str">
        <x:f>'Evaluation Plan'!T126</x:f>
        <x:v>Adjacent between counterfactual scenes alternate which block occupies the midpoint.</x:v>
      </x:c>
      <x:c r="U126" s="41" t="n">
        <x:f>'Evaluation Plan'!U126</x:f>
        <x:v>0</x:v>
      </x:c>
    </x:row>
    <x:row r="127" ht="51" customHeight="1">
      <x:c r="A127" s="44" t="str">
        <x:v>Not collected</x:v>
      </x:c>
      <x:c r="B127" s="45" t="n">
        <x:f>'Evaluation Plan'!B127</x:f>
        <x:v>125</x:v>
      </x:c>
      <x:c r="C127" s="44" t="str">
        <x:f>'Evaluation Plan'!C127</x:f>
        <x:v>Put the block between the yellow pen and the crushed Pepsi can in the bowl.</x:v>
      </x:c>
      <x:c r="D127" s="44" t="str">
        <x:f>'Evaluation Plan'!D127</x:f>
        <x:v>Reference A: yellow pen at 14 cm toward robot-right from table centre; Reference B: crushed Pepsi can at 14 cm away toward robot-left from table centre; blue block: at table centre on the straight Reference A–B segment; green block: 12 cm toward robot-left from table centre, off the Reference A–B segment; Bowl: empty</x:v>
      </x:c>
      <x:c r="E127" s="45" t="str">
        <x:f>'Evaluation Plan'!E127</x:f>
      </x:c>
      <x:c r="F127" s="45" t="str">
        <x:f>'Evaluation Plan'!F127</x:f>
        <x:v>530; 1075; 350</x:v>
      </x:c>
      <x:c r="G127" s="44" t="str">
        <x:f>'Evaluation Plan'!G127</x:f>
        <x:v>Between is explicit in Referential Disambiguation, and both block identities are manipulated elsewhere in fine-tuning; block × between is absent.</x:v>
      </x:c>
      <x:c r="H127" s="44" t="str">
        <x:f>'Evaluation Plan'!H127</x:f>
        <x:v>blue block</x:v>
      </x:c>
      <x:c r="I127" s="44" t="str"/>
      <x:c r="J127" s="47" t="str">
        <x:f>'Evaluation Plan'!J127</x:f>
        <x:v>Cross-task block reasoning</x:v>
      </x:c>
      <x:c r="K127" s="45" t="str">
        <x:f>'Evaluation Plan'!K127</x:f>
        <x:v>RD-BLOCK-B01B</x:v>
      </x:c>
      <x:c r="L127" s="45" t="str">
        <x:f>'Evaluation Plan'!L127</x:f>
        <x:v>between</x:v>
      </x:c>
      <x:c r="M127" s="45" t="str">
        <x:f>'Evaluation Plan'!M127</x:f>
        <x:v>block</x:v>
      </x:c>
      <x:c r="N127" s="45" t="n">
        <x:f>'Evaluation Plan'!N127</x:f>
        <x:v>4</x:v>
      </x:c>
      <x:c r="O127" s="45" t="n">
        <x:f>'Evaluation Plan'!O127</x:f>
        <x:v>1</x:v>
      </x:c>
      <x:c r="P127" s="45" t="str">
        <x:f>'Evaluation Plan'!P127</x:f>
        <x:v>Empty</x:v>
      </x:c>
      <x:c r="Q127" s="44" t="str">
        <x:f>'Evaluation Plan'!Q127</x:f>
        <x:v>Cross-task block candidate pair — between</x:v>
      </x:c>
      <x:c r="R127" s="45" t="n">
        <x:f>'Evaluation Plan'!R127</x:f>
        <x:v>5</x:v>
      </x:c>
      <x:c r="S127" s="44" t="str">
        <x:f>'Evaluation Plan'!S127</x:f>
        <x:v>Swap only the green and blue block roles from the preceding between setup.</x:v>
      </x:c>
      <x:c r="T127" s="44" t="str">
        <x:f>'Evaluation Plan'!T127</x:f>
        <x:v>Adjacent between counterfactual scenes alternate which block occupies the midpoint.</x:v>
      </x:c>
      <x:c r="U127" s="44" t="n">
        <x:f>'Evaluation Plan'!U127</x:f>
        <x:v>0</x:v>
      </x:c>
    </x:row>
    <x:row r="128" ht="51" customHeight="1">
      <x:c r="A128" s="41" t="str">
        <x:v>Not collected</x:v>
      </x:c>
      <x:c r="B128" s="42" t="n">
        <x:f>'Evaluation Plan'!B128</x:f>
        <x:v>126</x:v>
      </x:c>
      <x:c r="C128" s="41" t="str">
        <x:f>'Evaluation Plan'!C128</x:f>
        <x:v>Move the block between the green pencil sharpener and the airplane toy with propellers into the bowl.</x:v>
      </x:c>
      <x:c r="D128" s="41" t="str">
        <x:f>'Evaluation Plan'!D128</x:f>
        <x:v>Reference A: green pencil sharpener at 14 cm to robot-left of table centre; Reference B: airplane toy with propellers at 14 cm to robot-right of table centre; green block: at table centre on the straight Reference A–B segment; blue block: 12 cm toward the robot from table centre, off the Reference A–B segment; Bowl: empty</x:v>
      </x:c>
      <x:c r="E128" s="42" t="str">
        <x:f>'Evaluation Plan'!E128</x:f>
      </x:c>
      <x:c r="F128" s="42" t="str">
        <x:f>'Evaluation Plan'!F128</x:f>
        <x:v>530; 1075; 350</x:v>
      </x:c>
      <x:c r="G128" s="41" t="str">
        <x:f>'Evaluation Plan'!G128</x:f>
        <x:v>Between is explicit in Referential Disambiguation, and both block identities are manipulated elsewhere in fine-tuning; block × between is absent.</x:v>
      </x:c>
      <x:c r="H128" s="41" t="str">
        <x:f>'Evaluation Plan'!H128</x:f>
        <x:v>green block</x:v>
      </x:c>
      <x:c r="I128" s="41" t="str"/>
      <x:c r="J128" s="47" t="str">
        <x:f>'Evaluation Plan'!J128</x:f>
        <x:v>Cross-task block reasoning</x:v>
      </x:c>
      <x:c r="K128" s="42" t="str">
        <x:f>'Evaluation Plan'!K128</x:f>
        <x:v>RD-BLOCK-B02A</x:v>
      </x:c>
      <x:c r="L128" s="42" t="str">
        <x:f>'Evaluation Plan'!L128</x:f>
        <x:v>between</x:v>
      </x:c>
      <x:c r="M128" s="42" t="str">
        <x:f>'Evaluation Plan'!M128</x:f>
        <x:v>block</x:v>
      </x:c>
      <x:c r="N128" s="42" t="n">
        <x:f>'Evaluation Plan'!N128</x:f>
        <x:v>4</x:v>
      </x:c>
      <x:c r="O128" s="42" t="n">
        <x:f>'Evaluation Plan'!O128</x:f>
        <x:v>1</x:v>
      </x:c>
      <x:c r="P128" s="42" t="str">
        <x:f>'Evaluation Plan'!P128</x:f>
        <x:v>Empty</x:v>
      </x:c>
      <x:c r="Q128" s="41" t="str">
        <x:f>'Evaluation Plan'!Q128</x:f>
        <x:v>Cross-task block candidate pair — between</x:v>
      </x:c>
      <x:c r="R128" s="42" t="n">
        <x:f>'Evaluation Plan'!R128</x:f>
        <x:v>5</x:v>
      </x:c>
      <x:c r="S128" s="41" t="str">
        <x:f>'Evaluation Plan'!S128</x:f>
        <x:v>Build the listed four-object between scene.</x:v>
      </x:c>
      <x:c r="T128" s="41" t="str">
        <x:f>'Evaluation Plan'!T128</x:f>
        <x:v>Adjacent between counterfactual scenes alternate which block occupies the midpoint.</x:v>
      </x:c>
      <x:c r="U128" s="41" t="n">
        <x:f>'Evaluation Plan'!U128</x:f>
        <x:v>0</x:v>
      </x:c>
    </x:row>
    <x:row r="129" ht="51" customHeight="1">
      <x:c r="A129" s="44" t="str">
        <x:v>Not collected</x:v>
      </x:c>
      <x:c r="B129" s="45" t="n">
        <x:f>'Evaluation Plan'!B129</x:f>
        <x:v>127</x:v>
      </x:c>
      <x:c r="C129" s="44" t="str">
        <x:f>'Evaluation Plan'!C129</x:f>
        <x:v>Pick up the block between the red pencil sharpener and the airplane toy without propellers and place it in the bowl.</x:v>
      </x:c>
      <x:c r="D129" s="44" t="str">
        <x:f>'Evaluation Plan'!D129</x:f>
        <x:v>Reference A: red pencil sharpener at 14 cm toward the robot from table centre; Reference B: airplane toy without propellers at 14 cm away from the robot from table centre; blue block: at table centre on the straight Reference A–B segment; green block: 12 cm to robot-right of table centre, off the Reference A–B segment; Bowl: empty</x:v>
      </x:c>
      <x:c r="E129" s="45" t="str">
        <x:f>'Evaluation Plan'!E129</x:f>
      </x:c>
      <x:c r="F129" s="45" t="str">
        <x:f>'Evaluation Plan'!F129</x:f>
        <x:v>530; 1075; 350</x:v>
      </x:c>
      <x:c r="G129" s="44" t="str">
        <x:f>'Evaluation Plan'!G129</x:f>
        <x:v>Between is explicit in Referential Disambiguation, and both block identities are manipulated elsewhere in fine-tuning; block × between is absent.</x:v>
      </x:c>
      <x:c r="H129" s="44" t="str">
        <x:f>'Evaluation Plan'!H129</x:f>
        <x:v>blue block</x:v>
      </x:c>
      <x:c r="I129" s="44" t="str"/>
      <x:c r="J129" s="47" t="str">
        <x:f>'Evaluation Plan'!J129</x:f>
        <x:v>Cross-task block reasoning</x:v>
      </x:c>
      <x:c r="K129" s="45" t="str">
        <x:f>'Evaluation Plan'!K129</x:f>
        <x:v>RD-BLOCK-B02B</x:v>
      </x:c>
      <x:c r="L129" s="45" t="str">
        <x:f>'Evaluation Plan'!L129</x:f>
        <x:v>between</x:v>
      </x:c>
      <x:c r="M129" s="45" t="str">
        <x:f>'Evaluation Plan'!M129</x:f>
        <x:v>block</x:v>
      </x:c>
      <x:c r="N129" s="45" t="n">
        <x:f>'Evaluation Plan'!N129</x:f>
        <x:v>4</x:v>
      </x:c>
      <x:c r="O129" s="45" t="n">
        <x:f>'Evaluation Plan'!O129</x:f>
        <x:v>1</x:v>
      </x:c>
      <x:c r="P129" s="45" t="str">
        <x:f>'Evaluation Plan'!P129</x:f>
        <x:v>Empty</x:v>
      </x:c>
      <x:c r="Q129" s="44" t="str">
        <x:f>'Evaluation Plan'!Q129</x:f>
        <x:v>Cross-task block candidate pair — between</x:v>
      </x:c>
      <x:c r="R129" s="45" t="n">
        <x:f>'Evaluation Plan'!R129</x:f>
        <x:v>5</x:v>
      </x:c>
      <x:c r="S129" s="44" t="str">
        <x:f>'Evaluation Plan'!S129</x:f>
        <x:v>Swap only the green and blue block roles from the preceding between setup.</x:v>
      </x:c>
      <x:c r="T129" s="44" t="str">
        <x:f>'Evaluation Plan'!T129</x:f>
        <x:v>Adjacent between counterfactual scenes alternate which block occupies the midpoint.</x:v>
      </x:c>
      <x:c r="U129" s="44" t="n">
        <x:f>'Evaluation Plan'!U129</x:f>
        <x:v>0</x:v>
      </x:c>
    </x:row>
    <x:row r="130" ht="51" customHeight="1">
      <x:c r="A130" s="41" t="str">
        <x:v>Not collected</x:v>
      </x:c>
      <x:c r="B130" s="42" t="n">
        <x:f>'Evaluation Plan'!B130</x:f>
        <x:v>128</x:v>
      </x:c>
      <x:c r="C130" s="41" t="str">
        <x:f>'Evaluation Plan'!C130</x:f>
        <x:v>Put the block between the green pen and the airplane toy without propellers in the bowl.</x:v>
      </x:c>
      <x:c r="D130" s="41" t="str">
        <x:f>'Evaluation Plan'!D130</x:f>
        <x:v>Reference A: green pen at 14 cm toward robot-left from table centre; Reference B: airplane toy without propellers at 14 cm away toward robot-right from table centre; green block: at table centre on the straight Reference A–B segment; blue block: 12 cm toward robot-right from table centre, off the Reference A–B segment; Bowl: empty</x:v>
      </x:c>
      <x:c r="E130" s="42" t="str">
        <x:f>'Evaluation Plan'!E130</x:f>
      </x:c>
      <x:c r="F130" s="42" t="str">
        <x:f>'Evaluation Plan'!F130</x:f>
        <x:v>530; 1075; 350</x:v>
      </x:c>
      <x:c r="G130" s="41" t="str">
        <x:f>'Evaluation Plan'!G130</x:f>
        <x:v>Between is explicit in Referential Disambiguation, and both block identities are manipulated elsewhere in fine-tuning; block × between is absent.</x:v>
      </x:c>
      <x:c r="H130" s="41" t="str">
        <x:f>'Evaluation Plan'!H130</x:f>
        <x:v>green block</x:v>
      </x:c>
      <x:c r="I130" s="41" t="str"/>
      <x:c r="J130" s="47" t="str">
        <x:f>'Evaluation Plan'!J130</x:f>
        <x:v>Cross-task block reasoning</x:v>
      </x:c>
      <x:c r="K130" s="42" t="str">
        <x:f>'Evaluation Plan'!K130</x:f>
        <x:v>RD-BLOCK-B03A</x:v>
      </x:c>
      <x:c r="L130" s="42" t="str">
        <x:f>'Evaluation Plan'!L130</x:f>
        <x:v>between</x:v>
      </x:c>
      <x:c r="M130" s="42" t="str">
        <x:f>'Evaluation Plan'!M130</x:f>
        <x:v>block</x:v>
      </x:c>
      <x:c r="N130" s="42" t="n">
        <x:f>'Evaluation Plan'!N130</x:f>
        <x:v>4</x:v>
      </x:c>
      <x:c r="O130" s="42" t="n">
        <x:f>'Evaluation Plan'!O130</x:f>
        <x:v>1</x:v>
      </x:c>
      <x:c r="P130" s="42" t="str">
        <x:f>'Evaluation Plan'!P130</x:f>
        <x:v>Empty</x:v>
      </x:c>
      <x:c r="Q130" s="41" t="str">
        <x:f>'Evaluation Plan'!Q130</x:f>
        <x:v>Cross-task block candidate pair — between</x:v>
      </x:c>
      <x:c r="R130" s="42" t="n">
        <x:f>'Evaluation Plan'!R130</x:f>
        <x:v>5</x:v>
      </x:c>
      <x:c r="S130" s="41" t="str">
        <x:f>'Evaluation Plan'!S130</x:f>
        <x:v>Build the listed four-object between scene.</x:v>
      </x:c>
      <x:c r="T130" s="41" t="str">
        <x:f>'Evaluation Plan'!T130</x:f>
        <x:v>Adjacent between counterfactual scenes alternate which block occupies the midpoint.</x:v>
      </x:c>
      <x:c r="U130" s="41" t="n">
        <x:f>'Evaluation Plan'!U130</x:f>
        <x:v>0</x:v>
      </x:c>
    </x:row>
    <x:row r="131" ht="51" customHeight="1">
      <x:c r="A131" s="44" t="str">
        <x:v>Not collected</x:v>
      </x:c>
      <x:c r="B131" s="45" t="n">
        <x:f>'Evaluation Plan'!B131</x:f>
        <x:v>129</x:v>
      </x:c>
      <x:c r="C131" s="44" t="str">
        <x:f>'Evaluation Plan'!C131</x:f>
        <x:v>Move the block between the yellow pen and the airplane toy with propellers into the bowl.</x:v>
      </x:c>
      <x:c r="D131" s="44" t="str">
        <x:f>'Evaluation Plan'!D131</x:f>
        <x:v>Reference A: yellow pen at 14 cm toward robot-right from table centre; Reference B: airplane toy with propellers at 14 cm away toward robot-left from table centre; blue block: at table centre on the straight Reference A–B segment; green block: 12 cm toward robot-left from table centre, off the Reference A–B segment; Bowl: empty</x:v>
      </x:c>
      <x:c r="E131" s="45" t="str">
        <x:f>'Evaluation Plan'!E131</x:f>
      </x:c>
      <x:c r="F131" s="45" t="str">
        <x:f>'Evaluation Plan'!F131</x:f>
        <x:v>530; 1075; 350</x:v>
      </x:c>
      <x:c r="G131" s="44" t="str">
        <x:f>'Evaluation Plan'!G131</x:f>
        <x:v>Between is explicit in Referential Disambiguation, and both block identities are manipulated elsewhere in fine-tuning; block × between is absent.</x:v>
      </x:c>
      <x:c r="H131" s="44" t="str">
        <x:f>'Evaluation Plan'!H131</x:f>
        <x:v>blue block</x:v>
      </x:c>
      <x:c r="I131" s="44" t="str"/>
      <x:c r="J131" s="47" t="str">
        <x:f>'Evaluation Plan'!J131</x:f>
        <x:v>Cross-task block reasoning</x:v>
      </x:c>
      <x:c r="K131" s="45" t="str">
        <x:f>'Evaluation Plan'!K131</x:f>
        <x:v>RD-BLOCK-B03B</x:v>
      </x:c>
      <x:c r="L131" s="45" t="str">
        <x:f>'Evaluation Plan'!L131</x:f>
        <x:v>between</x:v>
      </x:c>
      <x:c r="M131" s="45" t="str">
        <x:f>'Evaluation Plan'!M131</x:f>
        <x:v>block</x:v>
      </x:c>
      <x:c r="N131" s="45" t="n">
        <x:f>'Evaluation Plan'!N131</x:f>
        <x:v>4</x:v>
      </x:c>
      <x:c r="O131" s="45" t="n">
        <x:f>'Evaluation Plan'!O131</x:f>
        <x:v>1</x:v>
      </x:c>
      <x:c r="P131" s="45" t="str">
        <x:f>'Evaluation Plan'!P131</x:f>
        <x:v>Empty</x:v>
      </x:c>
      <x:c r="Q131" s="44" t="str">
        <x:f>'Evaluation Plan'!Q131</x:f>
        <x:v>Cross-task block candidate pair — between</x:v>
      </x:c>
      <x:c r="R131" s="45" t="n">
        <x:f>'Evaluation Plan'!R131</x:f>
        <x:v>5</x:v>
      </x:c>
      <x:c r="S131" s="44" t="str">
        <x:f>'Evaluation Plan'!S131</x:f>
        <x:v>Swap only the green and blue block roles from the preceding between setup.</x:v>
      </x:c>
      <x:c r="T131" s="44" t="str">
        <x:f>'Evaluation Plan'!T131</x:f>
        <x:v>Adjacent between counterfactual scenes alternate which block occupies the midpoint.</x:v>
      </x:c>
      <x:c r="U131" s="44" t="n">
        <x:f>'Evaluation Plan'!U131</x:f>
        <x:v>0</x:v>
      </x:c>
    </x:row>
    <x:row r="132" ht="51" customHeight="1">
      <x:c r="A132" s="41" t="str">
        <x:v>Not collected</x:v>
      </x:c>
      <x:c r="B132" s="42" t="n">
        <x:f>'Evaluation Plan'!B132</x:f>
        <x:v>130</x:v>
      </x:c>
      <x:c r="C132" s="41" t="str">
        <x:f>'Evaluation Plan'!C132</x:f>
        <x:v>Pick up the crushed soda can between the green pen and the airplane toy with propellers and place it in the bowl.</x:v>
      </x:c>
      <x:c r="D132" s="41" t="str">
        <x:f>'Evaluation Plan'!D132</x:f>
        <x:v>Reference A: green pen at 14 cm to robot-left of table centre; Reference B: airplane toy with propellers at 14 cm to robot-right of table centre; Absent candidate pair: crushed Coke can and crushed Pepsi can are not in the scene; Bowl: empty</x:v>
      </x:c>
      <x:c r="E132" s="42" t="str">
        <x:f>'Evaluation Plan'!E132</x:f>
      </x:c>
      <x:c r="F132" s="42" t="str">
        <x:f>'Evaluation Plan'!F132</x:f>
        <x:v>430</x:v>
      </x:c>
      <x:c r="G132" s="41" t="str">
        <x:f>'Evaluation Plan'!G132</x:f>
        <x:v>The relation × candidate-category prompt cell is explicitly trained. The evaluation scene deliberately removes both candidate identities; the abstention outcome is not demonstrated in training.</x:v>
      </x:c>
      <x:c r="H132" s="41" t="str">
        <x:f>'Evaluation Plan'!H132</x:f>
        <x:v>NO-OP; neither crushed Coke can nor crushed Pepsi can is present</x:v>
      </x:c>
      <x:c r="I132" s="41" t="str"/>
      <x:c r="J132" s="48" t="str">
        <x:f>'Evaluation Plan'!J132</x:f>
        <x:v>No valid candidate category / no movement</x:v>
      </x:c>
      <x:c r="K132" s="42" t="str">
        <x:f>'Evaluation Plan'!K132</x:f>
        <x:v>RD-NOVALID01</x:v>
      </x:c>
      <x:c r="L132" s="42" t="str">
        <x:f>'Evaluation Plan'!L132</x:f>
        <x:v>between</x:v>
      </x:c>
      <x:c r="M132" s="42" t="str">
        <x:f>'Evaluation Plan'!M132</x:f>
        <x:v>crushed soda can</x:v>
      </x:c>
      <x:c r="N132" s="42" t="n">
        <x:f>'Evaluation Plan'!N132</x:f>
        <x:v>2</x:v>
      </x:c>
      <x:c r="O132" s="42" t="n">
        <x:f>'Evaluation Plan'!O132</x:f>
        <x:v>0</x:v>
      </x:c>
      <x:c r="P132" s="42" t="str">
        <x:f>'Evaluation Plan'!P132</x:f>
        <x:v>Empty</x:v>
      </x:c>
      <x:c r="Q132" s="41" t="str">
        <x:f>'Evaluation Plan'!Q132</x:f>
        <x:v>Queried candidate pair absent; bowl remains empty</x:v>
      </x:c>
      <x:c r="R132" s="42" t="n">
        <x:f>'Evaluation Plan'!R132</x:f>
        <x:v>6</x:v>
      </x:c>
      <x:c r="S132" s="41" t="str">
        <x:f>'Evaluation Plan'!S132</x:f>
        <x:v>Build the listed candidate-absent scene and confirm the bowl is empty.</x:v>
      </x:c>
      <x:c r="T132" s="41" t="str">
        <x:f>'Evaluation Plan'!T132</x:f>
        <x:v>The instruction uses normal active-trial wording. Success requires no grasp or object displacement.</x:v>
      </x:c>
      <x:c r="U132" s="41" t="n">
        <x:f>'Evaluation Plan'!U132</x:f>
        <x:v>0</x:v>
      </x:c>
    </x:row>
    <x:row r="133" ht="51" customHeight="1">
      <x:c r="A133" s="44" t="str">
        <x:v>Not collected</x:v>
      </x:c>
      <x:c r="B133" s="45" t="n">
        <x:f>'Evaluation Plan'!B133</x:f>
        <x:v>131</x:v>
      </x:c>
      <x:c r="C133" s="44" t="str">
        <x:f>'Evaluation Plan'!C133</x:f>
        <x:v>Pick up the pencil sharpener closest to the crushed Coke can and place it in the bowl.</x:v>
      </x:c>
      <x:c r="D133" s="44" t="str">
        <x:f>'Evaluation Plan'!D133</x:f>
        <x:v>Reference: crushed Coke can at table centre; green pen: at the far robot-left corner, outside the distance comparison; yellow pen: at the far robot-right corner, outside the distance comparison; Absent candidate pair: green pencil sharpener and red pencil sharpener are not in the scene; Bowl: empty</x:v>
      </x:c>
      <x:c r="E133" s="45" t="str">
        <x:f>'Evaluation Plan'!E133</x:f>
      </x:c>
      <x:c r="F133" s="45" t="str">
        <x:f>'Evaluation Plan'!F133</x:f>
        <x:v>450</x:v>
      </x:c>
      <x:c r="G133" s="44" t="str">
        <x:f>'Evaluation Plan'!G133</x:f>
        <x:v>The relation × candidate-category prompt cell is explicitly trained. The evaluation scene deliberately removes both candidate identities; the abstention outcome is not demonstrated in training.</x:v>
      </x:c>
      <x:c r="H133" s="44" t="str">
        <x:f>'Evaluation Plan'!H133</x:f>
        <x:v>NO-OP; neither green pencil sharpener nor red pencil sharpener is present</x:v>
      </x:c>
      <x:c r="I133" s="44" t="str"/>
      <x:c r="J133" s="48" t="str">
        <x:f>'Evaluation Plan'!J133</x:f>
        <x:v>No valid candidate category / no movement</x:v>
      </x:c>
      <x:c r="K133" s="45" t="str">
        <x:f>'Evaluation Plan'!K133</x:f>
        <x:v>RD-NOVALID02</x:v>
      </x:c>
      <x:c r="L133" s="45" t="str">
        <x:f>'Evaluation Plan'!L133</x:f>
        <x:v>closest</x:v>
      </x:c>
      <x:c r="M133" s="45" t="str">
        <x:f>'Evaluation Plan'!M133</x:f>
        <x:v>pencil sharpener</x:v>
      </x:c>
      <x:c r="N133" s="45" t="n">
        <x:f>'Evaluation Plan'!N133</x:f>
        <x:v>3</x:v>
      </x:c>
      <x:c r="O133" s="45" t="n">
        <x:f>'Evaluation Plan'!O133</x:f>
        <x:v>0</x:v>
      </x:c>
      <x:c r="P133" s="45" t="str">
        <x:f>'Evaluation Plan'!P133</x:f>
        <x:v>Empty</x:v>
      </x:c>
      <x:c r="Q133" s="44" t="str">
        <x:f>'Evaluation Plan'!Q133</x:f>
        <x:v>Queried candidate pair absent; bowl remains empty</x:v>
      </x:c>
      <x:c r="R133" s="45" t="n">
        <x:f>'Evaluation Plan'!R133</x:f>
        <x:v>6</x:v>
      </x:c>
      <x:c r="S133" s="44" t="str">
        <x:f>'Evaluation Plan'!S133</x:f>
        <x:v>Build the listed candidate-absent scene and confirm the bowl is empty.</x:v>
      </x:c>
      <x:c r="T133" s="44" t="str">
        <x:f>'Evaluation Plan'!T133</x:f>
        <x:v>The instruction uses normal active-trial wording. Success requires no grasp or object displacement.</x:v>
      </x:c>
      <x:c r="U133" s="44" t="n">
        <x:f>'Evaluation Plan'!U133</x:f>
        <x:v>0</x:v>
      </x:c>
    </x:row>
    <x:row r="134" ht="51" customHeight="1">
      <x:c r="A134" s="41" t="str">
        <x:v>Not collected</x:v>
      </x:c>
      <x:c r="B134" s="42" t="n">
        <x:f>'Evaluation Plan'!B134</x:f>
        <x:v>132</x:v>
      </x:c>
      <x:c r="C134" s="41" t="str">
        <x:f>'Evaluation Plan'!C134</x:f>
        <x:v>Put the airplane toy closest to the green pencil sharpener in the bowl.</x:v>
      </x:c>
      <x:c r="D134" s="41" t="str">
        <x:f>'Evaluation Plan'!D134</x:f>
        <x:v>Reference: green pencil sharpener at table centre; red pencil sharpener: at the far robot-left corner, outside the distance comparison; green pen: at the far robot-right corner, outside the distance comparison; yellow pen: near the back edge, outside the distance comparison; Absent candidate pair: airplane toy with propellers and airplane toy without propellers are not in the scene; Bowl: empty</x:v>
      </x:c>
      <x:c r="E134" s="42" t="str">
        <x:f>'Evaluation Plan'!E134</x:f>
      </x:c>
      <x:c r="F134" s="42" t="str">
        <x:f>'Evaluation Plan'!F134</x:f>
        <x:v>550</x:v>
      </x:c>
      <x:c r="G134" s="41" t="str">
        <x:f>'Evaluation Plan'!G134</x:f>
        <x:v>The relation × candidate-category prompt cell is explicitly trained. The evaluation scene deliberately removes both candidate identities; the abstention outcome is not demonstrated in training.</x:v>
      </x:c>
      <x:c r="H134" s="41" t="str">
        <x:f>'Evaluation Plan'!H134</x:f>
        <x:v>NO-OP; neither airplane toy with propellers nor airplane toy without propellers is present</x:v>
      </x:c>
      <x:c r="I134" s="41" t="str"/>
      <x:c r="J134" s="48" t="str">
        <x:f>'Evaluation Plan'!J134</x:f>
        <x:v>No valid candidate category / no movement</x:v>
      </x:c>
      <x:c r="K134" s="42" t="str">
        <x:f>'Evaluation Plan'!K134</x:f>
        <x:v>RD-NOVALID03</x:v>
      </x:c>
      <x:c r="L134" s="42" t="str">
        <x:f>'Evaluation Plan'!L134</x:f>
        <x:v>closest</x:v>
      </x:c>
      <x:c r="M134" s="42" t="str">
        <x:f>'Evaluation Plan'!M134</x:f>
        <x:v>airplane toy</x:v>
      </x:c>
      <x:c r="N134" s="42" t="n">
        <x:f>'Evaluation Plan'!N134</x:f>
        <x:v>4</x:v>
      </x:c>
      <x:c r="O134" s="42" t="n">
        <x:f>'Evaluation Plan'!O134</x:f>
        <x:v>0</x:v>
      </x:c>
      <x:c r="P134" s="42" t="str">
        <x:f>'Evaluation Plan'!P134</x:f>
        <x:v>Empty</x:v>
      </x:c>
      <x:c r="Q134" s="41" t="str">
        <x:f>'Evaluation Plan'!Q134</x:f>
        <x:v>Queried candidate pair absent; bowl remains empty</x:v>
      </x:c>
      <x:c r="R134" s="42" t="n">
        <x:f>'Evaluation Plan'!R134</x:f>
        <x:v>6</x:v>
      </x:c>
      <x:c r="S134" s="41" t="str">
        <x:f>'Evaluation Plan'!S134</x:f>
        <x:v>Build the listed candidate-absent scene and confirm the bowl is empty.</x:v>
      </x:c>
      <x:c r="T134" s="41" t="str">
        <x:f>'Evaluation Plan'!T134</x:f>
        <x:v>The instruction uses normal active-trial wording. Success requires no grasp or object displacement.</x:v>
      </x:c>
      <x:c r="U134" s="41" t="n">
        <x:f>'Evaluation Plan'!U134</x:f>
        <x:v>0</x:v>
      </x:c>
    </x:row>
    <x:row r="135" ht="51" customHeight="1">
      <x:c r="A135" s="44" t="str">
        <x:v>Not collected</x:v>
      </x:c>
      <x:c r="B135" s="45" t="n">
        <x:f>'Evaluation Plan'!B135</x:f>
        <x:v>133</x:v>
      </x:c>
      <x:c r="C135" s="44" t="str">
        <x:f>'Evaluation Plan'!C135</x:f>
        <x:v>Pick up the pen furthest from the crushed Pepsi can and place it in the bowl.</x:v>
      </x:c>
      <x:c r="D135" s="44" t="str">
        <x:f>'Evaluation Plan'!D135</x:f>
        <x:v>Reference: crushed Pepsi can at table centre; airplane toy with propellers: at the far robot-left corner, outside the distance comparison; Absent candidate pair: green pen and yellow pen are not in the scene; Bowl: empty</x:v>
      </x:c>
      <x:c r="E135" s="45" t="str">
        <x:f>'Evaluation Plan'!E135</x:f>
      </x:c>
      <x:c r="F135" s="45" t="str">
        <x:f>'Evaluation Plan'!F135</x:f>
        <x:v>515</x:v>
      </x:c>
      <x:c r="G135" s="44" t="str">
        <x:f>'Evaluation Plan'!G135</x:f>
        <x:v>The relation × candidate-category prompt cell is explicitly trained. The evaluation scene deliberately removes both candidate identities; the abstention outcome is not demonstrated in training.</x:v>
      </x:c>
      <x:c r="H135" s="44" t="str">
        <x:f>'Evaluation Plan'!H135</x:f>
        <x:v>NO-OP; neither green pen nor yellow pen is present</x:v>
      </x:c>
      <x:c r="I135" s="44" t="str"/>
      <x:c r="J135" s="48" t="str">
        <x:f>'Evaluation Plan'!J135</x:f>
        <x:v>No valid candidate category / no movement</x:v>
      </x:c>
      <x:c r="K135" s="45" t="str">
        <x:f>'Evaluation Plan'!K135</x:f>
        <x:v>RD-NOVALID04</x:v>
      </x:c>
      <x:c r="L135" s="45" t="str">
        <x:f>'Evaluation Plan'!L135</x:f>
        <x:v>furthest</x:v>
      </x:c>
      <x:c r="M135" s="45" t="str">
        <x:f>'Evaluation Plan'!M135</x:f>
        <x:v>pen</x:v>
      </x:c>
      <x:c r="N135" s="45" t="n">
        <x:f>'Evaluation Plan'!N135</x:f>
        <x:v>2</x:v>
      </x:c>
      <x:c r="O135" s="45" t="n">
        <x:f>'Evaluation Plan'!O135</x:f>
        <x:v>0</x:v>
      </x:c>
      <x:c r="P135" s="45" t="str">
        <x:f>'Evaluation Plan'!P135</x:f>
        <x:v>Empty</x:v>
      </x:c>
      <x:c r="Q135" s="44" t="str">
        <x:f>'Evaluation Plan'!Q135</x:f>
        <x:v>Queried candidate pair absent; bowl remains empty</x:v>
      </x:c>
      <x:c r="R135" s="45" t="n">
        <x:f>'Evaluation Plan'!R135</x:f>
        <x:v>6</x:v>
      </x:c>
      <x:c r="S135" s="44" t="str">
        <x:f>'Evaluation Plan'!S135</x:f>
        <x:v>Build the listed candidate-absent scene and confirm the bowl is empty.</x:v>
      </x:c>
      <x:c r="T135" s="44" t="str">
        <x:f>'Evaluation Plan'!T135</x:f>
        <x:v>The instruction uses normal active-trial wording. Success requires no grasp or object displacement.</x:v>
      </x:c>
      <x:c r="U135" s="44" t="n">
        <x:f>'Evaluation Plan'!U135</x:f>
        <x:v>0</x:v>
      </x:c>
    </x:row>
    <x:row r="136" ht="51" customHeight="1">
      <x:c r="A136" s="41" t="str">
        <x:v>Not collected</x:v>
      </x:c>
      <x:c r="B136" s="42" t="n">
        <x:f>'Evaluation Plan'!B136</x:f>
        <x:v>134</x:v>
      </x:c>
      <x:c r="C136" s="41" t="str">
        <x:f>'Evaluation Plan'!C136</x:f>
        <x:v>Put the crushed soda can furthest from the airplane toy without propellers in the bowl.</x:v>
      </x:c>
      <x:c r="D136" s="41" t="str">
        <x:f>'Evaluation Plan'!D136</x:f>
        <x:v>Reference: airplane toy without propellers at table centre; airplane toy with propellers: at the far robot-left corner, outside the distance comparison; green pencil sharpener: at the far robot-right corner, outside the distance comparison; Absent candidate pair: crushed Coke can and crushed Pepsi can are not in the scene; Bowl: empty</x:v>
      </x:c>
      <x:c r="E136" s="42" t="str">
        <x:f>'Evaluation Plan'!E136</x:f>
      </x:c>
      <x:c r="F136" s="42" t="str">
        <x:f>'Evaluation Plan'!F136</x:f>
        <x:v>415</x:v>
      </x:c>
      <x:c r="G136" s="41" t="str">
        <x:f>'Evaluation Plan'!G136</x:f>
        <x:v>The relation × candidate-category prompt cell is explicitly trained. The evaluation scene deliberately removes both candidate identities; the abstention outcome is not demonstrated in training.</x:v>
      </x:c>
      <x:c r="H136" s="41" t="str">
        <x:f>'Evaluation Plan'!H136</x:f>
        <x:v>NO-OP; neither crushed Coke can nor crushed Pepsi can is present</x:v>
      </x:c>
      <x:c r="I136" s="41" t="str"/>
      <x:c r="J136" s="48" t="str">
        <x:f>'Evaluation Plan'!J136</x:f>
        <x:v>No valid candidate category / no movement</x:v>
      </x:c>
      <x:c r="K136" s="42" t="str">
        <x:f>'Evaluation Plan'!K136</x:f>
        <x:v>RD-NOVALID05</x:v>
      </x:c>
      <x:c r="L136" s="42" t="str">
        <x:f>'Evaluation Plan'!L136</x:f>
        <x:v>furthest</x:v>
      </x:c>
      <x:c r="M136" s="42" t="str">
        <x:f>'Evaluation Plan'!M136</x:f>
        <x:v>crushed soda can</x:v>
      </x:c>
      <x:c r="N136" s="42" t="n">
        <x:f>'Evaluation Plan'!N136</x:f>
        <x:v>3</x:v>
      </x:c>
      <x:c r="O136" s="42" t="n">
        <x:f>'Evaluation Plan'!O136</x:f>
        <x:v>0</x:v>
      </x:c>
      <x:c r="P136" s="42" t="str">
        <x:f>'Evaluation Plan'!P136</x:f>
        <x:v>Empty</x:v>
      </x:c>
      <x:c r="Q136" s="41" t="str">
        <x:f>'Evaluation Plan'!Q136</x:f>
        <x:v>Queried candidate pair absent; bowl remains empty</x:v>
      </x:c>
      <x:c r="R136" s="42" t="n">
        <x:f>'Evaluation Plan'!R136</x:f>
        <x:v>6</x:v>
      </x:c>
      <x:c r="S136" s="41" t="str">
        <x:f>'Evaluation Plan'!S136</x:f>
        <x:v>Build the listed candidate-absent scene and confirm the bowl is empty.</x:v>
      </x:c>
      <x:c r="T136" s="41" t="str">
        <x:f>'Evaluation Plan'!T136</x:f>
        <x:v>The instruction uses normal active-trial wording. Success requires no grasp or object displacement.</x:v>
      </x:c>
      <x:c r="U136" s="41" t="n">
        <x:f>'Evaluation Plan'!U136</x:f>
        <x:v>0</x:v>
      </x:c>
    </x:row>
    <x:row r="137" ht="51" customHeight="1">
      <x:c r="A137" s="44" t="str">
        <x:v>Not collected</x:v>
      </x:c>
      <x:c r="B137" s="45" t="n">
        <x:f>'Evaluation Plan'!B137</x:f>
        <x:v>135</x:v>
      </x:c>
      <x:c r="C137" s="44" t="str">
        <x:f>'Evaluation Plan'!C137</x:f>
        <x:v>Move the pencil sharpener furthest from the airplane toy without propellers into the bowl.</x:v>
      </x:c>
      <x:c r="D137" s="44" t="str">
        <x:f>'Evaluation Plan'!D137</x:f>
        <x:v>Reference: airplane toy without propellers at table centre; crushed Coke can: at the far robot-left corner, outside the distance comparison; crushed Pepsi can: at the far robot-right corner, outside the distance comparison; green pen: near the back edge, outside the distance comparison; Absent candidate pair: green pencil sharpener and red pencil sharpener are not in the scene; Bowl: empty</x:v>
      </x:c>
      <x:c r="E137" s="45" t="str">
        <x:f>'Evaluation Plan'!E137</x:f>
      </x:c>
      <x:c r="F137" s="45" t="str">
        <x:f>'Evaluation Plan'!F137</x:f>
        <x:v>465</x:v>
      </x:c>
      <x:c r="G137" s="44" t="str">
        <x:f>'Evaluation Plan'!G137</x:f>
        <x:v>The relation × candidate-category prompt cell is explicitly trained. The evaluation scene deliberately removes both candidate identities; the abstention outcome is not demonstrated in training.</x:v>
      </x:c>
      <x:c r="H137" s="44" t="str">
        <x:f>'Evaluation Plan'!H137</x:f>
        <x:v>NO-OP; neither green pencil sharpener nor red pencil sharpener is present</x:v>
      </x:c>
      <x:c r="I137" s="44" t="str"/>
      <x:c r="J137" s="48" t="str">
        <x:f>'Evaluation Plan'!J137</x:f>
        <x:v>No valid candidate category / no movement</x:v>
      </x:c>
      <x:c r="K137" s="45" t="str">
        <x:f>'Evaluation Plan'!K137</x:f>
        <x:v>RD-NOVALID06</x:v>
      </x:c>
      <x:c r="L137" s="45" t="str">
        <x:f>'Evaluation Plan'!L137</x:f>
        <x:v>furthest</x:v>
      </x:c>
      <x:c r="M137" s="45" t="str">
        <x:f>'Evaluation Plan'!M137</x:f>
        <x:v>pencil sharpener</x:v>
      </x:c>
      <x:c r="N137" s="45" t="n">
        <x:f>'Evaluation Plan'!N137</x:f>
        <x:v>4</x:v>
      </x:c>
      <x:c r="O137" s="45" t="n">
        <x:f>'Evaluation Plan'!O137</x:f>
        <x:v>0</x:v>
      </x:c>
      <x:c r="P137" s="45" t="str">
        <x:f>'Evaluation Plan'!P137</x:f>
        <x:v>Empty</x:v>
      </x:c>
      <x:c r="Q137" s="44" t="str">
        <x:f>'Evaluation Plan'!Q137</x:f>
        <x:v>Queried candidate pair absent; bowl remains empty</x:v>
      </x:c>
      <x:c r="R137" s="45" t="n">
        <x:f>'Evaluation Plan'!R137</x:f>
        <x:v>6</x:v>
      </x:c>
      <x:c r="S137" s="44" t="str">
        <x:f>'Evaluation Plan'!S137</x:f>
        <x:v>Build the listed candidate-absent scene and confirm the bowl is empty.</x:v>
      </x:c>
      <x:c r="T137" s="44" t="str">
        <x:f>'Evaluation Plan'!T137</x:f>
        <x:v>The instruction uses normal active-trial wording. Success requires no grasp or object displacement.</x:v>
      </x:c>
      <x:c r="U137" s="44" t="n">
        <x:f>'Evaluation Plan'!U137</x:f>
        <x:v>0</x:v>
      </x:c>
    </x:row>
    <x:row r="138" ht="51" customHeight="1">
      <x:c r="A138" s="41" t="str">
        <x:v>Not collected</x:v>
      </x:c>
      <x:c r="B138" s="42" t="n">
        <x:f>'Evaluation Plan'!B138</x:f>
        <x:v>136</x:v>
      </x:c>
      <x:c r="C138" s="41" t="str">
        <x:f>'Evaluation Plan'!C138</x:f>
        <x:v>Put the airplane toy between the green pen and the crushed Coke can in the bowl.</x:v>
      </x:c>
      <x:c r="D138" s="41" t="str">
        <x:f>'Evaluation Plan'!D138</x:f>
        <x:v>Reference A: green pen at 14 cm to robot-left of table centre; Reference B: crushed Coke can at 14 cm to robot-right of table centre; Absent candidate pair: airplane toy with propellers and airplane toy without propellers are not in the scene; Bowl: empty</x:v>
      </x:c>
      <x:c r="E138" s="42" t="str">
        <x:f>'Evaluation Plan'!E138</x:f>
      </x:c>
      <x:c r="F138" s="42" t="str">
        <x:f>'Evaluation Plan'!F138</x:f>
        <x:v>580</x:v>
      </x:c>
      <x:c r="G138" s="41" t="str">
        <x:f>'Evaluation Plan'!G138</x:f>
        <x:v>The relation × candidate-category prompt cell is explicitly trained. The evaluation scene deliberately removes both candidate identities; the abstention outcome is not demonstrated in training.</x:v>
      </x:c>
      <x:c r="H138" s="41" t="str">
        <x:f>'Evaluation Plan'!H138</x:f>
        <x:v>NO-OP; neither airplane toy with propellers nor airplane toy without propellers is present</x:v>
      </x:c>
      <x:c r="I138" s="41" t="str"/>
      <x:c r="J138" s="48" t="str">
        <x:f>'Evaluation Plan'!J138</x:f>
        <x:v>No valid candidate category / no movement</x:v>
      </x:c>
      <x:c r="K138" s="42" t="str">
        <x:f>'Evaluation Plan'!K138</x:f>
        <x:v>RD-NOVALID07</x:v>
      </x:c>
      <x:c r="L138" s="42" t="str">
        <x:f>'Evaluation Plan'!L138</x:f>
        <x:v>between</x:v>
      </x:c>
      <x:c r="M138" s="42" t="str">
        <x:f>'Evaluation Plan'!M138</x:f>
        <x:v>airplane toy</x:v>
      </x:c>
      <x:c r="N138" s="42" t="n">
        <x:f>'Evaluation Plan'!N138</x:f>
        <x:v>2</x:v>
      </x:c>
      <x:c r="O138" s="42" t="n">
        <x:f>'Evaluation Plan'!O138</x:f>
        <x:v>0</x:v>
      </x:c>
      <x:c r="P138" s="42" t="str">
        <x:f>'Evaluation Plan'!P138</x:f>
        <x:v>Empty</x:v>
      </x:c>
      <x:c r="Q138" s="41" t="str">
        <x:f>'Evaluation Plan'!Q138</x:f>
        <x:v>Queried candidate pair absent; bowl remains empty</x:v>
      </x:c>
      <x:c r="R138" s="42" t="n">
        <x:f>'Evaluation Plan'!R138</x:f>
        <x:v>6</x:v>
      </x:c>
      <x:c r="S138" s="41" t="str">
        <x:f>'Evaluation Plan'!S138</x:f>
        <x:v>Build the listed candidate-absent scene and confirm the bowl is empty.</x:v>
      </x:c>
      <x:c r="T138" s="41" t="str">
        <x:f>'Evaluation Plan'!T138</x:f>
        <x:v>The instruction uses normal active-trial wording. Success requires no grasp or object displacement.</x:v>
      </x:c>
      <x:c r="U138" s="41" t="n">
        <x:f>'Evaluation Plan'!U138</x:f>
        <x:v>0</x:v>
      </x:c>
    </x:row>
    <x:row r="139" ht="51" customHeight="1">
      <x:c r="A139" s="44" t="str">
        <x:v>Not collected</x:v>
      </x:c>
      <x:c r="B139" s="45" t="n">
        <x:f>'Evaluation Plan'!B139</x:f>
        <x:v>137</x:v>
      </x:c>
      <x:c r="C139" s="44" t="str">
        <x:f>'Evaluation Plan'!C139</x:f>
        <x:v>Move the pen closest to the green pencil sharpener into the bowl.</x:v>
      </x:c>
      <x:c r="D139" s="44" t="str">
        <x:f>'Evaluation Plan'!D139</x:f>
        <x:v>Reference: green pencil sharpener at table centre; red pencil sharpener: at the far robot-left corner, outside the distance comparison; airplane toy with propellers: at the far robot-right corner, outside the distance comparison; Absent candidate pair: green pen and yellow pen are not in the scene; Bowl: empty</x:v>
      </x:c>
      <x:c r="E139" s="45" t="str">
        <x:f>'Evaluation Plan'!E139</x:f>
      </x:c>
      <x:c r="F139" s="45" t="str">
        <x:f>'Evaluation Plan'!F139</x:f>
        <x:v>500</x:v>
      </x:c>
      <x:c r="G139" s="44" t="str">
        <x:f>'Evaluation Plan'!G139</x:f>
        <x:v>The relation × candidate-category prompt cell is explicitly trained. The evaluation scene deliberately removes both candidate identities; the abstention outcome is not demonstrated in training.</x:v>
      </x:c>
      <x:c r="H139" s="44" t="str">
        <x:f>'Evaluation Plan'!H139</x:f>
        <x:v>NO-OP; neither green pen nor yellow pen is present</x:v>
      </x:c>
      <x:c r="I139" s="44" t="str"/>
      <x:c r="J139" s="48" t="str">
        <x:f>'Evaluation Plan'!J139</x:f>
        <x:v>No valid candidate category / no movement</x:v>
      </x:c>
      <x:c r="K139" s="45" t="str">
        <x:f>'Evaluation Plan'!K139</x:f>
        <x:v>RD-NOVALID08</x:v>
      </x:c>
      <x:c r="L139" s="45" t="str">
        <x:f>'Evaluation Plan'!L139</x:f>
        <x:v>closest</x:v>
      </x:c>
      <x:c r="M139" s="45" t="str">
        <x:f>'Evaluation Plan'!M139</x:f>
        <x:v>pen</x:v>
      </x:c>
      <x:c r="N139" s="45" t="n">
        <x:f>'Evaluation Plan'!N139</x:f>
        <x:v>3</x:v>
      </x:c>
      <x:c r="O139" s="45" t="n">
        <x:f>'Evaluation Plan'!O139</x:f>
        <x:v>0</x:v>
      </x:c>
      <x:c r="P139" s="45" t="str">
        <x:f>'Evaluation Plan'!P139</x:f>
        <x:v>Empty</x:v>
      </x:c>
      <x:c r="Q139" s="44" t="str">
        <x:f>'Evaluation Plan'!Q139</x:f>
        <x:v>Queried candidate pair absent; bowl remains empty</x:v>
      </x:c>
      <x:c r="R139" s="45" t="n">
        <x:f>'Evaluation Plan'!R139</x:f>
        <x:v>6</x:v>
      </x:c>
      <x:c r="S139" s="44" t="str">
        <x:f>'Evaluation Plan'!S139</x:f>
        <x:v>Build the listed candidate-absent scene and confirm the bowl is empty.</x:v>
      </x:c>
      <x:c r="T139" s="44" t="str">
        <x:f>'Evaluation Plan'!T139</x:f>
        <x:v>The instruction uses normal active-trial wording. Success requires no grasp or object displacement.</x:v>
      </x:c>
      <x:c r="U139" s="44" t="n">
        <x:f>'Evaluation Plan'!U139</x:f>
        <x:v>0</x:v>
      </x:c>
    </x:row>
    <x:row r="140" ht="51" customHeight="1">
      <x:c r="A140" s="41" t="str">
        <x:v>Not collected</x:v>
      </x:c>
      <x:c r="B140" s="42" t="n">
        <x:f>'Evaluation Plan'!B140</x:f>
        <x:v>138</x:v>
      </x:c>
      <x:c r="C140" s="41" t="str">
        <x:f>'Evaluation Plan'!C140</x:f>
        <x:v>Move the crushed soda can between the airplane toy without propellers and the red pencil sharpener into the bowl.</x:v>
      </x:c>
      <x:c r="D140" s="41" t="str">
        <x:f>'Evaluation Plan'!D140</x:f>
        <x:v>Reference A: airplane toy without propellers at 14 cm to robot-left of table centre; Reference B: red pencil sharpener at 14 cm to robot-right of table centre; yellow pen: at the far robot-left corner, outside the distance comparison; airplane toy with propellers: at the far robot-right corner, outside the distance comparison; Absent candidate pair: crushed Coke can and crushed Pepsi can are not in the scene; Bowl: empty</x:v>
      </x:c>
      <x:c r="E140" s="42" t="str">
        <x:f>'Evaluation Plan'!E140</x:f>
      </x:c>
      <x:c r="F140" s="42" t="str">
        <x:f>'Evaluation Plan'!F140</x:f>
        <x:v>431</x:v>
      </x:c>
      <x:c r="G140" s="41" t="str">
        <x:f>'Evaluation Plan'!G140</x:f>
        <x:v>The relation × candidate-category prompt cell is explicitly trained. The evaluation scene deliberately removes both candidate identities; the abstention outcome is not demonstrated in training.</x:v>
      </x:c>
      <x:c r="H140" s="41" t="str">
        <x:f>'Evaluation Plan'!H140</x:f>
        <x:v>NO-OP; neither crushed Coke can nor crushed Pepsi can is present</x:v>
      </x:c>
      <x:c r="I140" s="41" t="str"/>
      <x:c r="J140" s="48" t="str">
        <x:f>'Evaluation Plan'!J140</x:f>
        <x:v>No valid candidate category / no movement</x:v>
      </x:c>
      <x:c r="K140" s="42" t="str">
        <x:f>'Evaluation Plan'!K140</x:f>
        <x:v>RD-NOVALID09</x:v>
      </x:c>
      <x:c r="L140" s="42" t="str">
        <x:f>'Evaluation Plan'!L140</x:f>
        <x:v>between</x:v>
      </x:c>
      <x:c r="M140" s="42" t="str">
        <x:f>'Evaluation Plan'!M140</x:f>
        <x:v>crushed soda can</x:v>
      </x:c>
      <x:c r="N140" s="42" t="n">
        <x:f>'Evaluation Plan'!N140</x:f>
        <x:v>4</x:v>
      </x:c>
      <x:c r="O140" s="42" t="n">
        <x:f>'Evaluation Plan'!O140</x:f>
        <x:v>0</x:v>
      </x:c>
      <x:c r="P140" s="42" t="str">
        <x:f>'Evaluation Plan'!P140</x:f>
        <x:v>Empty</x:v>
      </x:c>
      <x:c r="Q140" s="41" t="str">
        <x:f>'Evaluation Plan'!Q140</x:f>
        <x:v>Queried candidate pair absent; bowl remains empty</x:v>
      </x:c>
      <x:c r="R140" s="42" t="n">
        <x:f>'Evaluation Plan'!R140</x:f>
        <x:v>6</x:v>
      </x:c>
      <x:c r="S140" s="41" t="str">
        <x:f>'Evaluation Plan'!S140</x:f>
        <x:v>Build the listed candidate-absent scene and confirm the bowl is empty.</x:v>
      </x:c>
      <x:c r="T140" s="41" t="str">
        <x:f>'Evaluation Plan'!T140</x:f>
        <x:v>The instruction uses normal active-trial wording. Success requires no grasp or object displacement.</x:v>
      </x:c>
      <x:c r="U140" s="41" t="n">
        <x:f>'Evaluation Plan'!U140</x:f>
        <x:v>0</x:v>
      </x:c>
    </x:row>
    <x:row r="141" ht="51" customHeight="1">
      <x:c r="A141" s="44" t="str">
        <x:v>Not collected</x:v>
      </x:c>
      <x:c r="B141" s="45" t="n">
        <x:f>'Evaluation Plan'!B141</x:f>
        <x:v>139</x:v>
      </x:c>
      <x:c r="C141" s="44" t="str">
        <x:f>'Evaluation Plan'!C141</x:f>
        <x:v>Pick up the pencil sharpener closest to the yellow pen and place it in the bowl.</x:v>
      </x:c>
      <x:c r="D141" s="44" t="str">
        <x:f>'Evaluation Plan'!D141</x:f>
        <x:v>Reference: yellow pen at table centre; airplane toy without propellers: at the far robot-left corner, outside the distance comparison; Absent candidate pair: green pencil sharpener and red pencil sharpener are not in the scene; Bowl: empty</x:v>
      </x:c>
      <x:c r="E141" s="45" t="str">
        <x:f>'Evaluation Plan'!E141</x:f>
      </x:c>
      <x:c r="F141" s="45" t="str">
        <x:f>'Evaluation Plan'!F141</x:f>
        <x:v>451</x:v>
      </x:c>
      <x:c r="G141" s="44" t="str">
        <x:f>'Evaluation Plan'!G141</x:f>
        <x:v>The relation × candidate-category prompt cell is explicitly trained. The evaluation scene deliberately removes both candidate identities; the abstention outcome is not demonstrated in training.</x:v>
      </x:c>
      <x:c r="H141" s="44" t="str">
        <x:f>'Evaluation Plan'!H141</x:f>
        <x:v>NO-OP; neither green pencil sharpener nor red pencil sharpener is present</x:v>
      </x:c>
      <x:c r="I141" s="44" t="str"/>
      <x:c r="J141" s="48" t="str">
        <x:f>'Evaluation Plan'!J141</x:f>
        <x:v>No valid candidate category / no movement</x:v>
      </x:c>
      <x:c r="K141" s="45" t="str">
        <x:f>'Evaluation Plan'!K141</x:f>
        <x:v>RD-NOVALID10</x:v>
      </x:c>
      <x:c r="L141" s="45" t="str">
        <x:f>'Evaluation Plan'!L141</x:f>
        <x:v>closest</x:v>
      </x:c>
      <x:c r="M141" s="45" t="str">
        <x:f>'Evaluation Plan'!M141</x:f>
        <x:v>pencil sharpener</x:v>
      </x:c>
      <x:c r="N141" s="45" t="n">
        <x:f>'Evaluation Plan'!N141</x:f>
        <x:v>2</x:v>
      </x:c>
      <x:c r="O141" s="45" t="n">
        <x:f>'Evaluation Plan'!O141</x:f>
        <x:v>0</x:v>
      </x:c>
      <x:c r="P141" s="45" t="str">
        <x:f>'Evaluation Plan'!P141</x:f>
        <x:v>Empty</x:v>
      </x:c>
      <x:c r="Q141" s="44" t="str">
        <x:f>'Evaluation Plan'!Q141</x:f>
        <x:v>Queried candidate pair absent; bowl remains empty</x:v>
      </x:c>
      <x:c r="R141" s="45" t="n">
        <x:f>'Evaluation Plan'!R141</x:f>
        <x:v>6</x:v>
      </x:c>
      <x:c r="S141" s="44" t="str">
        <x:f>'Evaluation Plan'!S141</x:f>
        <x:v>Build the listed candidate-absent scene and confirm the bowl is empty.</x:v>
      </x:c>
      <x:c r="T141" s="44" t="str">
        <x:f>'Evaluation Plan'!T141</x:f>
        <x:v>The instruction uses normal active-trial wording. Success requires no grasp or object displacement.</x:v>
      </x:c>
      <x:c r="U141" s="44" t="n">
        <x:f>'Evaluation Plan'!U141</x:f>
        <x:v>0</x:v>
      </x:c>
    </x:row>
    <x:row r="142" ht="51" customHeight="1">
      <x:c r="A142" s="41" t="str">
        <x:v>Not collected</x:v>
      </x:c>
      <x:c r="B142" s="42" t="n">
        <x:f>'Evaluation Plan'!B142</x:f>
        <x:v>140</x:v>
      </x:c>
      <x:c r="C142" s="41" t="str">
        <x:f>'Evaluation Plan'!C142</x:f>
        <x:v>Pick up the airplane toy between the green pencil sharpener and the yellow pen and place it in the bowl.</x:v>
      </x:c>
      <x:c r="D142" s="41" t="str">
        <x:f>'Evaluation Plan'!D142</x:f>
        <x:v>Reference A: green pencil sharpener at 14 cm to robot-left of table centre; Reference B: yellow pen at 14 cm to robot-right of table centre; crushed Coke can: at the far robot-left corner, outside the distance comparison; Absent candidate pair: airplane toy with propellers and airplane toy without propellers are not in the scene; Bowl: empty</x:v>
      </x:c>
      <x:c r="E142" s="42" t="str">
        <x:f>'Evaluation Plan'!E142</x:f>
      </x:c>
      <x:c r="F142" s="42" t="str">
        <x:f>'Evaluation Plan'!F142</x:f>
        <x:v>581</x:v>
      </x:c>
      <x:c r="G142" s="41" t="str">
        <x:f>'Evaluation Plan'!G142</x:f>
        <x:v>The relation × candidate-category prompt cell is explicitly trained. The evaluation scene deliberately removes both candidate identities; the abstention outcome is not demonstrated in training.</x:v>
      </x:c>
      <x:c r="H142" s="41" t="str">
        <x:f>'Evaluation Plan'!H142</x:f>
        <x:v>NO-OP; neither airplane toy with propellers nor airplane toy without propellers is present</x:v>
      </x:c>
      <x:c r="I142" s="41" t="str"/>
      <x:c r="J142" s="48" t="str">
        <x:f>'Evaluation Plan'!J142</x:f>
        <x:v>No valid candidate category / no movement</x:v>
      </x:c>
      <x:c r="K142" s="42" t="str">
        <x:f>'Evaluation Plan'!K142</x:f>
        <x:v>RD-NOVALID11</x:v>
      </x:c>
      <x:c r="L142" s="42" t="str">
        <x:f>'Evaluation Plan'!L142</x:f>
        <x:v>between</x:v>
      </x:c>
      <x:c r="M142" s="42" t="str">
        <x:f>'Evaluation Plan'!M142</x:f>
        <x:v>airplane toy</x:v>
      </x:c>
      <x:c r="N142" s="42" t="n">
        <x:f>'Evaluation Plan'!N142</x:f>
        <x:v>3</x:v>
      </x:c>
      <x:c r="O142" s="42" t="n">
        <x:f>'Evaluation Plan'!O142</x:f>
        <x:v>0</x:v>
      </x:c>
      <x:c r="P142" s="42" t="str">
        <x:f>'Evaluation Plan'!P142</x:f>
        <x:v>Empty</x:v>
      </x:c>
      <x:c r="Q142" s="41" t="str">
        <x:f>'Evaluation Plan'!Q142</x:f>
        <x:v>Queried candidate pair absent; bowl remains empty</x:v>
      </x:c>
      <x:c r="R142" s="42" t="n">
        <x:f>'Evaluation Plan'!R142</x:f>
        <x:v>6</x:v>
      </x:c>
      <x:c r="S142" s="41" t="str">
        <x:f>'Evaluation Plan'!S142</x:f>
        <x:v>Build the listed candidate-absent scene and confirm the bowl is empty.</x:v>
      </x:c>
      <x:c r="T142" s="41" t="str">
        <x:f>'Evaluation Plan'!T142</x:f>
        <x:v>The instruction uses normal active-trial wording. Success requires no grasp or object displacement.</x:v>
      </x:c>
      <x:c r="U142" s="41" t="n">
        <x:f>'Evaluation Plan'!U142</x:f>
        <x:v>0</x:v>
      </x:c>
    </x:row>
    <x:row r="143" ht="51" customHeight="1">
      <x:c r="A143" s="44" t="str">
        <x:v>Not collected</x:v>
      </x:c>
      <x:c r="B143" s="45" t="n">
        <x:f>'Evaluation Plan'!B143</x:f>
        <x:v>141</x:v>
      </x:c>
      <x:c r="C143" s="44" t="str">
        <x:f>'Evaluation Plan'!C143</x:f>
        <x:v>Pick up the pen furthest from the airplane toy without propellers and place it in the bowl.</x:v>
      </x:c>
      <x:c r="D143" s="44" t="str">
        <x:f>'Evaluation Plan'!D143</x:f>
        <x:v>Reference: airplane toy without propellers at table centre; crushed Pepsi can: at the far robot-left corner, outside the distance comparison; green pencil sharpener: at the far robot-right corner, outside the distance comparison; red pencil sharpener: near the back edge, outside the distance comparison; Absent candidate pair: green pen and yellow pen are not in the scene; Bowl: empty</x:v>
      </x:c>
      <x:c r="E143" s="45" t="str">
        <x:f>'Evaluation Plan'!E143</x:f>
      </x:c>
      <x:c r="F143" s="45" t="str">
        <x:f>'Evaluation Plan'!F143</x:f>
        <x:v>516</x:v>
      </x:c>
      <x:c r="G143" s="44" t="str">
        <x:f>'Evaluation Plan'!G143</x:f>
        <x:v>The relation × candidate-category prompt cell is explicitly trained. The evaluation scene deliberately removes both candidate identities; the abstention outcome is not demonstrated in training.</x:v>
      </x:c>
      <x:c r="H143" s="44" t="str">
        <x:f>'Evaluation Plan'!H143</x:f>
        <x:v>NO-OP; neither green pen nor yellow pen is present</x:v>
      </x:c>
      <x:c r="I143" s="44" t="str"/>
      <x:c r="J143" s="48" t="str">
        <x:f>'Evaluation Plan'!J143</x:f>
        <x:v>No valid candidate category / no movement</x:v>
      </x:c>
      <x:c r="K143" s="45" t="str">
        <x:f>'Evaluation Plan'!K143</x:f>
        <x:v>RD-NOVALID12</x:v>
      </x:c>
      <x:c r="L143" s="45" t="str">
        <x:f>'Evaluation Plan'!L143</x:f>
        <x:v>furthest</x:v>
      </x:c>
      <x:c r="M143" s="45" t="str">
        <x:f>'Evaluation Plan'!M143</x:f>
        <x:v>pen</x:v>
      </x:c>
      <x:c r="N143" s="45" t="n">
        <x:f>'Evaluation Plan'!N143</x:f>
        <x:v>4</x:v>
      </x:c>
      <x:c r="O143" s="45" t="n">
        <x:f>'Evaluation Plan'!O143</x:f>
        <x:v>0</x:v>
      </x:c>
      <x:c r="P143" s="45" t="str">
        <x:f>'Evaluation Plan'!P143</x:f>
        <x:v>Empty</x:v>
      </x:c>
      <x:c r="Q143" s="44" t="str">
        <x:f>'Evaluation Plan'!Q143</x:f>
        <x:v>Queried candidate pair absent; bowl remains empty</x:v>
      </x:c>
      <x:c r="R143" s="45" t="n">
        <x:f>'Evaluation Plan'!R143</x:f>
        <x:v>6</x:v>
      </x:c>
      <x:c r="S143" s="44" t="str">
        <x:f>'Evaluation Plan'!S143</x:f>
        <x:v>Build the listed candidate-absent scene and confirm the bowl is empty.</x:v>
      </x:c>
      <x:c r="T143" s="44" t="str">
        <x:f>'Evaluation Plan'!T143</x:f>
        <x:v>The instruction uses normal active-trial wording. Success requires no grasp or object displacement.</x:v>
      </x:c>
      <x:c r="U143" s="44" t="n">
        <x:f>'Evaluation Plan'!U143</x:f>
        <x:v>0</x:v>
      </x:c>
    </x:row>
    <x:row r="144" ht="51" customHeight="1">
      <x:c r="A144" s="41" t="str">
        <x:v>Not collected</x:v>
      </x:c>
      <x:c r="B144" s="42" t="n">
        <x:f>'Evaluation Plan'!B144</x:f>
        <x:v>142</x:v>
      </x:c>
      <x:c r="C144" s="41" t="str">
        <x:f>'Evaluation Plan'!C144</x:f>
        <x:v>Put the crushed soda can furthest from the green pen in the bowl.</x:v>
      </x:c>
      <x:c r="D144" s="41" t="str">
        <x:f>'Evaluation Plan'!D144</x:f>
        <x:v>Reference: green pen at table centre; yellow pen: at the far robot-left corner, outside the distance comparison; Absent candidate pair: crushed Coke can and crushed Pepsi can are not in the scene; Bowl: empty</x:v>
      </x:c>
      <x:c r="E144" s="42" t="str">
        <x:f>'Evaluation Plan'!E144</x:f>
      </x:c>
      <x:c r="F144" s="42" t="str">
        <x:f>'Evaluation Plan'!F144</x:f>
        <x:v>416</x:v>
      </x:c>
      <x:c r="G144" s="41" t="str">
        <x:f>'Evaluation Plan'!G144</x:f>
        <x:v>The relation × candidate-category prompt cell is explicitly trained. The evaluation scene deliberately removes both candidate identities; the abstention outcome is not demonstrated in training.</x:v>
      </x:c>
      <x:c r="H144" s="41" t="str">
        <x:f>'Evaluation Plan'!H144</x:f>
        <x:v>NO-OP; neither crushed Coke can nor crushed Pepsi can is present</x:v>
      </x:c>
      <x:c r="I144" s="41" t="str"/>
      <x:c r="J144" s="48" t="str">
        <x:f>'Evaluation Plan'!J144</x:f>
        <x:v>No valid candidate category / no movement</x:v>
      </x:c>
      <x:c r="K144" s="42" t="str">
        <x:f>'Evaluation Plan'!K144</x:f>
        <x:v>RD-NOVALID13</x:v>
      </x:c>
      <x:c r="L144" s="42" t="str">
        <x:f>'Evaluation Plan'!L144</x:f>
        <x:v>furthest</x:v>
      </x:c>
      <x:c r="M144" s="42" t="str">
        <x:f>'Evaluation Plan'!M144</x:f>
        <x:v>crushed soda can</x:v>
      </x:c>
      <x:c r="N144" s="42" t="n">
        <x:f>'Evaluation Plan'!N144</x:f>
        <x:v>2</x:v>
      </x:c>
      <x:c r="O144" s="42" t="n">
        <x:f>'Evaluation Plan'!O144</x:f>
        <x:v>0</x:v>
      </x:c>
      <x:c r="P144" s="42" t="str">
        <x:f>'Evaluation Plan'!P144</x:f>
        <x:v>Empty</x:v>
      </x:c>
      <x:c r="Q144" s="41" t="str">
        <x:f>'Evaluation Plan'!Q144</x:f>
        <x:v>Queried candidate pair absent; bowl remains empty</x:v>
      </x:c>
      <x:c r="R144" s="42" t="n">
        <x:f>'Evaluation Plan'!R144</x:f>
        <x:v>6</x:v>
      </x:c>
      <x:c r="S144" s="41" t="str">
        <x:f>'Evaluation Plan'!S144</x:f>
        <x:v>Build the listed candidate-absent scene and confirm the bowl is empty.</x:v>
      </x:c>
      <x:c r="T144" s="41" t="str">
        <x:f>'Evaluation Plan'!T144</x:f>
        <x:v>The instruction uses normal active-trial wording. Success requires no grasp or object displacement.</x:v>
      </x:c>
      <x:c r="U144" s="41" t="n">
        <x:f>'Evaluation Plan'!U144</x:f>
        <x:v>0</x:v>
      </x:c>
    </x:row>
    <x:row r="145" ht="51" customHeight="1">
      <x:c r="A145" s="44" t="str">
        <x:v>Not collected</x:v>
      </x:c>
      <x:c r="B145" s="45" t="n">
        <x:f>'Evaluation Plan'!B145</x:f>
        <x:v>143</x:v>
      </x:c>
      <x:c r="C145" s="44" t="str">
        <x:f>'Evaluation Plan'!C145</x:f>
        <x:v>Put the pencil sharpener closest to the crushed Coke can in the bowl.</x:v>
      </x:c>
      <x:c r="D145" s="44" t="str">
        <x:f>'Evaluation Plan'!D145</x:f>
        <x:v>Reference: crushed Coke can at table centre; airplane toy with propellers: at the far robot-left corner, outside the distance comparison; airplane toy without propellers: at the far robot-right corner, outside the distance comparison; Absent candidate pair: green pencil sharpener and red pencil sharpener are not in the scene; Bowl: empty</x:v>
      </x:c>
      <x:c r="E145" s="45" t="str">
        <x:f>'Evaluation Plan'!E145</x:f>
      </x:c>
      <x:c r="F145" s="45" t="str">
        <x:f>'Evaluation Plan'!F145</x:f>
        <x:v>452</x:v>
      </x:c>
      <x:c r="G145" s="44" t="str">
        <x:f>'Evaluation Plan'!G145</x:f>
        <x:v>The relation × candidate-category prompt cell is explicitly trained. The evaluation scene deliberately removes both candidate identities; the abstention outcome is not demonstrated in training.</x:v>
      </x:c>
      <x:c r="H145" s="44" t="str">
        <x:f>'Evaluation Plan'!H145</x:f>
        <x:v>NO-OP; neither green pencil sharpener nor red pencil sharpener is present</x:v>
      </x:c>
      <x:c r="I145" s="44" t="str"/>
      <x:c r="J145" s="48" t="str">
        <x:f>'Evaluation Plan'!J145</x:f>
        <x:v>No valid candidate category / no movement</x:v>
      </x:c>
      <x:c r="K145" s="45" t="str">
        <x:f>'Evaluation Plan'!K145</x:f>
        <x:v>RD-NOVALID14</x:v>
      </x:c>
      <x:c r="L145" s="45" t="str">
        <x:f>'Evaluation Plan'!L145</x:f>
        <x:v>closest</x:v>
      </x:c>
      <x:c r="M145" s="45" t="str">
        <x:f>'Evaluation Plan'!M145</x:f>
        <x:v>pencil sharpener</x:v>
      </x:c>
      <x:c r="N145" s="45" t="n">
        <x:f>'Evaluation Plan'!N145</x:f>
        <x:v>3</x:v>
      </x:c>
      <x:c r="O145" s="45" t="n">
        <x:f>'Evaluation Plan'!O145</x:f>
        <x:v>0</x:v>
      </x:c>
      <x:c r="P145" s="45" t="str">
        <x:f>'Evaluation Plan'!P145</x:f>
        <x:v>Empty</x:v>
      </x:c>
      <x:c r="Q145" s="44" t="str">
        <x:f>'Evaluation Plan'!Q145</x:f>
        <x:v>Queried candidate pair absent; bowl remains empty</x:v>
      </x:c>
      <x:c r="R145" s="45" t="n">
        <x:f>'Evaluation Plan'!R145</x:f>
        <x:v>6</x:v>
      </x:c>
      <x:c r="S145" s="44" t="str">
        <x:f>'Evaluation Plan'!S145</x:f>
        <x:v>Build the listed candidate-absent scene and confirm the bowl is empty.</x:v>
      </x:c>
      <x:c r="T145" s="44" t="str">
        <x:f>'Evaluation Plan'!T145</x:f>
        <x:v>The instruction uses normal active-trial wording. Success requires no grasp or object displacement.</x:v>
      </x:c>
      <x:c r="U145" s="44" t="n">
        <x:f>'Evaluation Plan'!U145</x:f>
        <x:v>0</x:v>
      </x:c>
    </x:row>
    <x:row r="146" ht="51" customHeight="1">
      <x:c r="A146" s="41" t="str">
        <x:v>Not collected</x:v>
      </x:c>
      <x:c r="B146" s="42" t="n">
        <x:f>'Evaluation Plan'!B146</x:f>
        <x:v>144</x:v>
      </x:c>
      <x:c r="C146" s="41" t="str">
        <x:f>'Evaluation Plan'!C146</x:f>
        <x:v>Move the airplane toy closest to the green pencil sharpener into the bowl.</x:v>
      </x:c>
      <x:c r="D146" s="41" t="str">
        <x:f>'Evaluation Plan'!D146</x:f>
        <x:v>Reference: green pencil sharpener at table centre; yellow pen: at the far robot-left corner, outside the distance comparison; crushed Coke can: at the far robot-right corner, outside the distance comparison; crushed Pepsi can: near the back edge, outside the distance comparison; Absent candidate pair: airplane toy with propellers and airplane toy without propellers are not in the scene; Bowl: empty</x:v>
      </x:c>
      <x:c r="E146" s="42" t="str">
        <x:f>'Evaluation Plan'!E146</x:f>
      </x:c>
      <x:c r="F146" s="42" t="str">
        <x:f>'Evaluation Plan'!F146</x:f>
        <x:v>551</x:v>
      </x:c>
      <x:c r="G146" s="41" t="str">
        <x:f>'Evaluation Plan'!G146</x:f>
        <x:v>The relation × candidate-category prompt cell is explicitly trained. The evaluation scene deliberately removes both candidate identities; the abstention outcome is not demonstrated in training.</x:v>
      </x:c>
      <x:c r="H146" s="41" t="str">
        <x:f>'Evaluation Plan'!H146</x:f>
        <x:v>NO-OP; neither airplane toy with propellers nor airplane toy without propellers is present</x:v>
      </x:c>
      <x:c r="I146" s="41" t="str"/>
      <x:c r="J146" s="48" t="str">
        <x:f>'Evaluation Plan'!J146</x:f>
        <x:v>No valid candidate category / no movement</x:v>
      </x:c>
      <x:c r="K146" s="42" t="str">
        <x:f>'Evaluation Plan'!K146</x:f>
        <x:v>RD-NOVALID15</x:v>
      </x:c>
      <x:c r="L146" s="42" t="str">
        <x:f>'Evaluation Plan'!L146</x:f>
        <x:v>closest</x:v>
      </x:c>
      <x:c r="M146" s="42" t="str">
        <x:f>'Evaluation Plan'!M146</x:f>
        <x:v>airplane toy</x:v>
      </x:c>
      <x:c r="N146" s="42" t="n">
        <x:f>'Evaluation Plan'!N146</x:f>
        <x:v>4</x:v>
      </x:c>
      <x:c r="O146" s="42" t="n">
        <x:f>'Evaluation Plan'!O146</x:f>
        <x:v>0</x:v>
      </x:c>
      <x:c r="P146" s="42" t="str">
        <x:f>'Evaluation Plan'!P146</x:f>
        <x:v>Empty</x:v>
      </x:c>
      <x:c r="Q146" s="41" t="str">
        <x:f>'Evaluation Plan'!Q146</x:f>
        <x:v>Queried candidate pair absent; bowl remains empty</x:v>
      </x:c>
      <x:c r="R146" s="42" t="n">
        <x:f>'Evaluation Plan'!R146</x:f>
        <x:v>6</x:v>
      </x:c>
      <x:c r="S146" s="41" t="str">
        <x:f>'Evaluation Plan'!S146</x:f>
        <x:v>Build the listed candidate-absent scene and confirm the bowl is empty.</x:v>
      </x:c>
      <x:c r="T146" s="41" t="str">
        <x:f>'Evaluation Plan'!T146</x:f>
        <x:v>The instruction uses normal active-trial wording. Success requires no grasp or object displacement.</x:v>
      </x:c>
      <x:c r="U146" s="41" t="n">
        <x:f>'Evaluation Plan'!U146</x:f>
        <x:v>0</x:v>
      </x:c>
    </x:row>
    <x:row r="147" ht="51" customHeight="1">
      <x:c r="A147" s="44" t="str">
        <x:v>Not collected</x:v>
      </x:c>
      <x:c r="B147" s="45" t="n">
        <x:f>'Evaluation Plan'!B147</x:f>
        <x:v>145</x:v>
      </x:c>
      <x:c r="C147" s="44" t="str">
        <x:f>'Evaluation Plan'!C147</x:f>
        <x:v>Move the pen furthest from the crushed Pepsi can into the bowl.</x:v>
      </x:c>
      <x:c r="D147" s="44" t="str">
        <x:f>'Evaluation Plan'!D147</x:f>
        <x:v>Reference: crushed Pepsi can at table centre; crushed Coke can: at the far robot-left corner, outside the distance comparison; Absent candidate pair: green pen and yellow pen are not in the scene; Bowl: empty</x:v>
      </x:c>
      <x:c r="E147" s="45" t="str">
        <x:f>'Evaluation Plan'!E147</x:f>
      </x:c>
      <x:c r="F147" s="45" t="str">
        <x:f>'Evaluation Plan'!F147</x:f>
        <x:v>517</x:v>
      </x:c>
      <x:c r="G147" s="44" t="str">
        <x:f>'Evaluation Plan'!G147</x:f>
        <x:v>The relation × candidate-category prompt cell is explicitly trained. The evaluation scene deliberately removes both candidate identities; the abstention outcome is not demonstrated in training.</x:v>
      </x:c>
      <x:c r="H147" s="44" t="str">
        <x:f>'Evaluation Plan'!H147</x:f>
        <x:v>NO-OP; neither green pen nor yellow pen is present</x:v>
      </x:c>
      <x:c r="I147" s="44" t="str"/>
      <x:c r="J147" s="48" t="str">
        <x:f>'Evaluation Plan'!J147</x:f>
        <x:v>No valid candidate category / no movement</x:v>
      </x:c>
      <x:c r="K147" s="45" t="str">
        <x:f>'Evaluation Plan'!K147</x:f>
        <x:v>RD-NOVALID16</x:v>
      </x:c>
      <x:c r="L147" s="45" t="str">
        <x:f>'Evaluation Plan'!L147</x:f>
        <x:v>furthest</x:v>
      </x:c>
      <x:c r="M147" s="45" t="str">
        <x:f>'Evaluation Plan'!M147</x:f>
        <x:v>pen</x:v>
      </x:c>
      <x:c r="N147" s="45" t="n">
        <x:f>'Evaluation Plan'!N147</x:f>
        <x:v>2</x:v>
      </x:c>
      <x:c r="O147" s="45" t="n">
        <x:f>'Evaluation Plan'!O147</x:f>
        <x:v>0</x:v>
      </x:c>
      <x:c r="P147" s="45" t="str">
        <x:f>'Evaluation Plan'!P147</x:f>
        <x:v>Empty</x:v>
      </x:c>
      <x:c r="Q147" s="44" t="str">
        <x:f>'Evaluation Plan'!Q147</x:f>
        <x:v>Queried candidate pair absent; bowl remains empty</x:v>
      </x:c>
      <x:c r="R147" s="45" t="n">
        <x:f>'Evaluation Plan'!R147</x:f>
        <x:v>6</x:v>
      </x:c>
      <x:c r="S147" s="44" t="str">
        <x:f>'Evaluation Plan'!S147</x:f>
        <x:v>Build the listed candidate-absent scene and confirm the bowl is empty.</x:v>
      </x:c>
      <x:c r="T147" s="44" t="str">
        <x:f>'Evaluation Plan'!T147</x:f>
        <x:v>The instruction uses normal active-trial wording. Success requires no grasp or object displacement.</x:v>
      </x:c>
      <x:c r="U147" s="44" t="n">
        <x:f>'Evaluation Plan'!U147</x:f>
        <x:v>0</x:v>
      </x:c>
    </x:row>
    <x:row r="148" ht="51" customHeight="1">
      <x:c r="A148" s="41" t="str">
        <x:v>Not collected</x:v>
      </x:c>
      <x:c r="B148" s="42" t="n">
        <x:f>'Evaluation Plan'!B148</x:f>
        <x:v>146</x:v>
      </x:c>
      <x:c r="C148" s="41" t="str">
        <x:f>'Evaluation Plan'!C148</x:f>
        <x:v>Put the crushed soda can between the green pencil sharpener and the yellow pen in the bowl.</x:v>
      </x:c>
      <x:c r="D148" s="41" t="str">
        <x:f>'Evaluation Plan'!D148</x:f>
        <x:v>Reference A: green pencil sharpener at 14 cm to robot-left of table centre; Reference B: yellow pen at 14 cm to robot-right of table centre; airplane toy with propellers: at the far robot-left corner, outside the distance comparison; Absent candidate pair: crushed Coke can and crushed Pepsi can are not in the scene; Bowl: empty</x:v>
      </x:c>
      <x:c r="E148" s="42" t="str">
        <x:f>'Evaluation Plan'!E148</x:f>
      </x:c>
      <x:c r="F148" s="42" t="str">
        <x:f>'Evaluation Plan'!F148</x:f>
        <x:v>432</x:v>
      </x:c>
      <x:c r="G148" s="41" t="str">
        <x:f>'Evaluation Plan'!G148</x:f>
        <x:v>The relation × candidate-category prompt cell is explicitly trained. The evaluation scene deliberately removes both candidate identities; the abstention outcome is not demonstrated in training.</x:v>
      </x:c>
      <x:c r="H148" s="41" t="str">
        <x:f>'Evaluation Plan'!H148</x:f>
        <x:v>NO-OP; neither crushed Coke can nor crushed Pepsi can is present</x:v>
      </x:c>
      <x:c r="I148" s="41" t="str"/>
      <x:c r="J148" s="48" t="str">
        <x:f>'Evaluation Plan'!J148</x:f>
        <x:v>No valid candidate category / no movement</x:v>
      </x:c>
      <x:c r="K148" s="42" t="str">
        <x:f>'Evaluation Plan'!K148</x:f>
        <x:v>RD-NOVALID17</x:v>
      </x:c>
      <x:c r="L148" s="42" t="str">
        <x:f>'Evaluation Plan'!L148</x:f>
        <x:v>between</x:v>
      </x:c>
      <x:c r="M148" s="42" t="str">
        <x:f>'Evaluation Plan'!M148</x:f>
        <x:v>crushed soda can</x:v>
      </x:c>
      <x:c r="N148" s="42" t="n">
        <x:f>'Evaluation Plan'!N148</x:f>
        <x:v>3</x:v>
      </x:c>
      <x:c r="O148" s="42" t="n">
        <x:f>'Evaluation Plan'!O148</x:f>
        <x:v>0</x:v>
      </x:c>
      <x:c r="P148" s="42" t="str">
        <x:f>'Evaluation Plan'!P148</x:f>
        <x:v>Empty</x:v>
      </x:c>
      <x:c r="Q148" s="41" t="str">
        <x:f>'Evaluation Plan'!Q148</x:f>
        <x:v>Queried candidate pair absent; bowl remains empty</x:v>
      </x:c>
      <x:c r="R148" s="42" t="n">
        <x:f>'Evaluation Plan'!R148</x:f>
        <x:v>6</x:v>
      </x:c>
      <x:c r="S148" s="41" t="str">
        <x:f>'Evaluation Plan'!S148</x:f>
        <x:v>Build the listed candidate-absent scene and confirm the bowl is empty.</x:v>
      </x:c>
      <x:c r="T148" s="41" t="str">
        <x:f>'Evaluation Plan'!T148</x:f>
        <x:v>The instruction uses normal active-trial wording. Success requires no grasp or object displacement.</x:v>
      </x:c>
      <x:c r="U148" s="41" t="n">
        <x:f>'Evaluation Plan'!U148</x:f>
        <x:v>0</x:v>
      </x:c>
    </x:row>
    <x:row r="149" ht="51" customHeight="1">
      <x:c r="A149" s="44" t="str">
        <x:v>Not collected</x:v>
      </x:c>
      <x:c r="B149" s="45" t="n">
        <x:f>'Evaluation Plan'!B149</x:f>
        <x:v>147</x:v>
      </x:c>
      <x:c r="C149" s="44" t="str">
        <x:f>'Evaluation Plan'!C149</x:f>
        <x:v>Pick up the pencil sharpener furthest from the airplane toy without propellers and place it in the bowl.</x:v>
      </x:c>
      <x:c r="D149" s="44" t="str">
        <x:f>'Evaluation Plan'!D149</x:f>
        <x:v>Reference: airplane toy without propellers at table centre; green pen: at the far robot-left corner, outside the distance comparison; yellow pen: at the far robot-right corner, outside the distance comparison; airplane toy with propellers: near the back edge, outside the distance comparison; Absent candidate pair: green pencil sharpener and red pencil sharpener are not in the scene; Bowl: empty</x:v>
      </x:c>
      <x:c r="E149" s="45" t="str">
        <x:f>'Evaluation Plan'!E149</x:f>
      </x:c>
      <x:c r="F149" s="45" t="str">
        <x:f>'Evaluation Plan'!F149</x:f>
        <x:v>466</x:v>
      </x:c>
      <x:c r="G149" s="44" t="str">
        <x:f>'Evaluation Plan'!G149</x:f>
        <x:v>The relation × candidate-category prompt cell is explicitly trained. The evaluation scene deliberately removes both candidate identities; the abstention outcome is not demonstrated in training.</x:v>
      </x:c>
      <x:c r="H149" s="44" t="str">
        <x:f>'Evaluation Plan'!H149</x:f>
        <x:v>NO-OP; neither green pencil sharpener nor red pencil sharpener is present</x:v>
      </x:c>
      <x:c r="I149" s="44" t="str"/>
      <x:c r="J149" s="48" t="str">
        <x:f>'Evaluation Plan'!J149</x:f>
        <x:v>No valid candidate category / no movement</x:v>
      </x:c>
      <x:c r="K149" s="45" t="str">
        <x:f>'Evaluation Plan'!K149</x:f>
        <x:v>RD-NOVALID18</x:v>
      </x:c>
      <x:c r="L149" s="45" t="str">
        <x:f>'Evaluation Plan'!L149</x:f>
        <x:v>furthest</x:v>
      </x:c>
      <x:c r="M149" s="45" t="str">
        <x:f>'Evaluation Plan'!M149</x:f>
        <x:v>pencil sharpener</x:v>
      </x:c>
      <x:c r="N149" s="45" t="n">
        <x:f>'Evaluation Plan'!N149</x:f>
        <x:v>4</x:v>
      </x:c>
      <x:c r="O149" s="45" t="n">
        <x:f>'Evaluation Plan'!O149</x:f>
        <x:v>0</x:v>
      </x:c>
      <x:c r="P149" s="45" t="str">
        <x:f>'Evaluation Plan'!P149</x:f>
        <x:v>Empty</x:v>
      </x:c>
      <x:c r="Q149" s="44" t="str">
        <x:f>'Evaluation Plan'!Q149</x:f>
        <x:v>Queried candidate pair absent; bowl remains empty</x:v>
      </x:c>
      <x:c r="R149" s="45" t="n">
        <x:f>'Evaluation Plan'!R149</x:f>
        <x:v>6</x:v>
      </x:c>
      <x:c r="S149" s="44" t="str">
        <x:f>'Evaluation Plan'!S149</x:f>
        <x:v>Build the listed candidate-absent scene and confirm the bowl is empty.</x:v>
      </x:c>
      <x:c r="T149" s="44" t="str">
        <x:f>'Evaluation Plan'!T149</x:f>
        <x:v>The instruction uses normal active-trial wording. Success requires no grasp or object displacement.</x:v>
      </x:c>
      <x:c r="U149" s="44" t="n">
        <x:f>'Evaluation Plan'!U149</x:f>
        <x:v>0</x:v>
      </x:c>
    </x:row>
    <x:row r="150" ht="51" customHeight="1">
      <x:c r="A150" s="41" t="str">
        <x:v>Not collected</x:v>
      </x:c>
      <x:c r="B150" s="42" t="n">
        <x:f>'Evaluation Plan'!B150</x:f>
        <x:v>148</x:v>
      </x:c>
      <x:c r="C150" s="41" t="str">
        <x:f>'Evaluation Plan'!C150</x:f>
        <x:v>Move the airplane toy between the green pen and the crushed Coke can into the bowl.</x:v>
      </x:c>
      <x:c r="D150" s="41" t="str">
        <x:f>'Evaluation Plan'!D150</x:f>
        <x:v>Reference A: green pen at 14 cm to robot-left of table centre; Reference B: crushed Coke can at 14 cm to robot-right of table centre; Absent candidate pair: airplane toy with propellers and airplane toy without propellers are not in the scene; Bowl: empty</x:v>
      </x:c>
      <x:c r="E150" s="42" t="str">
        <x:f>'Evaluation Plan'!E150</x:f>
      </x:c>
      <x:c r="F150" s="42" t="str">
        <x:f>'Evaluation Plan'!F150</x:f>
        <x:v>582</x:v>
      </x:c>
      <x:c r="G150" s="41" t="str">
        <x:f>'Evaluation Plan'!G150</x:f>
        <x:v>The relation × candidate-category prompt cell is explicitly trained. The evaluation scene deliberately removes both candidate identities; the abstention outcome is not demonstrated in training.</x:v>
      </x:c>
      <x:c r="H150" s="41" t="str">
        <x:f>'Evaluation Plan'!H150</x:f>
        <x:v>NO-OP; neither airplane toy with propellers nor airplane toy without propellers is present</x:v>
      </x:c>
      <x:c r="I150" s="41" t="str"/>
      <x:c r="J150" s="48" t="str">
        <x:f>'Evaluation Plan'!J150</x:f>
        <x:v>No valid candidate category / no movement</x:v>
      </x:c>
      <x:c r="K150" s="42" t="str">
        <x:f>'Evaluation Plan'!K150</x:f>
        <x:v>RD-NOVALID19</x:v>
      </x:c>
      <x:c r="L150" s="42" t="str">
        <x:f>'Evaluation Plan'!L150</x:f>
        <x:v>between</x:v>
      </x:c>
      <x:c r="M150" s="42" t="str">
        <x:f>'Evaluation Plan'!M150</x:f>
        <x:v>airplane toy</x:v>
      </x:c>
      <x:c r="N150" s="42" t="n">
        <x:f>'Evaluation Plan'!N150</x:f>
        <x:v>2</x:v>
      </x:c>
      <x:c r="O150" s="42" t="n">
        <x:f>'Evaluation Plan'!O150</x:f>
        <x:v>0</x:v>
      </x:c>
      <x:c r="P150" s="42" t="str">
        <x:f>'Evaluation Plan'!P150</x:f>
        <x:v>Empty</x:v>
      </x:c>
      <x:c r="Q150" s="41" t="str">
        <x:f>'Evaluation Plan'!Q150</x:f>
        <x:v>Queried candidate pair absent; bowl remains empty</x:v>
      </x:c>
      <x:c r="R150" s="42" t="n">
        <x:f>'Evaluation Plan'!R150</x:f>
        <x:v>6</x:v>
      </x:c>
      <x:c r="S150" s="41" t="str">
        <x:f>'Evaluation Plan'!S150</x:f>
        <x:v>Build the listed candidate-absent scene and confirm the bowl is empty.</x:v>
      </x:c>
      <x:c r="T150" s="41" t="str">
        <x:f>'Evaluation Plan'!T150</x:f>
        <x:v>The instruction uses normal active-trial wording. Success requires no grasp or object displacement.</x:v>
      </x:c>
      <x:c r="U150" s="41" t="n">
        <x:f>'Evaluation Plan'!U150</x:f>
        <x:v>0</x:v>
      </x:c>
    </x:row>
    <x:row r="151" ht="51" customHeight="1">
      <x:c r="A151" s="44" t="str">
        <x:v>Not collected</x:v>
      </x:c>
      <x:c r="B151" s="45" t="n">
        <x:f>'Evaluation Plan'!B151</x:f>
        <x:v>149</x:v>
      </x:c>
      <x:c r="C151" s="44" t="str">
        <x:f>'Evaluation Plan'!C151</x:f>
        <x:v>Pick up the pen closest to the green pencil sharpener and place it in the bowl.</x:v>
      </x:c>
      <x:c r="D151" s="44" t="str">
        <x:f>'Evaluation Plan'!D151</x:f>
        <x:v>Reference: green pencil sharpener at table centre; airplane toy without propellers: at the far robot-left corner, outside the distance comparison; crushed Coke can: at the far robot-right corner, outside the distance comparison; Absent candidate pair: green pen and yellow pen are not in the scene; Bowl: empty</x:v>
      </x:c>
      <x:c r="E151" s="45" t="n">
        <x:f>'Evaluation Plan'!E151</x:f>
        <x:v>0</x:v>
      </x:c>
      <x:c r="F151" s="45" t="str">
        <x:f>'Evaluation Plan'!F151</x:f>
        <x:v>501</x:v>
      </x:c>
      <x:c r="G151" s="44" t="str">
        <x:f>'Evaluation Plan'!G151</x:f>
        <x:v>The relation × candidate-category prompt cell is explicitly trained. The evaluation scene deliberately removes both candidate identities; the abstention outcome is not demonstrated in training.</x:v>
      </x:c>
      <x:c r="H151" s="44" t="str">
        <x:f>'Evaluation Plan'!H151</x:f>
        <x:v>NO-OP; neither green pen nor yellow pen is present</x:v>
      </x:c>
      <x:c r="I151" s="44" t="str"/>
      <x:c r="J151" s="48" t="str">
        <x:f>'Evaluation Plan'!J151</x:f>
        <x:v>No valid candidate category / no movement</x:v>
      </x:c>
      <x:c r="K151" s="45" t="str">
        <x:f>'Evaluation Plan'!K151</x:f>
        <x:v>RD-NOVALID20</x:v>
      </x:c>
      <x:c r="L151" s="45" t="str">
        <x:f>'Evaluation Plan'!L151</x:f>
        <x:v>closest</x:v>
      </x:c>
      <x:c r="M151" s="45" t="str">
        <x:f>'Evaluation Plan'!M151</x:f>
        <x:v>pen</x:v>
      </x:c>
      <x:c r="N151" s="45" t="n">
        <x:f>'Evaluation Plan'!N151</x:f>
        <x:v>3</x:v>
      </x:c>
      <x:c r="O151" s="45" t="n">
        <x:f>'Evaluation Plan'!O151</x:f>
        <x:v>0</x:v>
      </x:c>
      <x:c r="P151" s="45" t="str">
        <x:f>'Evaluation Plan'!P151</x:f>
        <x:v>Empty</x:v>
      </x:c>
      <x:c r="Q151" s="44" t="str">
        <x:f>'Evaluation Plan'!Q151</x:f>
        <x:v>Queried candidate pair absent; bowl remains empty</x:v>
      </x:c>
      <x:c r="R151" s="45" t="n">
        <x:f>'Evaluation Plan'!R151</x:f>
        <x:v>6</x:v>
      </x:c>
      <x:c r="S151" s="44" t="str">
        <x:f>'Evaluation Plan'!S151</x:f>
        <x:v>Build the listed candidate-absent scene and confirm the bowl is empty.</x:v>
      </x:c>
      <x:c r="T151" s="44" t="str">
        <x:f>'Evaluation Plan'!T151</x:f>
        <x:v>The instruction uses normal active-trial wording. Success requires no grasp or object displacement.</x:v>
      </x:c>
      <x:c r="U151" s="44" t="n">
        <x:f>'Evaluation Plan'!U151</x:f>
        <x:v>0</x:v>
      </x:c>
    </x:row>
  </x:sheetData>
  <x:conditionalFormatting sqref="A2:R131">
    <x:cfRule type="expression" dxfId="9" priority="1">
      <x:formula>$A2="Success"</x:formula>
    </x:cfRule>
    <x:cfRule type="expression" dxfId="10" priority="2">
      <x:formula>$A2="Failure"</x:formula>
    </x:cfRule>
  </x:conditionalFormatting>
  <x:conditionalFormatting sqref="H2:H131">
    <x:cfRule type="containsText" dxfId="11" priority="3" operator="containsText" text="Concept/compositional transfer"/>
    <x:cfRule type="containsText" dxfId="12" priority="4" operator="containsText" text="Matched manipulation control"/>
    <x:cfRule type="containsText" dxfId="13" priority="5" operator="containsText" text="Block"/>
    <x:cfRule type="containsText" dxfId="14" priority="6" operator="containsText" text="Language robustness"/>
    <x:cfRule type="containsText" dxfId="15" priority="7" operator="containsText" text="Seen-concept between baseline"/>
  </x:conditionalFormatting>
  <x:conditionalFormatting sqref="A2:U151">
    <x:cfRule type="expression" dxfId="32" priority="8">
      <x:formula>$A2="Success"</x:formula>
    </x:cfRule>
    <x:cfRule type="expression" dxfId="33"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tableParts count="1">
    <x:tablePart xmlns:r="http://schemas.openxmlformats.org/officeDocument/2006/relationships" r:id="R6e21ed87abfb4f2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31.670000076293945" hidden="0" customWidth="1"/>
    <x:col min="4" max="4" width="52.779998779296875" hidden="0" customWidth="1"/>
    <x:col min="5" max="5" width="9.4399995803833" hidden="0" customWidth="1"/>
    <x:col min="6" max="6" width="12.779999732971191" hidden="0" customWidth="1"/>
    <x:col min="7" max="7" width="40.560001373291016" hidden="0" customWidth="1"/>
    <x:col min="8" max="8" width="25.559999465942383" hidden="0" customWidth="1"/>
    <x:col min="9" max="9" width="28.889999389648438" hidden="0" customWidth="1"/>
    <x:col min="10" max="10" width="24.440000534057617" hidden="0" customWidth="1"/>
    <x:col min="11" max="11" width="11.670000076293945" hidden="0" customWidth="1"/>
    <x:col min="12" max="12" width="12.779999732971191" hidden="0" customWidth="1"/>
    <x:col min="13" max="13" width="18.329999923706055" hidden="0" customWidth="1"/>
    <x:col min="14" max="14" width="8.329999923706055" hidden="0" customWidth="1"/>
    <x:col min="15" max="15" width="10" hidden="0" customWidth="1"/>
    <x:col min="16" max="16" width="8.890000343322754" hidden="0" customWidth="1"/>
    <x:col min="17" max="17" width="32.220001220703125" hidden="0" customWidth="1"/>
    <x:col min="18" max="18" width="9.4399995803833" hidden="0" customWidth="1"/>
    <x:col min="19" max="19" width="28.329999923706055" hidden="0" customWidth="1"/>
    <x:col min="20" max="20" width="38.33000183105469" hidden="0" customWidth="1"/>
    <x:col min="21" max="21" width="20.559999465942383" hidden="0" customWidth="1"/>
  </x:cols>
  <x:sheetData>
    <x:row r="1" ht="30" customHeight="1">
      <x:c r="A1" s="30" t="str">
        <x:v>Status</x:v>
      </x:c>
      <x:c r="B1" s="30" t="str">
        <x:v>Episode</x:v>
      </x:c>
      <x:c r="C1" s="30" t="str">
        <x:v>Prompt</x:v>
      </x:c>
      <x:c r="D1" s="30" t="str">
        <x:v>Objects and Relative Positions</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Query Concept</x:v>
      </x:c>
      <x:c r="M1" s="30" t="str">
        <x:v>Candidate Category</x:v>
      </x:c>
      <x:c r="N1" s="30" t="str">
        <x:v>Object Count</x:v>
      </x:c>
      <x:c r="O1" s="30" t="str">
        <x:v>Valid Candidate Count</x:v>
      </x:c>
      <x:c r="P1" s="30" t="str">
        <x:v>Bowl Start</x:v>
      </x:c>
      <x:c r="Q1" s="30" t="str">
        <x:v>Comparison / Subtype</x:v>
      </x:c>
      <x:c r="R1" s="30" t="str">
        <x:v>Collection Block</x:v>
      </x:c>
      <x:c r="S1" s="30" t="str">
        <x:v>Setup Change from Previous</x:v>
      </x:c>
      <x:c r="T1" s="30" t="str">
        <x:v>Design Note</x:v>
      </x:c>
      <x:c r="U1" s="30" t="str">
        <x:v>Reference Media Filename</x:v>
      </x:c>
    </x:row>
    <x:row r="2" ht="51" customHeight="1">
      <x:c r="A2" s="41" t="str">
        <x:v>Not collected</x:v>
      </x:c>
      <x:c r="B2" s="42" t="n">
        <x:f>'Evaluation Plan'!B2</x:f>
        <x:v>0</x:v>
      </x:c>
      <x:c r="C2" s="41" t="str">
        <x:f>'Evaluation Plan'!C2</x:f>
        <x:v>Move the crushed soda can lying between the green pencil sharpener and the green pen into the bowl.</x:v>
      </x:c>
      <x:c r="D2" s="41" t="str">
        <x:f>'Evaluation Plan'!D2</x:f>
        <x:v>Reference A: green pencil sharpener at 14 cm to robot-left of table centre; Reference B: green pen at 14 cm to robot-right of table centre; crushed Coke can: at table centre on the straight Reference A–B segment; crushed Pepsi can: 12 cm toward the robot from table centre, off the Reference A–B segment; Bowl: empty</x:v>
      </x:c>
      <x:c r="E2" s="42" t="str">
        <x:f>'Evaluation Plan'!E2</x:f>
      </x:c>
      <x:c r="F2" s="42" t="str">
        <x:f>'Evaluation Plan'!F2</x:f>
        <x:v>430</x:v>
      </x:c>
      <x:c r="G2" s="41" t="str">
        <x:f>'Evaluation Plan'!G2</x:f>
        <x:v>Exact manifest cell: prompt, relation × candidate-category combination, target identity, and object membership are explicitly represented in training; physical positions are manually recreated with a clear margin.</x:v>
      </x:c>
      <x:c r="H2" s="41" t="str">
        <x:f>'Evaluation Plan'!H2</x:f>
        <x:v>crushed Coke can</x:v>
      </x:c>
      <x:c r="I2" s="41" t="str"/>
      <x:c r="J2" s="43" t="str">
        <x:f>'Evaluation Plan'!J2</x:f>
        <x:v>In-distribution concept baseline</x:v>
      </x:c>
      <x:c r="K2" s="42" t="str">
        <x:f>'Evaluation Plan'!K2</x:f>
        <x:v>RD-ID01</x:v>
      </x:c>
      <x:c r="L2" s="42" t="str">
        <x:f>'Evaluation Plan'!L2</x:f>
        <x:v>between</x:v>
      </x:c>
      <x:c r="M2" s="42" t="str">
        <x:f>'Evaluation Plan'!M2</x:f>
        <x:v>crushed soda can</x:v>
      </x:c>
      <x:c r="N2" s="42" t="n">
        <x:f>'Evaluation Plan'!N2</x:f>
        <x:v>4</x:v>
      </x:c>
      <x:c r="O2" s="42" t="n">
        <x:f>'Evaluation Plan'!O2</x:f>
        <x:v>1</x:v>
      </x:c>
      <x:c r="P2" s="42" t="str">
        <x:f>'Evaluation Plan'!P2</x:f>
        <x:v>Empty</x:v>
      </x:c>
      <x:c r="Q2" s="41" t="str">
        <x:f>'Evaluation Plan'!Q2</x:f>
        <x:v>Exact training-supported relation × candidate-category baseline</x:v>
      </x:c>
      <x:c r="R2" s="42" t="n">
        <x:f>'Evaluation Plan'!R2</x:f>
        <x:v>1</x:v>
      </x:c>
      <x:c r="S2" s="41" t="str">
        <x:f>'Evaluation Plan'!S2</x:f>
        <x:v>Recreate the listed four-object scene with the bowl empty.</x:v>
      </x:c>
      <x:c r="T2" s="41" t="str">
        <x:f>'Evaluation Plan'!T2</x:f>
        <x:v>The relation, candidate category, target identity, and object membership occur together in the cited training episode.</x:v>
      </x:c>
      <x:c r="U2" s="41" t="n">
        <x:f>'Evaluation Plan'!U2</x:f>
        <x:v>0</x:v>
      </x:c>
    </x:row>
    <x:row r="3" ht="51" customHeight="1">
      <x:c r="A3" s="44" t="str">
        <x:v>Not collected</x:v>
      </x:c>
      <x:c r="B3" s="45" t="n">
        <x:f>'Evaluation Plan'!B3</x:f>
        <x:v>1</x:v>
      </x:c>
      <x:c r="C3" s="44" t="str">
        <x:f>'Evaluation Plan'!C3</x:f>
        <x:v>Put the crushed soda can between the red pencil sharpener and the airplane toy without propellers in the bowl.</x:v>
      </x:c>
      <x:c r="D3" s="44" t="str">
        <x:f>'Evaluation Plan'!D3</x:f>
        <x:v>Reference A: red pencil sharpener at 14 cm toward the robot from table centre; Reference B: airplane toy without propellers at 14 cm away from the robot from table centre; crushed Pepsi can: at table centre on the straight Reference A–B segment; crushed Coke can: 12 cm to robot-right of table centre, off the Reference A–B segment; Bowl: empty</x:v>
      </x:c>
      <x:c r="E3" s="45" t="str">
        <x:f>'Evaluation Plan'!E3</x:f>
      </x:c>
      <x:c r="F3" s="45" t="str">
        <x:f>'Evaluation Plan'!F3</x:f>
        <x:v>437</x:v>
      </x:c>
      <x:c r="G3" s="44" t="str">
        <x:f>'Evaluation Plan'!G3</x:f>
        <x:v>Exact manifest cell: prompt, relation × candidate-category combination, target identity, and object membership are explicitly represented in training; physical positions are manually recreated with a clear margin.</x:v>
      </x:c>
      <x:c r="H3" s="44" t="str">
        <x:f>'Evaluation Plan'!H3</x:f>
        <x:v>crushed Pepsi can</x:v>
      </x:c>
      <x:c r="I3" s="44" t="str"/>
      <x:c r="J3" s="43" t="str">
        <x:f>'Evaluation Plan'!J3</x:f>
        <x:v>In-distribution concept baseline</x:v>
      </x:c>
      <x:c r="K3" s="45" t="str">
        <x:f>'Evaluation Plan'!K3</x:f>
        <x:v>RD-ID02</x:v>
      </x:c>
      <x:c r="L3" s="45" t="str">
        <x:f>'Evaluation Plan'!L3</x:f>
        <x:v>between</x:v>
      </x:c>
      <x:c r="M3" s="45" t="str">
        <x:f>'Evaluation Plan'!M3</x:f>
        <x:v>crushed soda can</x:v>
      </x:c>
      <x:c r="N3" s="45" t="n">
        <x:f>'Evaluation Plan'!N3</x:f>
        <x:v>4</x:v>
      </x:c>
      <x:c r="O3" s="45" t="n">
        <x:f>'Evaluation Plan'!O3</x:f>
        <x:v>1</x:v>
      </x:c>
      <x:c r="P3" s="45" t="str">
        <x:f>'Evaluation Plan'!P3</x:f>
        <x:v>Empty</x:v>
      </x:c>
      <x:c r="Q3" s="44" t="str">
        <x:f>'Evaluation Plan'!Q3</x:f>
        <x:v>Exact training-supported relation × candidate-category baseline</x:v>
      </x:c>
      <x:c r="R3" s="45" t="n">
        <x:f>'Evaluation Plan'!R3</x:f>
        <x:v>1</x:v>
      </x:c>
      <x:c r="S3" s="44" t="str">
        <x:f>'Evaluation Plan'!S3</x:f>
        <x:v>Recreate the listed four-object scene with the bowl empty.</x:v>
      </x:c>
      <x:c r="T3" s="44" t="str">
        <x:f>'Evaluation Plan'!T3</x:f>
        <x:v>The relation, candidate category, target identity, and object membership occur together in the cited training episode.</x:v>
      </x:c>
      <x:c r="U3" s="44" t="n">
        <x:f>'Evaluation Plan'!U3</x:f>
        <x:v>0</x:v>
      </x:c>
    </x:row>
    <x:row r="4" ht="51" customHeight="1">
      <x:c r="A4" s="41" t="str">
        <x:v>Not collected</x:v>
      </x:c>
      <x:c r="B4" s="42" t="n">
        <x:f>'Evaluation Plan'!B4</x:f>
        <x:v>2</x:v>
      </x:c>
      <x:c r="C4" s="41" t="str">
        <x:f>'Evaluation Plan'!C4</x:f>
        <x:v>Pick up the crushed soda can positioned between the airplane toy with propellers and the green pencil sharpener, then place it in the bowl.</x:v>
      </x:c>
      <x:c r="D4" s="41" t="str">
        <x:f>'Evaluation Plan'!D4</x:f>
        <x:v>Reference A: airplane toy with propellers at 14 cm toward robot-left from table centre; Reference B: green pencil sharpener at 14 cm away toward robot-right from table centre; crushed Coke can: at table centre on the straight Reference A–B segment; crushed Pepsi can: 12 cm toward robot-right from table centre, off the Reference A–B segment; Bowl: empty</x:v>
      </x:c>
      <x:c r="E4" s="42" t="str">
        <x:f>'Evaluation Plan'!E4</x:f>
      </x:c>
      <x:c r="F4" s="42" t="str">
        <x:f>'Evaluation Plan'!F4</x:f>
        <x:v>431</x:v>
      </x:c>
      <x:c r="G4" s="41" t="str">
        <x:f>'Evaluation Plan'!G4</x:f>
        <x:v>Exact manifest cell: prompt, relation × candidate-category combination, target identity, and object membership are explicitly represented in training; physical positions are manually recreated with a clear margin.</x:v>
      </x:c>
      <x:c r="H4" s="41" t="str">
        <x:f>'Evaluation Plan'!H4</x:f>
        <x:v>crushed Coke can</x:v>
      </x:c>
      <x:c r="I4" s="41" t="str"/>
      <x:c r="J4" s="43" t="str">
        <x:f>'Evaluation Plan'!J4</x:f>
        <x:v>In-distribution concept baseline</x:v>
      </x:c>
      <x:c r="K4" s="42" t="str">
        <x:f>'Evaluation Plan'!K4</x:f>
        <x:v>RD-ID03</x:v>
      </x:c>
      <x:c r="L4" s="42" t="str">
        <x:f>'Evaluation Plan'!L4</x:f>
        <x:v>between</x:v>
      </x:c>
      <x:c r="M4" s="42" t="str">
        <x:f>'Evaluation Plan'!M4</x:f>
        <x:v>crushed soda can</x:v>
      </x:c>
      <x:c r="N4" s="42" t="n">
        <x:f>'Evaluation Plan'!N4</x:f>
        <x:v>4</x:v>
      </x:c>
      <x:c r="O4" s="42" t="n">
        <x:f>'Evaluation Plan'!O4</x:f>
        <x:v>1</x:v>
      </x:c>
      <x:c r="P4" s="42" t="str">
        <x:f>'Evaluation Plan'!P4</x:f>
        <x:v>Empty</x:v>
      </x:c>
      <x:c r="Q4" s="41" t="str">
        <x:f>'Evaluation Plan'!Q4</x:f>
        <x:v>Exact training-supported relation × candidate-category baseline</x:v>
      </x:c>
      <x:c r="R4" s="42" t="n">
        <x:f>'Evaluation Plan'!R4</x:f>
        <x:v>1</x:v>
      </x:c>
      <x:c r="S4" s="41" t="str">
        <x:f>'Evaluation Plan'!S4</x:f>
        <x:v>Recreate the listed four-object scene with the bowl empty.</x:v>
      </x:c>
      <x:c r="T4" s="41" t="str">
        <x:f>'Evaluation Plan'!T4</x:f>
        <x:v>The relation, candidate category, target identity, and object membership occur together in the cited training episode.</x:v>
      </x:c>
      <x:c r="U4" s="41" t="n">
        <x:f>'Evaluation Plan'!U4</x:f>
        <x:v>0</x:v>
      </x:c>
    </x:row>
    <x:row r="5" ht="51" customHeight="1">
      <x:c r="A5" s="44" t="str">
        <x:v>Not collected</x:v>
      </x:c>
      <x:c r="B5" s="45" t="n">
        <x:f>'Evaluation Plan'!B5</x:f>
        <x:v>3</x:v>
      </x:c>
      <x:c r="C5" s="44" t="str">
        <x:f>'Evaluation Plan'!C5</x:f>
        <x:v>Pick up the crushed soda can furthest from the yellow pen and place it in the bowl.</x:v>
      </x:c>
      <x:c r="D5" s="44" t="str">
        <x:f>'Evaluation Plan'!D5</x:f>
        <x:v>Reference: yellow pen at table centre; crushed Pepsi can: 10 cm away from the robot from the reference; crushed Coke can: 24 cm toward the robot from the reference; airplane toy with propellers: at the far robot-left corner, outside the distance comparison; Bowl: empty</x:v>
      </x:c>
      <x:c r="E5" s="45" t="str">
        <x:f>'Evaluation Plan'!E5</x:f>
      </x:c>
      <x:c r="F5" s="45" t="str">
        <x:f>'Evaluation Plan'!F5</x:f>
        <x:v>416</x:v>
      </x:c>
      <x:c r="G5" s="44" t="str">
        <x:f>'Evaluation Plan'!G5</x:f>
        <x:v>Exact manifest cell: prompt, relation × candidate-category combination, target identity, and object membership are explicitly represented in training; physical positions are manually recreated with a clear margin.</x:v>
      </x:c>
      <x:c r="H5" s="44" t="str">
        <x:f>'Evaluation Plan'!H5</x:f>
        <x:v>crushed Coke can</x:v>
      </x:c>
      <x:c r="I5" s="44" t="str"/>
      <x:c r="J5" s="43" t="str">
        <x:f>'Evaluation Plan'!J5</x:f>
        <x:v>In-distribution concept baseline</x:v>
      </x:c>
      <x:c r="K5" s="45" t="str">
        <x:f>'Evaluation Plan'!K5</x:f>
        <x:v>RD-ID04</x:v>
      </x:c>
      <x:c r="L5" s="45" t="str">
        <x:f>'Evaluation Plan'!L5</x:f>
        <x:v>furthest</x:v>
      </x:c>
      <x:c r="M5" s="45" t="str">
        <x:f>'Evaluation Plan'!M5</x:f>
        <x:v>crushed soda can</x:v>
      </x:c>
      <x:c r="N5" s="45" t="n">
        <x:f>'Evaluation Plan'!N5</x:f>
        <x:v>4</x:v>
      </x:c>
      <x:c r="O5" s="45" t="n">
        <x:f>'Evaluation Plan'!O5</x:f>
        <x:v>1</x:v>
      </x:c>
      <x:c r="P5" s="45" t="str">
        <x:f>'Evaluation Plan'!P5</x:f>
        <x:v>Empty</x:v>
      </x:c>
      <x:c r="Q5" s="44" t="str">
        <x:f>'Evaluation Plan'!Q5</x:f>
        <x:v>Exact training-supported relation × candidate-category baseline</x:v>
      </x:c>
      <x:c r="R5" s="45" t="n">
        <x:f>'Evaluation Plan'!R5</x:f>
        <x:v>1</x:v>
      </x:c>
      <x:c r="S5" s="44" t="str">
        <x:f>'Evaluation Plan'!S5</x:f>
        <x:v>Recreate the listed four-object scene with the bowl empty.</x:v>
      </x:c>
      <x:c r="T5" s="44" t="str">
        <x:f>'Evaluation Plan'!T5</x:f>
        <x:v>The relation, candidate category, target identity, and object membership occur together in the cited training episode.</x:v>
      </x:c>
      <x:c r="U5" s="44" t="n">
        <x:f>'Evaluation Plan'!U5</x:f>
        <x:v>0</x:v>
      </x:c>
    </x:row>
    <x:row r="6" ht="51" customHeight="1">
      <x:c r="A6" s="41" t="str">
        <x:v>Not collected</x:v>
      </x:c>
      <x:c r="B6" s="42" t="n">
        <x:f>'Evaluation Plan'!B6</x:f>
        <x:v>4</x:v>
      </x:c>
      <x:c r="C6" s="41" t="str">
        <x:f>'Evaluation Plan'!C6</x:f>
        <x:v>Pick up the crushed soda can furthest from the airplane toy without propellers and place it in the bowl.</x:v>
      </x:c>
      <x:c r="D6" s="41" t="str">
        <x:f>'Evaluation Plan'!D6</x:f>
        <x:v>Reference: airplane toy without propellers at table centre; crushed Pepsi can: 10 cm toward robot-left from the reference; crushed Coke can: 24 cm away toward robot-right from the reference; green pencil sharpener: at the far robot-left corner, outside the distance comparison; Bowl: empty</x:v>
      </x:c>
      <x:c r="E6" s="42" t="str">
        <x:f>'Evaluation Plan'!E6</x:f>
      </x:c>
      <x:c r="F6" s="42" t="str">
        <x:f>'Evaluation Plan'!F6</x:f>
        <x:v>418</x:v>
      </x:c>
      <x:c r="G6" s="41" t="str">
        <x:f>'Evaluation Plan'!G6</x:f>
        <x:v>Exact manifest cell: prompt, relation × candidate-category combination, target identity, and object membership are explicitly represented in training; physical positions are manually recreated with a clear margin.</x:v>
      </x:c>
      <x:c r="H6" s="41" t="str">
        <x:f>'Evaluation Plan'!H6</x:f>
        <x:v>crushed Coke can</x:v>
      </x:c>
      <x:c r="I6" s="41" t="str"/>
      <x:c r="J6" s="43" t="str">
        <x:f>'Evaluation Plan'!J6</x:f>
        <x:v>In-distribution concept baseline</x:v>
      </x:c>
      <x:c r="K6" s="42" t="str">
        <x:f>'Evaluation Plan'!K6</x:f>
        <x:v>RD-ID05</x:v>
      </x:c>
      <x:c r="L6" s="42" t="str">
        <x:f>'Evaluation Plan'!L6</x:f>
        <x:v>furthest</x:v>
      </x:c>
      <x:c r="M6" s="42" t="str">
        <x:f>'Evaluation Plan'!M6</x:f>
        <x:v>crushed soda can</x:v>
      </x:c>
      <x:c r="N6" s="42" t="n">
        <x:f>'Evaluation Plan'!N6</x:f>
        <x:v>4</x:v>
      </x:c>
      <x:c r="O6" s="42" t="n">
        <x:f>'Evaluation Plan'!O6</x:f>
        <x:v>1</x:v>
      </x:c>
      <x:c r="P6" s="42" t="str">
        <x:f>'Evaluation Plan'!P6</x:f>
        <x:v>Empty</x:v>
      </x:c>
      <x:c r="Q6" s="41" t="str">
        <x:f>'Evaluation Plan'!Q6</x:f>
        <x:v>Exact training-supported relation × candidate-category baseline</x:v>
      </x:c>
      <x:c r="R6" s="42" t="n">
        <x:f>'Evaluation Plan'!R6</x:f>
        <x:v>1</x:v>
      </x:c>
      <x:c r="S6" s="41" t="str">
        <x:f>'Evaluation Plan'!S6</x:f>
        <x:v>Recreate the listed four-object scene with the bowl empty.</x:v>
      </x:c>
      <x:c r="T6" s="41" t="str">
        <x:f>'Evaluation Plan'!T6</x:f>
        <x:v>The relation, candidate category, target identity, and object membership occur together in the cited training episode.</x:v>
      </x:c>
      <x:c r="U6" s="41" t="n">
        <x:f>'Evaluation Plan'!U6</x:f>
        <x:v>0</x:v>
      </x:c>
    </x:row>
    <x:row r="7" ht="51" customHeight="1">
      <x:c r="A7" s="44" t="str">
        <x:v>Not collected</x:v>
      </x:c>
      <x:c r="B7" s="45" t="n">
        <x:f>'Evaluation Plan'!B7</x:f>
        <x:v>5</x:v>
      </x:c>
      <x:c r="C7" s="44" t="str">
        <x:f>'Evaluation Plan'!C7</x:f>
        <x:v>Move the pencil sharpener that is closest to the green pen into the bowl.</x:v>
      </x:c>
      <x:c r="D7" s="44" t="str">
        <x:f>'Evaluation Plan'!D7</x:f>
        <x:v>Reference: green pen at table centre; green pencil sharpener: 10 cm toward robot-right from the reference; red pencil sharpener: 24 cm away toward robot-left from the reference; yellow pen: at the far robot-left corner, outside the distance comparison; Bowl: empty</x:v>
      </x:c>
      <x:c r="E7" s="45" t="str">
        <x:f>'Evaluation Plan'!E7</x:f>
      </x:c>
      <x:c r="F7" s="45" t="str">
        <x:f>'Evaluation Plan'!F7</x:f>
        <x:v>464</x:v>
      </x:c>
      <x:c r="G7" s="44" t="str">
        <x:f>'Evaluation Plan'!G7</x:f>
        <x:v>Exact manifest cell: prompt, relation × candidate-category combination, target identity, and object membership are explicitly represented in training; physical positions are manually recreated with a clear margin.</x:v>
      </x:c>
      <x:c r="H7" s="44" t="str">
        <x:f>'Evaluation Plan'!H7</x:f>
        <x:v>green pencil sharpener</x:v>
      </x:c>
      <x:c r="I7" s="44" t="str"/>
      <x:c r="J7" s="43" t="str">
        <x:f>'Evaluation Plan'!J7</x:f>
        <x:v>In-distribution concept baseline</x:v>
      </x:c>
      <x:c r="K7" s="45" t="str">
        <x:f>'Evaluation Plan'!K7</x:f>
        <x:v>RD-ID06</x:v>
      </x:c>
      <x:c r="L7" s="45" t="str">
        <x:f>'Evaluation Plan'!L7</x:f>
        <x:v>closest</x:v>
      </x:c>
      <x:c r="M7" s="45" t="str">
        <x:f>'Evaluation Plan'!M7</x:f>
        <x:v>pencil sharpener</x:v>
      </x:c>
      <x:c r="N7" s="45" t="n">
        <x:f>'Evaluation Plan'!N7</x:f>
        <x:v>4</x:v>
      </x:c>
      <x:c r="O7" s="45" t="n">
        <x:f>'Evaluation Plan'!O7</x:f>
        <x:v>1</x:v>
      </x:c>
      <x:c r="P7" s="45" t="str">
        <x:f>'Evaluation Plan'!P7</x:f>
        <x:v>Empty</x:v>
      </x:c>
      <x:c r="Q7" s="44" t="str">
        <x:f>'Evaluation Plan'!Q7</x:f>
        <x:v>Exact training-supported relation × candidate-category baseline</x:v>
      </x:c>
      <x:c r="R7" s="45" t="n">
        <x:f>'Evaluation Plan'!R7</x:f>
        <x:v>1</x:v>
      </x:c>
      <x:c r="S7" s="44" t="str">
        <x:f>'Evaluation Plan'!S7</x:f>
        <x:v>Recreate the listed four-object scene with the bowl empty.</x:v>
      </x:c>
      <x:c r="T7" s="44" t="str">
        <x:f>'Evaluation Plan'!T7</x:f>
        <x:v>The relation, candidate category, target identity, and object membership occur together in the cited training episode.</x:v>
      </x:c>
      <x:c r="U7" s="44" t="n">
        <x:f>'Evaluation Plan'!U7</x:f>
        <x:v>0</x:v>
      </x:c>
    </x:row>
    <x:row r="8" ht="51" customHeight="1">
      <x:c r="A8" s="41" t="str">
        <x:v>Not collected</x:v>
      </x:c>
      <x:c r="B8" s="42" t="n">
        <x:f>'Evaluation Plan'!B8</x:f>
        <x:v>6</x:v>
      </x:c>
      <x:c r="C8" s="41" t="str">
        <x:f>'Evaluation Plan'!C8</x:f>
        <x:v>Move the pencil sharpener that is closest to the crushed Pepsi can into the bowl.</x:v>
      </x:c>
      <x:c r="D8" s="41" t="str">
        <x:f>'Evaluation Plan'!D8</x:f>
        <x:v>Reference: crushed Pepsi can at table centre; red pencil sharpener: 10 cm to robot-left of the reference; green pencil sharpener: 24 cm to robot-right of the reference; airplane toy with propellers: at the far robot-left corner, outside the distance comparison; Bowl: empty</x:v>
      </x:c>
      <x:c r="E8" s="42" t="str">
        <x:f>'Evaluation Plan'!E8</x:f>
      </x:c>
      <x:c r="F8" s="42" t="str">
        <x:f>'Evaluation Plan'!F8</x:f>
        <x:v>451</x:v>
      </x:c>
      <x:c r="G8" s="41" t="str">
        <x:f>'Evaluation Plan'!G8</x:f>
        <x:v>Exact manifest cell: prompt, relation × candidate-category combination, target identity, and object membership are explicitly represented in training; physical positions are manually recreated with a clear margin.</x:v>
      </x:c>
      <x:c r="H8" s="41" t="str">
        <x:f>'Evaluation Plan'!H8</x:f>
        <x:v>red pencil sharpener</x:v>
      </x:c>
      <x:c r="I8" s="41" t="str"/>
      <x:c r="J8" s="43" t="str">
        <x:f>'Evaluation Plan'!J8</x:f>
        <x:v>In-distribution concept baseline</x:v>
      </x:c>
      <x:c r="K8" s="42" t="str">
        <x:f>'Evaluation Plan'!K8</x:f>
        <x:v>RD-ID07</x:v>
      </x:c>
      <x:c r="L8" s="42" t="str">
        <x:f>'Evaluation Plan'!L8</x:f>
        <x:v>closest</x:v>
      </x:c>
      <x:c r="M8" s="42" t="str">
        <x:f>'Evaluation Plan'!M8</x:f>
        <x:v>pencil sharpener</x:v>
      </x:c>
      <x:c r="N8" s="42" t="n">
        <x:f>'Evaluation Plan'!N8</x:f>
        <x:v>4</x:v>
      </x:c>
      <x:c r="O8" s="42" t="n">
        <x:f>'Evaluation Plan'!O8</x:f>
        <x:v>1</x:v>
      </x:c>
      <x:c r="P8" s="42" t="str">
        <x:f>'Evaluation Plan'!P8</x:f>
        <x:v>Empty</x:v>
      </x:c>
      <x:c r="Q8" s="41" t="str">
        <x:f>'Evaluation Plan'!Q8</x:f>
        <x:v>Exact training-supported relation × candidate-category baseline</x:v>
      </x:c>
      <x:c r="R8" s="42" t="n">
        <x:f>'Evaluation Plan'!R8</x:f>
        <x:v>1</x:v>
      </x:c>
      <x:c r="S8" s="41" t="str">
        <x:f>'Evaluation Plan'!S8</x:f>
        <x:v>Recreate the listed four-object scene with the bowl empty.</x:v>
      </x:c>
      <x:c r="T8" s="41" t="str">
        <x:f>'Evaluation Plan'!T8</x:f>
        <x:v>The relation, candidate category, target identity, and object membership occur together in the cited training episode.</x:v>
      </x:c>
      <x:c r="U8" s="41" t="n">
        <x:f>'Evaluation Plan'!U8</x:f>
        <x:v>0</x:v>
      </x:c>
    </x:row>
    <x:row r="9" ht="51" customHeight="1">
      <x:c r="A9" s="44" t="str">
        <x:v>Not collected</x:v>
      </x:c>
      <x:c r="B9" s="45" t="n">
        <x:f>'Evaluation Plan'!B9</x:f>
        <x:v>7</x:v>
      </x:c>
      <x:c r="C9" s="44" t="str">
        <x:f>'Evaluation Plan'!C9</x:f>
        <x:v>Put the pencil sharpener closest to the yellow pen in the bowl.</x:v>
      </x:c>
      <x:c r="D9" s="44" t="str">
        <x:f>'Evaluation Plan'!D9</x:f>
        <x:v>Reference: yellow pen at table centre; red pencil sharpener: 10 cm to robot-right of the reference; green pencil sharpener: 24 cm to robot-left of the reference; crushed Coke can: at the far robot-left corner, outside the distance comparison; Bowl: empty</x:v>
      </x:c>
      <x:c r="E9" s="45" t="str">
        <x:f>'Evaluation Plan'!E9</x:f>
      </x:c>
      <x:c r="F9" s="45" t="str">
        <x:f>'Evaluation Plan'!F9</x:f>
        <x:v>453</x:v>
      </x:c>
      <x:c r="G9" s="44" t="str">
        <x:f>'Evaluation Plan'!G9</x:f>
        <x:v>Exact manifest cell: prompt, relation × candidate-category combination, target identity, and object membership are explicitly represented in training; physical positions are manually recreated with a clear margin.</x:v>
      </x:c>
      <x:c r="H9" s="44" t="str">
        <x:f>'Evaluation Plan'!H9</x:f>
        <x:v>red pencil sharpener</x:v>
      </x:c>
      <x:c r="I9" s="44" t="str"/>
      <x:c r="J9" s="43" t="str">
        <x:f>'Evaluation Plan'!J9</x:f>
        <x:v>In-distribution concept baseline</x:v>
      </x:c>
      <x:c r="K9" s="45" t="str">
        <x:f>'Evaluation Plan'!K9</x:f>
        <x:v>RD-ID08</x:v>
      </x:c>
      <x:c r="L9" s="45" t="str">
        <x:f>'Evaluation Plan'!L9</x:f>
        <x:v>closest</x:v>
      </x:c>
      <x:c r="M9" s="45" t="str">
        <x:f>'Evaluation Plan'!M9</x:f>
        <x:v>pencil sharpener</x:v>
      </x:c>
      <x:c r="N9" s="45" t="n">
        <x:f>'Evaluation Plan'!N9</x:f>
        <x:v>4</x:v>
      </x:c>
      <x:c r="O9" s="45" t="n">
        <x:f>'Evaluation Plan'!O9</x:f>
        <x:v>1</x:v>
      </x:c>
      <x:c r="P9" s="45" t="str">
        <x:f>'Evaluation Plan'!P9</x:f>
        <x:v>Empty</x:v>
      </x:c>
      <x:c r="Q9" s="44" t="str">
        <x:f>'Evaluation Plan'!Q9</x:f>
        <x:v>Exact training-supported relation × candidate-category baseline</x:v>
      </x:c>
      <x:c r="R9" s="45" t="n">
        <x:f>'Evaluation Plan'!R9</x:f>
        <x:v>1</x:v>
      </x:c>
      <x:c r="S9" s="44" t="str">
        <x:f>'Evaluation Plan'!S9</x:f>
        <x:v>Recreate the listed four-object scene with the bowl empty.</x:v>
      </x:c>
      <x:c r="T9" s="44" t="str">
        <x:f>'Evaluation Plan'!T9</x:f>
        <x:v>The relation, candidate category, target identity, and object membership occur together in the cited training episode.</x:v>
      </x:c>
      <x:c r="U9" s="44" t="n">
        <x:f>'Evaluation Plan'!U9</x:f>
        <x:v>0</x:v>
      </x:c>
    </x:row>
    <x:row r="10" ht="51" customHeight="1">
      <x:c r="A10" s="41" t="str">
        <x:v>Not collected</x:v>
      </x:c>
      <x:c r="B10" s="42" t="n">
        <x:f>'Evaluation Plan'!B10</x:f>
        <x:v>8</x:v>
      </x:c>
      <x:c r="C10" s="41" t="str">
        <x:f>'Evaluation Plan'!C10</x:f>
        <x:v>Pick up the pencil sharpener furthest from the yellow pen and place it in the bowl.</x:v>
      </x:c>
      <x:c r="D10" s="41" t="str">
        <x:f>'Evaluation Plan'!D10</x:f>
        <x:v>Reference: yellow pen at table centre; red pencil sharpener: 10 cm toward the robot from the reference; green pencil sharpener: 24 cm away from the robot from the reference; airplane toy without propellers: at the far robot-left corner, outside the distance comparison; Bowl: empty</x:v>
      </x:c>
      <x:c r="E10" s="42" t="str">
        <x:f>'Evaluation Plan'!E10</x:f>
      </x:c>
      <x:c r="F10" s="42" t="str">
        <x:f>'Evaluation Plan'!F10</x:f>
        <x:v>466</x:v>
      </x:c>
      <x:c r="G10" s="41" t="str">
        <x:f>'Evaluation Plan'!G10</x:f>
        <x:v>Exact manifest cell: prompt, relation × candidate-category combination, target identity, and object membership are explicitly represented in training; physical positions are manually recreated with a clear margin.</x:v>
      </x:c>
      <x:c r="H10" s="41" t="str">
        <x:f>'Evaluation Plan'!H10</x:f>
        <x:v>green pencil sharpener</x:v>
      </x:c>
      <x:c r="I10" s="41" t="str"/>
      <x:c r="J10" s="43" t="str">
        <x:f>'Evaluation Plan'!J10</x:f>
        <x:v>In-distribution concept baseline</x:v>
      </x:c>
      <x:c r="K10" s="42" t="str">
        <x:f>'Evaluation Plan'!K10</x:f>
        <x:v>RD-ID09</x:v>
      </x:c>
      <x:c r="L10" s="42" t="str">
        <x:f>'Evaluation Plan'!L10</x:f>
        <x:v>furthest</x:v>
      </x:c>
      <x:c r="M10" s="42" t="str">
        <x:f>'Evaluation Plan'!M10</x:f>
        <x:v>pencil sharpener</x:v>
      </x:c>
      <x:c r="N10" s="42" t="n">
        <x:f>'Evaluation Plan'!N10</x:f>
        <x:v>4</x:v>
      </x:c>
      <x:c r="O10" s="42" t="n">
        <x:f>'Evaluation Plan'!O10</x:f>
        <x:v>1</x:v>
      </x:c>
      <x:c r="P10" s="42" t="str">
        <x:f>'Evaluation Plan'!P10</x:f>
        <x:v>Empty</x:v>
      </x:c>
      <x:c r="Q10" s="41" t="str">
        <x:f>'Evaluation Plan'!Q10</x:f>
        <x:v>Exact training-supported relation × candidate-category baseline</x:v>
      </x:c>
      <x:c r="R10" s="42" t="n">
        <x:f>'Evaluation Plan'!R10</x:f>
        <x:v>1</x:v>
      </x:c>
      <x:c r="S10" s="41" t="str">
        <x:f>'Evaluation Plan'!S10</x:f>
        <x:v>Recreate the listed four-object scene with the bowl empty.</x:v>
      </x:c>
      <x:c r="T10" s="41" t="str">
        <x:f>'Evaluation Plan'!T10</x:f>
        <x:v>The relation, candidate category, target identity, and object membership occur together in the cited training episode.</x:v>
      </x:c>
      <x:c r="U10" s="41" t="n">
        <x:f>'Evaluation Plan'!U10</x:f>
        <x:v>0</x:v>
      </x:c>
    </x:row>
    <x:row r="11" ht="51" customHeight="1">
      <x:c r="A11" s="44" t="str">
        <x:v>Not collected</x:v>
      </x:c>
      <x:c r="B11" s="45" t="n">
        <x:f>'Evaluation Plan'!B11</x:f>
        <x:v>9</x:v>
      </x:c>
      <x:c r="C11" s="44" t="str">
        <x:f>'Evaluation Plan'!C11</x:f>
        <x:v>Pick up the pencil sharpener furthest from the airplane toy without propellers and place it in the bowl.</x:v>
      </x:c>
      <x:c r="D11" s="44" t="str">
        <x:f>'Evaluation Plan'!D11</x:f>
        <x:v>Reference: airplane toy without propellers at table centre; red pencil sharpener: 10 cm away from the robot from the reference; green pencil sharpener: 24 cm toward the robot from the reference; crushed Pepsi can: at the far robot-left corner, outside the distance comparison; Bowl: empty</x:v>
      </x:c>
      <x:c r="E11" s="45" t="str">
        <x:f>'Evaluation Plan'!E11</x:f>
      </x:c>
      <x:c r="F11" s="45" t="str">
        <x:f>'Evaluation Plan'!F11</x:f>
        <x:v>468</x:v>
      </x:c>
      <x:c r="G11" s="44" t="str">
        <x:f>'Evaluation Plan'!G11</x:f>
        <x:v>Exact manifest cell: prompt, relation × candidate-category combination, target identity, and object membership are explicitly represented in training; physical positions are manually recreated with a clear margin.</x:v>
      </x:c>
      <x:c r="H11" s="44" t="str">
        <x:f>'Evaluation Plan'!H11</x:f>
        <x:v>green pencil sharpener</x:v>
      </x:c>
      <x:c r="I11" s="44" t="str"/>
      <x:c r="J11" s="43" t="str">
        <x:f>'Evaluation Plan'!J11</x:f>
        <x:v>In-distribution concept baseline</x:v>
      </x:c>
      <x:c r="K11" s="45" t="str">
        <x:f>'Evaluation Plan'!K11</x:f>
        <x:v>RD-ID10</x:v>
      </x:c>
      <x:c r="L11" s="45" t="str">
        <x:f>'Evaluation Plan'!L11</x:f>
        <x:v>furthest</x:v>
      </x:c>
      <x:c r="M11" s="45" t="str">
        <x:f>'Evaluation Plan'!M11</x:f>
        <x:v>pencil sharpener</x:v>
      </x:c>
      <x:c r="N11" s="45" t="n">
        <x:f>'Evaluation Plan'!N11</x:f>
        <x:v>4</x:v>
      </x:c>
      <x:c r="O11" s="45" t="n">
        <x:f>'Evaluation Plan'!O11</x:f>
        <x:v>1</x:v>
      </x:c>
      <x:c r="P11" s="45" t="str">
        <x:f>'Evaluation Plan'!P11</x:f>
        <x:v>Empty</x:v>
      </x:c>
      <x:c r="Q11" s="44" t="str">
        <x:f>'Evaluation Plan'!Q11</x:f>
        <x:v>Exact training-supported relation × candidate-category baseline</x:v>
      </x:c>
      <x:c r="R11" s="45" t="n">
        <x:f>'Evaluation Plan'!R11</x:f>
        <x:v>1</x:v>
      </x:c>
      <x:c r="S11" s="44" t="str">
        <x:f>'Evaluation Plan'!S11</x:f>
        <x:v>Recreate the listed four-object scene with the bowl empty.</x:v>
      </x:c>
      <x:c r="T11" s="44" t="str">
        <x:f>'Evaluation Plan'!T11</x:f>
        <x:v>The relation, candidate category, target identity, and object membership occur together in the cited training episode.</x:v>
      </x:c>
      <x:c r="U11" s="44" t="n">
        <x:f>'Evaluation Plan'!U11</x:f>
        <x:v>0</x:v>
      </x:c>
    </x:row>
    <x:row r="12" ht="51" customHeight="1">
      <x:c r="A12" s="41" t="str">
        <x:v>Not collected</x:v>
      </x:c>
      <x:c r="B12" s="42" t="n">
        <x:f>'Evaluation Plan'!B12</x:f>
        <x:v>10</x:v>
      </x:c>
      <x:c r="C12" s="41" t="str">
        <x:f>'Evaluation Plan'!C12</x:f>
        <x:v>Put the airplane toy closest to the green pencil sharpener in the bowl.</x:v>
      </x:c>
      <x:c r="D12" s="41" t="str">
        <x:f>'Evaluation Plan'!D12</x:f>
        <x:v>Reference: green pencil sharpener at table centre; airplane toy with propellers: 10 cm toward robot-left from the reference; airplane toy without propellers: 24 cm away toward robot-right from the reference; red pencil sharpener: at the far robot-left corner, outside the distance comparison; Bowl: empty</x:v>
      </x:c>
      <x:c r="E12" s="42" t="str">
        <x:f>'Evaluation Plan'!E12</x:f>
      </x:c>
      <x:c r="F12" s="42" t="str">
        <x:f>'Evaluation Plan'!F12</x:f>
        <x:v>564</x:v>
      </x:c>
      <x:c r="G12" s="41" t="str">
        <x:f>'Evaluation Plan'!G12</x:f>
        <x:v>Exact manifest cell: prompt, relation × candidate-category combination, target identity, and object membership are explicitly represented in training; physical positions are manually recreated with a clear margin.</x:v>
      </x:c>
      <x:c r="H12" s="41" t="str">
        <x:f>'Evaluation Plan'!H12</x:f>
        <x:v>airplane toy with propellers</x:v>
      </x:c>
      <x:c r="I12" s="41" t="str"/>
      <x:c r="J12" s="43" t="str">
        <x:f>'Evaluation Plan'!J12</x:f>
        <x:v>In-distribution concept baseline</x:v>
      </x:c>
      <x:c r="K12" s="42" t="str">
        <x:f>'Evaluation Plan'!K12</x:f>
        <x:v>RD-ID11</x:v>
      </x:c>
      <x:c r="L12" s="42" t="str">
        <x:f>'Evaluation Plan'!L12</x:f>
        <x:v>closest</x:v>
      </x:c>
      <x:c r="M12" s="42" t="str">
        <x:f>'Evaluation Plan'!M12</x:f>
        <x:v>airplane toy</x:v>
      </x:c>
      <x:c r="N12" s="42" t="n">
        <x:f>'Evaluation Plan'!N12</x:f>
        <x:v>4</x:v>
      </x:c>
      <x:c r="O12" s="42" t="n">
        <x:f>'Evaluation Plan'!O12</x:f>
        <x:v>1</x:v>
      </x:c>
      <x:c r="P12" s="42" t="str">
        <x:f>'Evaluation Plan'!P12</x:f>
        <x:v>Empty</x:v>
      </x:c>
      <x:c r="Q12" s="41" t="str">
        <x:f>'Evaluation Plan'!Q12</x:f>
        <x:v>Exact training-supported relation × candidate-category baseline</x:v>
      </x:c>
      <x:c r="R12" s="42" t="n">
        <x:f>'Evaluation Plan'!R12</x:f>
        <x:v>1</x:v>
      </x:c>
      <x:c r="S12" s="41" t="str">
        <x:f>'Evaluation Plan'!S12</x:f>
        <x:v>Recreate the listed four-object scene with the bowl empty.</x:v>
      </x:c>
      <x:c r="T12" s="41" t="str">
        <x:f>'Evaluation Plan'!T12</x:f>
        <x:v>The relation, candidate category, target identity, and object membership occur together in the cited training episode.</x:v>
      </x:c>
      <x:c r="U12" s="41" t="n">
        <x:f>'Evaluation Plan'!U12</x:f>
        <x:v>0</x:v>
      </x:c>
    </x:row>
    <x:row r="13" ht="51" customHeight="1">
      <x:c r="A13" s="44" t="str">
        <x:v>Not collected</x:v>
      </x:c>
      <x:c r="B13" s="45" t="n">
        <x:f>'Evaluation Plan'!B13</x:f>
        <x:v>11</x:v>
      </x:c>
      <x:c r="C13" s="44" t="str">
        <x:f>'Evaluation Plan'!C13</x:f>
        <x:v>Pick up the airplane toy nearest to the yellow pen and place it in the bowl.</x:v>
      </x:c>
      <x:c r="D13" s="44" t="str">
        <x:f>'Evaluation Plan'!D13</x:f>
        <x:v>Reference: yellow pen at table centre; airplane toy without propellers: 10 cm toward robot-right from the reference; airplane toy with propellers: 24 cm away toward robot-left from the reference; green pencil sharpener: at the far robot-left corner, outside the distance comparison; Bowl: empty</x:v>
      </x:c>
      <x:c r="E13" s="45" t="str">
        <x:f>'Evaluation Plan'!E13</x:f>
      </x:c>
      <x:c r="F13" s="45" t="str">
        <x:f>'Evaluation Plan'!F13</x:f>
        <x:v>551</x:v>
      </x:c>
      <x:c r="G13" s="44" t="str">
        <x:f>'Evaluation Plan'!G13</x:f>
        <x:v>Exact manifest cell: prompt, relation × candidate-category combination, target identity, and object membership are explicitly represented in training; physical positions are manually recreated with a clear margin.</x:v>
      </x:c>
      <x:c r="H13" s="44" t="str">
        <x:f>'Evaluation Plan'!H13</x:f>
        <x:v>airplane toy without propellers</x:v>
      </x:c>
      <x:c r="I13" s="44" t="str"/>
      <x:c r="J13" s="43" t="str">
        <x:f>'Evaluation Plan'!J13</x:f>
        <x:v>In-distribution concept baseline</x:v>
      </x:c>
      <x:c r="K13" s="45" t="str">
        <x:f>'Evaluation Plan'!K13</x:f>
        <x:v>RD-ID12</x:v>
      </x:c>
      <x:c r="L13" s="45" t="str">
        <x:f>'Evaluation Plan'!L13</x:f>
        <x:v>closest</x:v>
      </x:c>
      <x:c r="M13" s="45" t="str">
        <x:f>'Evaluation Plan'!M13</x:f>
        <x:v>airplane toy</x:v>
      </x:c>
      <x:c r="N13" s="45" t="n">
        <x:f>'Evaluation Plan'!N13</x:f>
        <x:v>4</x:v>
      </x:c>
      <x:c r="O13" s="45" t="n">
        <x:f>'Evaluation Plan'!O13</x:f>
        <x:v>1</x:v>
      </x:c>
      <x:c r="P13" s="45" t="str">
        <x:f>'Evaluation Plan'!P13</x:f>
        <x:v>Empty</x:v>
      </x:c>
      <x:c r="Q13" s="44" t="str">
        <x:f>'Evaluation Plan'!Q13</x:f>
        <x:v>Exact training-supported relation × candidate-category baseline</x:v>
      </x:c>
      <x:c r="R13" s="45" t="n">
        <x:f>'Evaluation Plan'!R13</x:f>
        <x:v>1</x:v>
      </x:c>
      <x:c r="S13" s="44" t="str">
        <x:f>'Evaluation Plan'!S13</x:f>
        <x:v>Recreate the listed four-object scene with the bowl empty.</x:v>
      </x:c>
      <x:c r="T13" s="44" t="str">
        <x:f>'Evaluation Plan'!T13</x:f>
        <x:v>The relation, candidate category, target identity, and object membership occur together in the cited training episode.</x:v>
      </x:c>
      <x:c r="U13" s="44" t="n">
        <x:f>'Evaluation Plan'!U13</x:f>
        <x:v>0</x:v>
      </x:c>
    </x:row>
    <x:row r="14" ht="51" customHeight="1">
      <x:c r="A14" s="41" t="str">
        <x:v>Not collected</x:v>
      </x:c>
      <x:c r="B14" s="42" t="n">
        <x:f>'Evaluation Plan'!B14</x:f>
        <x:v>12</x:v>
      </x:c>
      <x:c r="C14" s="41" t="str">
        <x:f>'Evaluation Plan'!C14</x:f>
        <x:v>Move the airplane toy lying between the crushed Pepsi can and the red pencil sharpener into the bowl.</x:v>
      </x:c>
      <x:c r="D14" s="41" t="str">
        <x:f>'Evaluation Plan'!D14</x:f>
        <x:v>Reference A: crushed Pepsi can at 14 cm to robot-left of table centre; Reference B: red pencil sharpener at 14 cm to robot-right of table centre; airplane toy with propellers: at table centre on the straight Reference A–B segment; airplane toy without propellers: 12 cm toward the robot from table centre, off the Reference A–B segment; Bowl: empty</x:v>
      </x:c>
      <x:c r="E14" s="42" t="str">
        <x:f>'Evaluation Plan'!E14</x:f>
      </x:c>
      <x:c r="F14" s="42" t="str">
        <x:f>'Evaluation Plan'!F14</x:f>
        <x:v>582</x:v>
      </x:c>
      <x:c r="G14" s="41" t="str">
        <x:f>'Evaluation Plan'!G14</x:f>
        <x:v>Exact manifest cell: prompt, relation × candidate-category combination, target identity, and object membership are explicitly represented in training; physical positions are manually recreated with a clear margin.</x:v>
      </x:c>
      <x:c r="H14" s="41" t="str">
        <x:f>'Evaluation Plan'!H14</x:f>
        <x:v>airplane toy with propellers</x:v>
      </x:c>
      <x:c r="I14" s="41" t="str"/>
      <x:c r="J14" s="43" t="str">
        <x:f>'Evaluation Plan'!J14</x:f>
        <x:v>In-distribution concept baseline</x:v>
      </x:c>
      <x:c r="K14" s="42" t="str">
        <x:f>'Evaluation Plan'!K14</x:f>
        <x:v>RD-ID13</x:v>
      </x:c>
      <x:c r="L14" s="42" t="str">
        <x:f>'Evaluation Plan'!L14</x:f>
        <x:v>between</x:v>
      </x:c>
      <x:c r="M14" s="42" t="str">
        <x:f>'Evaluation Plan'!M14</x:f>
        <x:v>airplane toy</x:v>
      </x:c>
      <x:c r="N14" s="42" t="n">
        <x:f>'Evaluation Plan'!N14</x:f>
        <x:v>4</x:v>
      </x:c>
      <x:c r="O14" s="42" t="n">
        <x:f>'Evaluation Plan'!O14</x:f>
        <x:v>1</x:v>
      </x:c>
      <x:c r="P14" s="42" t="str">
        <x:f>'Evaluation Plan'!P14</x:f>
        <x:v>Empty</x:v>
      </x:c>
      <x:c r="Q14" s="41" t="str">
        <x:f>'Evaluation Plan'!Q14</x:f>
        <x:v>Exact training-supported relation × candidate-category baseline</x:v>
      </x:c>
      <x:c r="R14" s="42" t="n">
        <x:f>'Evaluation Plan'!R14</x:f>
        <x:v>1</x:v>
      </x:c>
      <x:c r="S14" s="41" t="str">
        <x:f>'Evaluation Plan'!S14</x:f>
        <x:v>Recreate the listed four-object scene with the bowl empty.</x:v>
      </x:c>
      <x:c r="T14" s="41" t="str">
        <x:f>'Evaluation Plan'!T14</x:f>
        <x:v>The relation, candidate category, target identity, and object membership occur together in the cited training episode.</x:v>
      </x:c>
      <x:c r="U14" s="41" t="n">
        <x:f>'Evaluation Plan'!U14</x:f>
        <x:v>0</x:v>
      </x:c>
    </x:row>
    <x:row r="15" ht="51" customHeight="1">
      <x:c r="A15" s="44" t="str">
        <x:v>Not collected</x:v>
      </x:c>
      <x:c r="B15" s="45" t="n">
        <x:f>'Evaluation Plan'!B15</x:f>
        <x:v>13</x:v>
      </x:c>
      <x:c r="C15" s="44" t="str">
        <x:f>'Evaluation Plan'!C15</x:f>
        <x:v>Put the airplane toy between the crushed Coke can and the green pen in the bowl.</x:v>
      </x:c>
      <x:c r="D15" s="44" t="str">
        <x:f>'Evaluation Plan'!D15</x:f>
        <x:v>Reference A: crushed Coke can at 14 cm toward the robot from table centre; Reference B: green pen at 14 cm away from the robot from table centre; airplane toy without propellers: at table centre on the straight Reference A–B segment; airplane toy with propellers: 12 cm to robot-right of table centre, off the Reference A–B segment; Bowl: empty</x:v>
      </x:c>
      <x:c r="E15" s="45" t="str">
        <x:f>'Evaluation Plan'!E15</x:f>
      </x:c>
      <x:c r="F15" s="45" t="str">
        <x:f>'Evaluation Plan'!F15</x:f>
        <x:v>586</x:v>
      </x:c>
      <x:c r="G15" s="44" t="str">
        <x:f>'Evaluation Plan'!G15</x:f>
        <x:v>Exact manifest cell: prompt, relation × candidate-category combination, target identity, and object membership are explicitly represented in training; physical positions are manually recreated with a clear margin.</x:v>
      </x:c>
      <x:c r="H15" s="44" t="str">
        <x:f>'Evaluation Plan'!H15</x:f>
        <x:v>airplane toy without propellers</x:v>
      </x:c>
      <x:c r="I15" s="44" t="str"/>
      <x:c r="J15" s="43" t="str">
        <x:f>'Evaluation Plan'!J15</x:f>
        <x:v>In-distribution concept baseline</x:v>
      </x:c>
      <x:c r="K15" s="45" t="str">
        <x:f>'Evaluation Plan'!K15</x:f>
        <x:v>RD-ID14</x:v>
      </x:c>
      <x:c r="L15" s="45" t="str">
        <x:f>'Evaluation Plan'!L15</x:f>
        <x:v>between</x:v>
      </x:c>
      <x:c r="M15" s="45" t="str">
        <x:f>'Evaluation Plan'!M15</x:f>
        <x:v>airplane toy</x:v>
      </x:c>
      <x:c r="N15" s="45" t="n">
        <x:f>'Evaluation Plan'!N15</x:f>
        <x:v>4</x:v>
      </x:c>
      <x:c r="O15" s="45" t="n">
        <x:f>'Evaluation Plan'!O15</x:f>
        <x:v>1</x:v>
      </x:c>
      <x:c r="P15" s="45" t="str">
        <x:f>'Evaluation Plan'!P15</x:f>
        <x:v>Empty</x:v>
      </x:c>
      <x:c r="Q15" s="44" t="str">
        <x:f>'Evaluation Plan'!Q15</x:f>
        <x:v>Exact training-supported relation × candidate-category baseline</x:v>
      </x:c>
      <x:c r="R15" s="45" t="n">
        <x:f>'Evaluation Plan'!R15</x:f>
        <x:v>1</x:v>
      </x:c>
      <x:c r="S15" s="44" t="str">
        <x:f>'Evaluation Plan'!S15</x:f>
        <x:v>Recreate the listed four-object scene with the bowl empty.</x:v>
      </x:c>
      <x:c r="T15" s="44" t="str">
        <x:f>'Evaluation Plan'!T15</x:f>
        <x:v>The relation, candidate category, target identity, and object membership occur together in the cited training episode.</x:v>
      </x:c>
      <x:c r="U15" s="44" t="n">
        <x:f>'Evaluation Plan'!U15</x:f>
        <x:v>0</x:v>
      </x:c>
    </x:row>
    <x:row r="16" ht="51" customHeight="1">
      <x:c r="A16" s="41" t="str">
        <x:v>Not collected</x:v>
      </x:c>
      <x:c r="B16" s="42" t="n">
        <x:f>'Evaluation Plan'!B16</x:f>
        <x:v>14</x:v>
      </x:c>
      <x:c r="C16" s="41" t="str">
        <x:f>'Evaluation Plan'!C16</x:f>
        <x:v>Pick up the airplane toy positioned between the green pencil sharpener and the yellow pen, then place it in the bowl.</x:v>
      </x:c>
      <x:c r="D16" s="41" t="str">
        <x:f>'Evaluation Plan'!D16</x:f>
        <x:v>Reference A: green pencil sharpener at 14 cm toward robot-left from table centre; Reference B: yellow pen at 14 cm away toward robot-right from table centre; airplane toy with propellers: at table centre on the straight Reference A–B segment; airplane toy without propellers: 12 cm toward robot-right from table centre, off the Reference A–B segment; Bowl: empty</x:v>
      </x:c>
      <x:c r="E16" s="42" t="str">
        <x:f>'Evaluation Plan'!E16</x:f>
      </x:c>
      <x:c r="F16" s="42" t="str">
        <x:f>'Evaluation Plan'!F16</x:f>
        <x:v>583</x:v>
      </x:c>
      <x:c r="G16" s="41" t="str">
        <x:f>'Evaluation Plan'!G16</x:f>
        <x:v>Exact manifest cell: prompt, relation × candidate-category combination, target identity, and object membership are explicitly represented in training; physical positions are manually recreated with a clear margin.</x:v>
      </x:c>
      <x:c r="H16" s="41" t="str">
        <x:f>'Evaluation Plan'!H16</x:f>
        <x:v>airplane toy with propellers</x:v>
      </x:c>
      <x:c r="I16" s="41" t="str"/>
      <x:c r="J16" s="43" t="str">
        <x:f>'Evaluation Plan'!J16</x:f>
        <x:v>In-distribution concept baseline</x:v>
      </x:c>
      <x:c r="K16" s="42" t="str">
        <x:f>'Evaluation Plan'!K16</x:f>
        <x:v>RD-ID15</x:v>
      </x:c>
      <x:c r="L16" s="42" t="str">
        <x:f>'Evaluation Plan'!L16</x:f>
        <x:v>between</x:v>
      </x:c>
      <x:c r="M16" s="42" t="str">
        <x:f>'Evaluation Plan'!M16</x:f>
        <x:v>airplane toy</x:v>
      </x:c>
      <x:c r="N16" s="42" t="n">
        <x:f>'Evaluation Plan'!N16</x:f>
        <x:v>4</x:v>
      </x:c>
      <x:c r="O16" s="42" t="n">
        <x:f>'Evaluation Plan'!O16</x:f>
        <x:v>1</x:v>
      </x:c>
      <x:c r="P16" s="42" t="str">
        <x:f>'Evaluation Plan'!P16</x:f>
        <x:v>Empty</x:v>
      </x:c>
      <x:c r="Q16" s="41" t="str">
        <x:f>'Evaluation Plan'!Q16</x:f>
        <x:v>Exact training-supported relation × candidate-category baseline</x:v>
      </x:c>
      <x:c r="R16" s="42" t="n">
        <x:f>'Evaluation Plan'!R16</x:f>
        <x:v>1</x:v>
      </x:c>
      <x:c r="S16" s="41" t="str">
        <x:f>'Evaluation Plan'!S16</x:f>
        <x:v>Recreate the listed four-object scene with the bowl empty.</x:v>
      </x:c>
      <x:c r="T16" s="41" t="str">
        <x:f>'Evaluation Plan'!T16</x:f>
        <x:v>The relation, candidate category, target identity, and object membership occur together in the cited training episode.</x:v>
      </x:c>
      <x:c r="U16" s="41" t="n">
        <x:f>'Evaluation Plan'!U16</x:f>
        <x:v>0</x:v>
      </x:c>
    </x:row>
    <x:row r="17" ht="51" customHeight="1">
      <x:c r="A17" s="44" t="str">
        <x:v>Not collected</x:v>
      </x:c>
      <x:c r="B17" s="45" t="n">
        <x:f>'Evaluation Plan'!B17</x:f>
        <x:v>15</x:v>
      </x:c>
      <x:c r="C17" s="44" t="str">
        <x:f>'Evaluation Plan'!C17</x:f>
        <x:v>Put the pen closest to the crushed Coke can in the bowl.</x:v>
      </x:c>
      <x:c r="D17" s="44" t="str">
        <x:f>'Evaluation Plan'!D17</x:f>
        <x:v>Reference: crushed Coke can at table centre; green pen: 10 cm away from the robot from the reference; yellow pen: 24 cm toward the robot from the reference; crushed Pepsi can: at the far robot-left corner, outside the distance comparison; Bowl: empty</x:v>
      </x:c>
      <x:c r="E17" s="45" t="str">
        <x:f>'Evaluation Plan'!E17</x:f>
      </x:c>
      <x:c r="F17" s="45" t="str">
        <x:f>'Evaluation Plan'!F17</x:f>
        <x:v>514</x:v>
      </x:c>
      <x:c r="G17" s="44" t="str">
        <x:f>'Evaluation Plan'!G17</x:f>
        <x:v>Exact manifest cell: prompt, relation × candidate-category combination, target identity, and object membership are explicitly represented in training; physical positions are manually recreated with a clear margin.</x:v>
      </x:c>
      <x:c r="H17" s="44" t="str">
        <x:f>'Evaluation Plan'!H17</x:f>
        <x:v>green pen</x:v>
      </x:c>
      <x:c r="I17" s="44" t="str"/>
      <x:c r="J17" s="43" t="str">
        <x:f>'Evaluation Plan'!J17</x:f>
        <x:v>In-distribution concept baseline</x:v>
      </x:c>
      <x:c r="K17" s="45" t="str">
        <x:f>'Evaluation Plan'!K17</x:f>
        <x:v>RD-ID16</x:v>
      </x:c>
      <x:c r="L17" s="45" t="str">
        <x:f>'Evaluation Plan'!L17</x:f>
        <x:v>closest</x:v>
      </x:c>
      <x:c r="M17" s="45" t="str">
        <x:f>'Evaluation Plan'!M17</x:f>
        <x:v>pen</x:v>
      </x:c>
      <x:c r="N17" s="45" t="n">
        <x:f>'Evaluation Plan'!N17</x:f>
        <x:v>4</x:v>
      </x:c>
      <x:c r="O17" s="45" t="n">
        <x:f>'Evaluation Plan'!O17</x:f>
        <x:v>1</x:v>
      </x:c>
      <x:c r="P17" s="45" t="str">
        <x:f>'Evaluation Plan'!P17</x:f>
        <x:v>Empty</x:v>
      </x:c>
      <x:c r="Q17" s="44" t="str">
        <x:f>'Evaluation Plan'!Q17</x:f>
        <x:v>Exact training-supported relation × candidate-category baseline</x:v>
      </x:c>
      <x:c r="R17" s="45" t="n">
        <x:f>'Evaluation Plan'!R17</x:f>
        <x:v>1</x:v>
      </x:c>
      <x:c r="S17" s="44" t="str">
        <x:f>'Evaluation Plan'!S17</x:f>
        <x:v>Recreate the listed four-object scene with the bowl empty.</x:v>
      </x:c>
      <x:c r="T17" s="44" t="str">
        <x:f>'Evaluation Plan'!T17</x:f>
        <x:v>The relation, candidate category, target identity, and object membership occur together in the cited training episode.</x:v>
      </x:c>
      <x:c r="U17" s="44" t="n">
        <x:f>'Evaluation Plan'!U17</x:f>
        <x:v>0</x:v>
      </x:c>
    </x:row>
    <x:row r="18" ht="51" customHeight="1">
      <x:c r="A18" s="41" t="str">
        <x:v>Not collected</x:v>
      </x:c>
      <x:c r="B18" s="42" t="n">
        <x:f>'Evaluation Plan'!B18</x:f>
        <x:v>16</x:v>
      </x:c>
      <x:c r="C18" s="41" t="str">
        <x:f>'Evaluation Plan'!C18</x:f>
        <x:v>Put the pen closest to the red pencil sharpener in the bowl.</x:v>
      </x:c>
      <x:c r="D18" s="41" t="str">
        <x:f>'Evaluation Plan'!D18</x:f>
        <x:v>Reference: red pencil sharpener at table centre; yellow pen: 10 cm toward robot-left from the reference; green pen: 24 cm away toward robot-right from the reference; airplane toy without propellers: at the far robot-left corner, outside the distance comparison; Bowl: empty</x:v>
      </x:c>
      <x:c r="E18" s="42" t="str">
        <x:f>'Evaluation Plan'!E18</x:f>
      </x:c>
      <x:c r="F18" s="42" t="str">
        <x:f>'Evaluation Plan'!F18</x:f>
        <x:v>501</x:v>
      </x:c>
      <x:c r="G18" s="41" t="str">
        <x:f>'Evaluation Plan'!G18</x:f>
        <x:v>Exact manifest cell: prompt, relation × candidate-category combination, target identity, and object membership are explicitly represented in training; physical positions are manually recreated with a clear margin.</x:v>
      </x:c>
      <x:c r="H18" s="41" t="str">
        <x:f>'Evaluation Plan'!H18</x:f>
        <x:v>yellow pen</x:v>
      </x:c>
      <x:c r="I18" s="41" t="str"/>
      <x:c r="J18" s="43" t="str">
        <x:f>'Evaluation Plan'!J18</x:f>
        <x:v>In-distribution concept baseline</x:v>
      </x:c>
      <x:c r="K18" s="42" t="str">
        <x:f>'Evaluation Plan'!K18</x:f>
        <x:v>RD-ID17</x:v>
      </x:c>
      <x:c r="L18" s="42" t="str">
        <x:f>'Evaluation Plan'!L18</x:f>
        <x:v>closest</x:v>
      </x:c>
      <x:c r="M18" s="42" t="str">
        <x:f>'Evaluation Plan'!M18</x:f>
        <x:v>pen</x:v>
      </x:c>
      <x:c r="N18" s="42" t="n">
        <x:f>'Evaluation Plan'!N18</x:f>
        <x:v>4</x:v>
      </x:c>
      <x:c r="O18" s="42" t="n">
        <x:f>'Evaluation Plan'!O18</x:f>
        <x:v>1</x:v>
      </x:c>
      <x:c r="P18" s="42" t="str">
        <x:f>'Evaluation Plan'!P18</x:f>
        <x:v>Empty</x:v>
      </x:c>
      <x:c r="Q18" s="41" t="str">
        <x:f>'Evaluation Plan'!Q18</x:f>
        <x:v>Exact training-supported relation × candidate-category baseline</x:v>
      </x:c>
      <x:c r="R18" s="42" t="n">
        <x:f>'Evaluation Plan'!R18</x:f>
        <x:v>1</x:v>
      </x:c>
      <x:c r="S18" s="41" t="str">
        <x:f>'Evaluation Plan'!S18</x:f>
        <x:v>Recreate the listed four-object scene with the bowl empty.</x:v>
      </x:c>
      <x:c r="T18" s="41" t="str">
        <x:f>'Evaluation Plan'!T18</x:f>
        <x:v>The relation, candidate category, target identity, and object membership occur together in the cited training episode.</x:v>
      </x:c>
      <x:c r="U18" s="41" t="n">
        <x:f>'Evaluation Plan'!U18</x:f>
        <x:v>0</x:v>
      </x:c>
    </x:row>
    <x:row r="19" ht="51" customHeight="1">
      <x:c r="A19" s="44" t="str">
        <x:v>Not collected</x:v>
      </x:c>
      <x:c r="B19" s="45" t="n">
        <x:f>'Evaluation Plan'!B19</x:f>
        <x:v>17</x:v>
      </x:c>
      <x:c r="C19" s="44" t="str">
        <x:f>'Evaluation Plan'!C19</x:f>
        <x:v>Pick up the pen furthest from the crushed Pepsi can and place it in the bowl.</x:v>
      </x:c>
      <x:c r="D19" s="44" t="str">
        <x:f>'Evaluation Plan'!D19</x:f>
        <x:v>Reference: crushed Pepsi can at table centre; yellow pen: 10 cm toward robot-right from the reference; green pen: 24 cm away toward robot-left from the reference; green pencil sharpener: at the far robot-left corner, outside the distance comparison; Bowl: empty</x:v>
      </x:c>
      <x:c r="E19" s="45" t="str">
        <x:f>'Evaluation Plan'!E19</x:f>
      </x:c>
      <x:c r="F19" s="45" t="str">
        <x:f>'Evaluation Plan'!F19</x:f>
        <x:v>516</x:v>
      </x:c>
      <x:c r="G19" s="44" t="str">
        <x:f>'Evaluation Plan'!G19</x:f>
        <x:v>Exact manifest cell: prompt, relation × candidate-category combination, target identity, and object membership are explicitly represented in training; physical positions are manually recreated with a clear margin.</x:v>
      </x:c>
      <x:c r="H19" s="44" t="str">
        <x:f>'Evaluation Plan'!H19</x:f>
        <x:v>green pen</x:v>
      </x:c>
      <x:c r="I19" s="44" t="str"/>
      <x:c r="J19" s="43" t="str">
        <x:f>'Evaluation Plan'!J19</x:f>
        <x:v>In-distribution concept baseline</x:v>
      </x:c>
      <x:c r="K19" s="45" t="str">
        <x:f>'Evaluation Plan'!K19</x:f>
        <x:v>RD-ID18</x:v>
      </x:c>
      <x:c r="L19" s="45" t="str">
        <x:f>'Evaluation Plan'!L19</x:f>
        <x:v>furthest</x:v>
      </x:c>
      <x:c r="M19" s="45" t="str">
        <x:f>'Evaluation Plan'!M19</x:f>
        <x:v>pen</x:v>
      </x:c>
      <x:c r="N19" s="45" t="n">
        <x:f>'Evaluation Plan'!N19</x:f>
        <x:v>4</x:v>
      </x:c>
      <x:c r="O19" s="45" t="n">
        <x:f>'Evaluation Plan'!O19</x:f>
        <x:v>1</x:v>
      </x:c>
      <x:c r="P19" s="45" t="str">
        <x:f>'Evaluation Plan'!P19</x:f>
        <x:v>Empty</x:v>
      </x:c>
      <x:c r="Q19" s="44" t="str">
        <x:f>'Evaluation Plan'!Q19</x:f>
        <x:v>Exact training-supported relation × candidate-category baseline</x:v>
      </x:c>
      <x:c r="R19" s="45" t="n">
        <x:f>'Evaluation Plan'!R19</x:f>
        <x:v>1</x:v>
      </x:c>
      <x:c r="S19" s="44" t="str">
        <x:f>'Evaluation Plan'!S19</x:f>
        <x:v>Recreate the listed four-object scene with the bowl empty.</x:v>
      </x:c>
      <x:c r="T19" s="44" t="str">
        <x:f>'Evaluation Plan'!T19</x:f>
        <x:v>The relation, candidate category, target identity, and object membership occur together in the cited training episode.</x:v>
      </x:c>
      <x:c r="U19" s="44" t="n">
        <x:f>'Evaluation Plan'!U19</x:f>
        <x:v>0</x:v>
      </x:c>
    </x:row>
    <x:row r="20" ht="51" customHeight="1">
      <x:c r="A20" s="41" t="str">
        <x:v>Not collected</x:v>
      </x:c>
      <x:c r="B20" s="42" t="n">
        <x:f>'Evaluation Plan'!B20</x:f>
        <x:v>18</x:v>
      </x:c>
      <x:c r="C20" s="41" t="str">
        <x:f>'Evaluation Plan'!C20</x:f>
        <x:v>Pick up the pen furthest from the airplane toy without propellers and place it in the bowl.</x:v>
      </x:c>
      <x:c r="D20" s="41" t="str">
        <x:f>'Evaluation Plan'!D20</x:f>
        <x:v>Reference: airplane toy without propellers at table centre; yellow pen: 10 cm to robot-left of the reference; green pen: 24 cm to robot-right of the reference; crushed Coke can: at the far robot-left corner, outside the distance comparison; Bowl: empty</x:v>
      </x:c>
      <x:c r="E20" s="42" t="str">
        <x:f>'Evaluation Plan'!E20</x:f>
      </x:c>
      <x:c r="F20" s="42" t="str">
        <x:f>'Evaluation Plan'!F20</x:f>
        <x:v>518</x:v>
      </x:c>
      <x:c r="G20" s="41" t="str">
        <x:f>'Evaluation Plan'!G20</x:f>
        <x:v>Exact manifest cell: prompt, relation × candidate-category combination, target identity, and object membership are explicitly represented in training; physical positions are manually recreated with a clear margin.</x:v>
      </x:c>
      <x:c r="H20" s="41" t="str">
        <x:f>'Evaluation Plan'!H20</x:f>
        <x:v>green pen</x:v>
      </x:c>
      <x:c r="I20" s="41" t="str"/>
      <x:c r="J20" s="43" t="str">
        <x:f>'Evaluation Plan'!J20</x:f>
        <x:v>In-distribution concept baseline</x:v>
      </x:c>
      <x:c r="K20" s="42" t="str">
        <x:f>'Evaluation Plan'!K20</x:f>
        <x:v>RD-ID19</x:v>
      </x:c>
      <x:c r="L20" s="42" t="str">
        <x:f>'Evaluation Plan'!L20</x:f>
        <x:v>furthest</x:v>
      </x:c>
      <x:c r="M20" s="42" t="str">
        <x:f>'Evaluation Plan'!M20</x:f>
        <x:v>pen</x:v>
      </x:c>
      <x:c r="N20" s="42" t="n">
        <x:f>'Evaluation Plan'!N20</x:f>
        <x:v>4</x:v>
      </x:c>
      <x:c r="O20" s="42" t="n">
        <x:f>'Evaluation Plan'!O20</x:f>
        <x:v>1</x:v>
      </x:c>
      <x:c r="P20" s="42" t="str">
        <x:f>'Evaluation Plan'!P20</x:f>
        <x:v>Empty</x:v>
      </x:c>
      <x:c r="Q20" s="41" t="str">
        <x:f>'Evaluation Plan'!Q20</x:f>
        <x:v>Exact training-supported relation × candidate-category baseline</x:v>
      </x:c>
      <x:c r="R20" s="42" t="n">
        <x:f>'Evaluation Plan'!R20</x:f>
        <x:v>1</x:v>
      </x:c>
      <x:c r="S20" s="41" t="str">
        <x:f>'Evaluation Plan'!S20</x:f>
        <x:v>Recreate the listed four-object scene with the bowl empty.</x:v>
      </x:c>
      <x:c r="T20" s="41" t="str">
        <x:f>'Evaluation Plan'!T20</x:f>
        <x:v>The relation, candidate category, target identity, and object membership occur together in the cited training episode.</x:v>
      </x:c>
      <x:c r="U20" s="41" t="n">
        <x:f>'Evaluation Plan'!U20</x:f>
        <x:v>0</x:v>
      </x:c>
    </x:row>
    <x:row r="21" ht="51" customHeight="1">
      <x:c r="A21" s="44" t="str">
        <x:v>Not collected</x:v>
      </x:c>
      <x:c r="B21" s="45" t="n">
        <x:f>'Evaluation Plan'!B21</x:f>
        <x:v>19</x:v>
      </x:c>
      <x:c r="C21" s="44" t="str">
        <x:f>'Evaluation Plan'!C21</x:f>
        <x:v>Pick up the pen furthest from the red pencil sharpener and place it in the bowl.</x:v>
      </x:c>
      <x:c r="D21" s="44" t="str">
        <x:f>'Evaluation Plan'!D21</x:f>
        <x:v>Reference: red pencil sharpener at table centre; yellow pen: 10 cm to robot-right of the reference; green pen: 24 cm to robot-left of the reference; green pencil sharpener: at the far robot-left corner, outside the distance comparison; Bowl: empty</x:v>
      </x:c>
      <x:c r="E21" s="45" t="str">
        <x:f>'Evaluation Plan'!E21</x:f>
      </x:c>
      <x:c r="F21" s="45" t="str">
        <x:f>'Evaluation Plan'!F21</x:f>
        <x:v>520</x:v>
      </x:c>
      <x:c r="G21" s="44" t="str">
        <x:f>'Evaluation Plan'!G21</x:f>
        <x:v>Exact manifest cell: prompt, relation × candidate-category combination, target identity, and object membership are explicitly represented in training; physical positions are manually recreated with a clear margin.</x:v>
      </x:c>
      <x:c r="H21" s="44" t="str">
        <x:f>'Evaluation Plan'!H21</x:f>
        <x:v>green pen</x:v>
      </x:c>
      <x:c r="I21" s="44" t="str"/>
      <x:c r="J21" s="43" t="str">
        <x:f>'Evaluation Plan'!J21</x:f>
        <x:v>In-distribution concept baseline</x:v>
      </x:c>
      <x:c r="K21" s="45" t="str">
        <x:f>'Evaluation Plan'!K21</x:f>
        <x:v>RD-ID20</x:v>
      </x:c>
      <x:c r="L21" s="45" t="str">
        <x:f>'Evaluation Plan'!L21</x:f>
        <x:v>furthest</x:v>
      </x:c>
      <x:c r="M21" s="45" t="str">
        <x:f>'Evaluation Plan'!M21</x:f>
        <x:v>pen</x:v>
      </x:c>
      <x:c r="N21" s="45" t="n">
        <x:f>'Evaluation Plan'!N21</x:f>
        <x:v>4</x:v>
      </x:c>
      <x:c r="O21" s="45" t="n">
        <x:f>'Evaluation Plan'!O21</x:f>
        <x:v>1</x:v>
      </x:c>
      <x:c r="P21" s="45" t="str">
        <x:f>'Evaluation Plan'!P21</x:f>
        <x:v>Empty</x:v>
      </x:c>
      <x:c r="Q21" s="44" t="str">
        <x:f>'Evaluation Plan'!Q21</x:f>
        <x:v>Exact training-supported relation × candidate-category baseline</x:v>
      </x:c>
      <x:c r="R21" s="45" t="n">
        <x:f>'Evaluation Plan'!R21</x:f>
        <x:v>1</x:v>
      </x:c>
      <x:c r="S21" s="44" t="str">
        <x:f>'Evaluation Plan'!S21</x:f>
        <x:v>Recreate the listed four-object scene with the bowl empty.</x:v>
      </x:c>
      <x:c r="T21" s="44" t="str">
        <x:f>'Evaluation Plan'!T21</x:f>
        <x:v>The relation, candidate category, target identity, and object membership occur together in the cited training episode.</x:v>
      </x:c>
      <x:c r="U21" s="44" t="n">
        <x:f>'Evaluation Plan'!U21</x:f>
        <x:v>0</x:v>
      </x:c>
    </x:row>
    <x:row r="22" ht="51" customHeight="1">
      <x:c r="A22" s="41" t="str">
        <x:v>Not collected</x:v>
      </x:c>
      <x:c r="B22" s="42" t="n">
        <x:f>'Evaluation Plan'!B22</x:f>
        <x:v>20</x:v>
      </x:c>
      <x:c r="C22" s="41" t="str">
        <x:f>'Evaluation Plan'!C22</x:f>
        <x:v>Pick up the airplane toy furthest from the green pen and place it in the bowl.</x:v>
      </x:c>
      <x:c r="D22" s="41" t="str">
        <x:f>'Evaluation Plan'!D22</x:f>
        <x:v>Reference: green pen at table centre; airplane toy without propellers: 10 cm to robot-left of the reference; airplane toy with propellers: 24 cm to robot-right of the reference; crushed Coke can: at the far robot-left corner, outside the distance comparison; Bowl: empty</x:v>
      </x:c>
      <x:c r="E22" s="42" t="str">
        <x:f>'Evaluation Plan'!E22</x:f>
      </x:c>
      <x:c r="F22" s="42" t="str">
        <x:f>'Evaluation Plan'!F22</x:f>
        <x:v>566</x:v>
      </x:c>
      <x:c r="G22" s="41" t="str">
        <x:f>'Evaluation Plan'!G22</x:f>
        <x:v>Masked source trajectory: the target identity and physical manipulation are trained under a direct-name prompt, while this relation × candidate-category composition is intentionally absent.</x:v>
      </x:c>
      <x:c r="H22" s="41" t="str">
        <x:f>'Evaluation Plan'!H22</x:f>
        <x:v>airplane toy with propellers</x:v>
      </x:c>
      <x:c r="I22" s="41" t="str"/>
      <x:c r="J22" s="46" t="str">
        <x:f>'Evaluation Plan'!J22</x:f>
        <x:v>Concept/compositional transfer</x:v>
      </x:c>
      <x:c r="K22" s="42" t="str">
        <x:f>'Evaluation Plan'!K22</x:f>
        <x:v>RD-CT01</x:v>
      </x:c>
      <x:c r="L22" s="42" t="str">
        <x:f>'Evaluation Plan'!L22</x:f>
        <x:v>furthest</x:v>
      </x:c>
      <x:c r="M22" s="42" t="str">
        <x:f>'Evaluation Plan'!M22</x:f>
        <x:v>airplane toy</x:v>
      </x:c>
      <x:c r="N22" s="42" t="n">
        <x:f>'Evaluation Plan'!N22</x:f>
        <x:v>4</x:v>
      </x:c>
      <x:c r="O22" s="42" t="n">
        <x:f>'Evaluation Plan'!O22</x:f>
        <x:v>1</x:v>
      </x:c>
      <x:c r="P22" s="42" t="str">
        <x:f>'Evaluation Plan'!P22</x:f>
        <x:v>Empty</x:v>
      </x:c>
      <x:c r="Q22" s="41" t="str">
        <x:f>'Evaluation Plan'!Q22</x:f>
        <x:v>Primary held-out relation × candidate-category composition — Pick up</x:v>
      </x:c>
      <x:c r="R22" s="42" t="n">
        <x:f>'Evaluation Plan'!R22</x:f>
        <x:v>2</x:v>
      </x:c>
      <x:c r="S22" s="41" t="str">
        <x:f>'Evaluation Plan'!S22</x:f>
        <x:v>Build the listed relation scene with the bowl empty.</x:v>
      </x:c>
      <x:c r="T22" s="41" t="str">
        <x:f>'Evaluation Plan'!T22</x:f>
        <x:v>Both candidates are present. The held-out relation is the only information that identifies the target.</x:v>
      </x:c>
      <x:c r="U22" s="41" t="n">
        <x:f>'Evaluation Plan'!U22</x:f>
        <x:v>0</x:v>
      </x:c>
    </x:row>
    <x:row r="23" ht="51" customHeight="1">
      <x:c r="A23" s="32" t="str">
        <x:v>Not collected</x:v>
      </x:c>
      <x:c r="B23" s="34" t="n">
        <x:f>'Evaluation Plan'!B23</x:f>
        <x:v>21</x:v>
      </x:c>
      <x:c r="C23" s="32" t="str">
        <x:f>'Evaluation Plan'!C23</x:f>
        <x:v>Put the airplane toy with propellers in the bowl.</x:v>
      </x:c>
      <x:c r="D23" s="32" t="str">
        <x:f>'Evaluation Plan'!D23</x:f>
        <x:v>Reference: green pen at table centre; airplane toy without propellers: 10 cm to robot-left of the reference; airplane toy with propellers: 24 cm to robot-right of the reference; crushed Coke can: at the far robot-left corner, outside the distance comparison; Bowl: empty</x:v>
      </x:c>
      <x:c r="E23" s="34" t="n">
        <x:f>'Evaluation Plan'!E23</x:f>
        <x:v>20</x:v>
      </x:c>
      <x:c r="F23" s="34" t="str">
        <x:f>'Evaluation Plan'!F23</x:f>
        <x:v>566</x:v>
      </x:c>
      <x:c r="G23" s="32" t="str">
        <x:f>'Evaluation Plan'!G23</x:f>
        <x:v>Exact masked-cell training prompt for the same target identity. The evaluation scene and physical endpoint are identical to the paired transfer row.</x:v>
      </x:c>
      <x:c r="H23" s="32" t="str">
        <x:f>'Evaluation Plan'!H23</x:f>
        <x:v>airplane toy with propellers</x:v>
      </x:c>
      <x:c r="I23" s="32" t="str"/>
      <x:c r="J23" s="37" t="str">
        <x:f>'Evaluation Plan'!J23</x:f>
        <x:v>Matched manipulation control</x:v>
      </x:c>
      <x:c r="K23" s="34" t="str">
        <x:f>'Evaluation Plan'!K23</x:f>
        <x:v>RD-CT01</x:v>
      </x:c>
      <x:c r="L23" s="34" t="str">
        <x:f>'Evaluation Plan'!L23</x:f>
        <x:v>direct name</x:v>
      </x:c>
      <x:c r="M23" s="34" t="str">
        <x:f>'Evaluation Plan'!M23</x:f>
        <x:v>airplane toy</x:v>
      </x:c>
      <x:c r="N23" s="34" t="n">
        <x:f>'Evaluation Plan'!N23</x:f>
        <x:v>4</x:v>
      </x:c>
      <x:c r="O23" s="34" t="n">
        <x:f>'Evaluation Plan'!O23</x:f>
        <x:v>1</x:v>
      </x:c>
      <x:c r="P23" s="34" t="str">
        <x:f>'Evaluation Plan'!P23</x:f>
        <x:v>Empty</x:v>
      </x:c>
      <x:c r="Q23" s="32" t="str">
        <x:f>'Evaluation Plan'!Q23</x:f>
        <x:v>Exact-scene direct-identity manipulation control</x:v>
      </x:c>
      <x:c r="R23" s="34" t="n">
        <x:f>'Evaluation Plan'!R23</x:f>
        <x:v>2</x:v>
      </x:c>
      <x:c r="S23" s="32" t="str">
        <x:f>'Evaluation Plan'!S23</x:f>
        <x:v>Reset the moved object exactly; preserve the scene; change only the instruction.</x:v>
      </x:c>
      <x:c r="T23" s="32" t="str">
        <x:f>'Evaluation Plan'!T23</x:f>
        <x:v>Controls recognition and manipulation of the same target without requiring referential reasoning.</x:v>
      </x:c>
      <x:c r="U23" s="32" t="n">
        <x:f>'Evaluation Plan'!U23</x:f>
        <x:v>0</x:v>
      </x:c>
    </x:row>
    <x:row r="24" ht="51" customHeight="1">
      <x:c r="A24" s="31" t="str">
        <x:v>Not collected</x:v>
      </x:c>
      <x:c r="B24" s="33" t="n">
        <x:f>'Evaluation Plan'!B24</x:f>
        <x:v>22</x:v>
      </x:c>
      <x:c r="C24" s="31" t="str">
        <x:f>'Evaluation Plan'!C24</x:f>
        <x:v>Choose the airplane toy farthest from the green pen and put it in the bowl.</x:v>
      </x:c>
      <x:c r="D24" s="31" t="str">
        <x:f>'Evaluation Plan'!D24</x:f>
        <x:v>Reference: green pen at table centre; airplane toy without propellers: 10 cm to robot-left of the reference; airplane toy with propellers: 24 cm to robot-right of the reference; crushed Coke can: at the far robot-left corner, outside the distance comparison; Bowl: empty</x:v>
      </x:c>
      <x:c r="E24" s="33" t="n">
        <x:f>'Evaluation Plan'!E24</x:f>
        <x:v>20</x:v>
      </x:c>
      <x:c r="F24" s="33" t="str">
        <x:f>'Evaluation Plan'!F24</x:f>
        <x:v>566</x:v>
      </x:c>
      <x:c r="G24" s="31" t="str">
        <x:f>'Evaluation Plan'!G24</x:f>
        <x:v>Exact canonical transfer scene and masked trajectory reference; only the instruction wording changes. This remains a separate language diagnostic.</x:v>
      </x:c>
      <x:c r="H24" s="31" t="str">
        <x:f>'Evaluation Plan'!H24</x:f>
        <x:v>airplane toy with propellers</x:v>
      </x:c>
      <x:c r="I24" s="31" t="str"/>
      <x:c r="J24" s="38" t="str">
        <x:f>'Evaluation Plan'!J24</x:f>
        <x:v>Language robustness</x:v>
      </x:c>
      <x:c r="K24" s="33" t="str">
        <x:f>'Evaluation Plan'!K24</x:f>
        <x:v>RD-CT01</x:v>
      </x:c>
      <x:c r="L24" s="33" t="str">
        <x:f>'Evaluation Plan'!L24</x:f>
        <x:v>furthest</x:v>
      </x:c>
      <x:c r="M24" s="33" t="str">
        <x:f>'Evaluation Plan'!M24</x:f>
        <x:v>airplane toy</x:v>
      </x:c>
      <x:c r="N24" s="33" t="n">
        <x:f>'Evaluation Plan'!N24</x:f>
        <x:v>4</x:v>
      </x:c>
      <x:c r="O24" s="33" t="n">
        <x:f>'Evaluation Plan'!O24</x:f>
        <x:v>1</x:v>
      </x:c>
      <x:c r="P24" s="33" t="str">
        <x:f>'Evaluation Plan'!P24</x:f>
        <x:v>Empty</x:v>
      </x:c>
      <x:c r="Q24" s="31" t="str">
        <x:f>'Evaluation Plan'!Q24</x:f>
        <x:v>Primary compositional-transfer prompt paraphrase</x:v>
      </x:c>
      <x:c r="R24" s="33" t="n">
        <x:f>'Evaluation Plan'!R24</x:f>
        <x:v>2</x:v>
      </x:c>
      <x:c r="S24" s="31" t="str">
        <x:f>'Evaluation Plan'!S24</x:f>
        <x:v>Reset the moved object exactly; preserve the scene; change only the wording.</x:v>
      </x:c>
      <x:c r="T24" s="31" t="str">
        <x:f>'Evaluation Plan'!T24</x:f>
        <x:v>One of 10 exact-scene paraphrases of canonical transfer trials.</x:v>
      </x:c>
      <x:c r="U24" s="31" t="n">
        <x:f>'Evaluation Plan'!U24</x:f>
        <x:v>0</x:v>
      </x:c>
    </x:row>
    <x:row r="25" ht="51" customHeight="1">
      <x:c r="A25" s="32" t="str">
        <x:v>Not collected</x:v>
      </x:c>
      <x:c r="B25" s="34" t="n">
        <x:f>'Evaluation Plan'!B25</x:f>
        <x:v>23</x:v>
      </x:c>
      <x:c r="C25" s="32" t="str">
        <x:f>'Evaluation Plan'!C25</x:f>
        <x:v>Take the airplane toy with propellers and set it in the bowl.</x:v>
      </x:c>
      <x:c r="D25" s="32" t="str">
        <x:f>'Evaluation Plan'!D25</x:f>
        <x:v>Reference: green pen at table centre; airplane toy without propellers: 10 cm to robot-left of the reference; airplane toy with propellers: 24 cm to robot-right of the reference; crushed Coke can: at the far robot-left corner, outside the distance comparison; Bowl: empty</x:v>
      </x:c>
      <x:c r="E25" s="34" t="n">
        <x:f>'Evaluation Plan'!E25</x:f>
        <x:v>21</x:v>
      </x:c>
      <x:c r="F25" s="34" t="str">
        <x:f>'Evaluation Plan'!F25</x:f>
        <x:v>566</x:v>
      </x:c>
      <x:c r="G25" s="32" t="str">
        <x:f>'Evaluation Plan'!G25</x:f>
        <x:v>Exact matched-control scene and target; only the direct-name instruction wording changes.</x:v>
      </x:c>
      <x:c r="H25" s="32" t="str">
        <x:f>'Evaluation Plan'!H25</x:f>
        <x:v>airplane toy with propellers</x:v>
      </x:c>
      <x:c r="I25" s="32" t="str"/>
      <x:c r="J25" s="38" t="str">
        <x:f>'Evaluation Plan'!J25</x:f>
        <x:v>Language robustness</x:v>
      </x:c>
      <x:c r="K25" s="34" t="str">
        <x:f>'Evaluation Plan'!K25</x:f>
        <x:v>RD-CT01</x:v>
      </x:c>
      <x:c r="L25" s="34" t="str">
        <x:f>'Evaluation Plan'!L25</x:f>
        <x:v>direct-name paraphrase</x:v>
      </x:c>
      <x:c r="M25" s="34" t="str">
        <x:f>'Evaluation Plan'!M25</x:f>
        <x:v>airplane toy</x:v>
      </x:c>
      <x:c r="N25" s="34" t="n">
        <x:f>'Evaluation Plan'!N25</x:f>
        <x:v>4</x:v>
      </x:c>
      <x:c r="O25" s="34" t="n">
        <x:f>'Evaluation Plan'!O25</x:f>
        <x:v>1</x:v>
      </x:c>
      <x:c r="P25" s="34" t="str">
        <x:f>'Evaluation Plan'!P25</x:f>
        <x:v>Empty</x:v>
      </x:c>
      <x:c r="Q25" s="32" t="str">
        <x:f>'Evaluation Plan'!Q25</x:f>
        <x:v>Matched-control direct-name prompt paraphrase</x:v>
      </x:c>
      <x:c r="R25" s="34" t="n">
        <x:f>'Evaluation Plan'!R25</x:f>
        <x:v>2</x:v>
      </x:c>
      <x:c r="S25" s="32" t="str">
        <x:f>'Evaluation Plan'!S25</x:f>
        <x:v>Reset the moved object exactly; preserve the scene; change only the wording.</x:v>
      </x:c>
      <x:c r="T25" s="32" t="str">
        <x:f>'Evaluation Plan'!T25</x:f>
        <x:v>One of 10 exact-scene paraphrases of matched manipulation controls.</x:v>
      </x:c>
      <x:c r="U25" s="32" t="n">
        <x:f>'Evaluation Plan'!U25</x:f>
        <x:v>0</x:v>
      </x:c>
    </x:row>
    <x:row r="26" ht="51" customHeight="1">
      <x:c r="A26" s="41" t="str">
        <x:v>Not collected</x:v>
      </x:c>
      <x:c r="B26" s="42" t="n">
        <x:f>'Evaluation Plan'!B26</x:f>
        <x:v>24</x:v>
      </x:c>
      <x:c r="C26" s="41" t="str">
        <x:f>'Evaluation Plan'!C26</x:f>
        <x:v>Pick up the crushed soda can closest to the green pen and place it in the bowl.</x:v>
      </x:c>
      <x:c r="D26" s="41" t="str">
        <x:f>'Evaluation Plan'!D26</x:f>
        <x:v>Reference: green pen at table centre; crushed Coke can: 10 cm to robot-left of the reference; crushed Pepsi can: 24 cm to robot-right of the reference; yellow pen: at the far robot-left corner, outside the distance comparison; Bowl: empty</x:v>
      </x:c>
      <x:c r="E26" s="42" t="str">
        <x:f>'Evaluation Plan'!E26</x:f>
      </x:c>
      <x:c r="F26" s="42" t="str">
        <x:f>'Evaluation Plan'!F26</x:f>
        <x:v>400</x:v>
      </x:c>
      <x:c r="G26" s="41" t="str">
        <x:f>'Evaluation Plan'!G26</x:f>
        <x:v>Masked source trajectory: the target identity and physical manipulation are trained under a direct-name prompt, while this relation × candidate-category composition is intentionally absent.</x:v>
      </x:c>
      <x:c r="H26" s="41" t="str">
        <x:f>'Evaluation Plan'!H26</x:f>
        <x:v>crushed Coke can</x:v>
      </x:c>
      <x:c r="I26" s="41" t="str"/>
      <x:c r="J26" s="46" t="str">
        <x:f>'Evaluation Plan'!J26</x:f>
        <x:v>Concept/compositional transfer</x:v>
      </x:c>
      <x:c r="K26" s="42" t="str">
        <x:f>'Evaluation Plan'!K26</x:f>
        <x:v>RD-CT02</x:v>
      </x:c>
      <x:c r="L26" s="42" t="str">
        <x:f>'Evaluation Plan'!L26</x:f>
        <x:v>closest</x:v>
      </x:c>
      <x:c r="M26" s="42" t="str">
        <x:f>'Evaluation Plan'!M26</x:f>
        <x:v>crushed soda can</x:v>
      </x:c>
      <x:c r="N26" s="42" t="n">
        <x:f>'Evaluation Plan'!N26</x:f>
        <x:v>4</x:v>
      </x:c>
      <x:c r="O26" s="42" t="n">
        <x:f>'Evaluation Plan'!O26</x:f>
        <x:v>1</x:v>
      </x:c>
      <x:c r="P26" s="42" t="str">
        <x:f>'Evaluation Plan'!P26</x:f>
        <x:v>Empty</x:v>
      </x:c>
      <x:c r="Q26" s="41" t="str">
        <x:f>'Evaluation Plan'!Q26</x:f>
        <x:v>Primary held-out relation × candidate-category composition — Pick up</x:v>
      </x:c>
      <x:c r="R26" s="42" t="n">
        <x:f>'Evaluation Plan'!R26</x:f>
        <x:v>2</x:v>
      </x:c>
      <x:c r="S26" s="41" t="str">
        <x:f>'Evaluation Plan'!S26</x:f>
        <x:v>Build the listed relation scene with the bowl empty.</x:v>
      </x:c>
      <x:c r="T26" s="41" t="str">
        <x:f>'Evaluation Plan'!T26</x:f>
        <x:v>Both candidates are present. The held-out relation is the only information that identifies the target.</x:v>
      </x:c>
      <x:c r="U26" s="41" t="n">
        <x:f>'Evaluation Plan'!U26</x:f>
        <x:v>0</x:v>
      </x:c>
    </x:row>
    <x:row r="27" ht="51" customHeight="1">
      <x:c r="A27" s="32" t="str">
        <x:v>Not collected</x:v>
      </x:c>
      <x:c r="B27" s="34" t="n">
        <x:f>'Evaluation Plan'!B27</x:f>
        <x:v>25</x:v>
      </x:c>
      <x:c r="C27" s="32" t="str">
        <x:f>'Evaluation Plan'!C27</x:f>
        <x:v>Put the crushed Coke can in the bowl.</x:v>
      </x:c>
      <x:c r="D27" s="32" t="str">
        <x:f>'Evaluation Plan'!D27</x:f>
        <x:v>Reference: green pen at table centre; crushed Coke can: 10 cm to robot-left of the reference; crushed Pepsi can: 24 cm to robot-right of the reference; yellow pen: at the far robot-left corner, outside the distance comparison; Bowl: empty</x:v>
      </x:c>
      <x:c r="E27" s="34" t="n">
        <x:f>'Evaluation Plan'!E27</x:f>
        <x:v>24</x:v>
      </x:c>
      <x:c r="F27" s="34" t="str">
        <x:f>'Evaluation Plan'!F27</x:f>
        <x:v>400</x:v>
      </x:c>
      <x:c r="G27" s="32" t="str">
        <x:f>'Evaluation Plan'!G27</x:f>
        <x:v>Exact masked-cell training prompt for the same target identity. The evaluation scene and physical endpoint are identical to the paired transfer row.</x:v>
      </x:c>
      <x:c r="H27" s="32" t="str">
        <x:f>'Evaluation Plan'!H27</x:f>
        <x:v>crushed Coke can</x:v>
      </x:c>
      <x:c r="I27" s="32" t="str"/>
      <x:c r="J27" s="37" t="str">
        <x:f>'Evaluation Plan'!J27</x:f>
        <x:v>Matched manipulation control</x:v>
      </x:c>
      <x:c r="K27" s="34" t="str">
        <x:f>'Evaluation Plan'!K27</x:f>
        <x:v>RD-CT02</x:v>
      </x:c>
      <x:c r="L27" s="34" t="str">
        <x:f>'Evaluation Plan'!L27</x:f>
        <x:v>direct name</x:v>
      </x:c>
      <x:c r="M27" s="34" t="str">
        <x:f>'Evaluation Plan'!M27</x:f>
        <x:v>crushed soda can</x:v>
      </x:c>
      <x:c r="N27" s="34" t="n">
        <x:f>'Evaluation Plan'!N27</x:f>
        <x:v>4</x:v>
      </x:c>
      <x:c r="O27" s="34" t="n">
        <x:f>'Evaluation Plan'!O27</x:f>
        <x:v>1</x:v>
      </x:c>
      <x:c r="P27" s="34" t="str">
        <x:f>'Evaluation Plan'!P27</x:f>
        <x:v>Empty</x:v>
      </x:c>
      <x:c r="Q27" s="32" t="str">
        <x:f>'Evaluation Plan'!Q27</x:f>
        <x:v>Exact-scene direct-identity manipulation control</x:v>
      </x:c>
      <x:c r="R27" s="34" t="n">
        <x:f>'Evaluation Plan'!R27</x:f>
        <x:v>2</x:v>
      </x:c>
      <x:c r="S27" s="32" t="str">
        <x:f>'Evaluation Plan'!S27</x:f>
        <x:v>Reset the moved object exactly; preserve the scene; change only the instruction.</x:v>
      </x:c>
      <x:c r="T27" s="32" t="str">
        <x:f>'Evaluation Plan'!T27</x:f>
        <x:v>Controls recognition and manipulation of the same target without requiring referential reasoning.</x:v>
      </x:c>
      <x:c r="U27" s="32" t="n">
        <x:f>'Evaluation Plan'!U27</x:f>
        <x:v>0</x:v>
      </x:c>
    </x:row>
    <x:row r="28" ht="51" customHeight="1">
      <x:c r="A28" s="31" t="str">
        <x:v>Not collected</x:v>
      </x:c>
      <x:c r="B28" s="33" t="n">
        <x:f>'Evaluation Plan'!B28</x:f>
        <x:v>26</x:v>
      </x:c>
      <x:c r="C28" s="31" t="str">
        <x:f>'Evaluation Plan'!C28</x:f>
        <x:v>Choose the crushed soda can nearest to the green pen and put it in the bowl.</x:v>
      </x:c>
      <x:c r="D28" s="31" t="str">
        <x:f>'Evaluation Plan'!D28</x:f>
        <x:v>Reference: green pen at table centre; crushed Coke can: 10 cm to robot-left of the reference; crushed Pepsi can: 24 cm to robot-right of the reference; yellow pen: at the far robot-left corner, outside the distance comparison; Bowl: empty</x:v>
      </x:c>
      <x:c r="E28" s="33" t="n">
        <x:f>'Evaluation Plan'!E28</x:f>
        <x:v>24</x:v>
      </x:c>
      <x:c r="F28" s="33" t="str">
        <x:f>'Evaluation Plan'!F28</x:f>
        <x:v>400</x:v>
      </x:c>
      <x:c r="G28" s="31" t="str">
        <x:f>'Evaluation Plan'!G28</x:f>
        <x:v>Exact canonical transfer scene and masked trajectory reference; only the instruction wording changes. This remains a separate language diagnostic.</x:v>
      </x:c>
      <x:c r="H28" s="31" t="str">
        <x:f>'Evaluation Plan'!H28</x:f>
        <x:v>crushed Coke can</x:v>
      </x:c>
      <x:c r="I28" s="31" t="str"/>
      <x:c r="J28" s="38" t="str">
        <x:f>'Evaluation Plan'!J28</x:f>
        <x:v>Language robustness</x:v>
      </x:c>
      <x:c r="K28" s="33" t="str">
        <x:f>'Evaluation Plan'!K28</x:f>
        <x:v>RD-CT02</x:v>
      </x:c>
      <x:c r="L28" s="33" t="str">
        <x:f>'Evaluation Plan'!L28</x:f>
        <x:v>closest</x:v>
      </x:c>
      <x:c r="M28" s="33" t="str">
        <x:f>'Evaluation Plan'!M28</x:f>
        <x:v>crushed soda can</x:v>
      </x:c>
      <x:c r="N28" s="33" t="n">
        <x:f>'Evaluation Plan'!N28</x:f>
        <x:v>4</x:v>
      </x:c>
      <x:c r="O28" s="33" t="n">
        <x:f>'Evaluation Plan'!O28</x:f>
        <x:v>1</x:v>
      </x:c>
      <x:c r="P28" s="33" t="str">
        <x:f>'Evaluation Plan'!P28</x:f>
        <x:v>Empty</x:v>
      </x:c>
      <x:c r="Q28" s="31" t="str">
        <x:f>'Evaluation Plan'!Q28</x:f>
        <x:v>Primary compositional-transfer prompt paraphrase</x:v>
      </x:c>
      <x:c r="R28" s="33" t="n">
        <x:f>'Evaluation Plan'!R28</x:f>
        <x:v>2</x:v>
      </x:c>
      <x:c r="S28" s="31" t="str">
        <x:f>'Evaluation Plan'!S28</x:f>
        <x:v>Reset the moved object exactly; preserve the scene; change only the wording.</x:v>
      </x:c>
      <x:c r="T28" s="31" t="str">
        <x:f>'Evaluation Plan'!T28</x:f>
        <x:v>One of 10 exact-scene paraphrases of canonical transfer trials.</x:v>
      </x:c>
      <x:c r="U28" s="31" t="n">
        <x:f>'Evaluation Plan'!U28</x:f>
        <x:v>0</x:v>
      </x:c>
    </x:row>
    <x:row r="29" ht="51" customHeight="1">
      <x:c r="A29" s="32" t="str">
        <x:v>Not collected</x:v>
      </x:c>
      <x:c r="B29" s="34" t="n">
        <x:f>'Evaluation Plan'!B29</x:f>
        <x:v>27</x:v>
      </x:c>
      <x:c r="C29" s="32" t="str">
        <x:f>'Evaluation Plan'!C29</x:f>
        <x:v>Take the crushed Coke can and set it in the bowl.</x:v>
      </x:c>
      <x:c r="D29" s="32" t="str">
        <x:f>'Evaluation Plan'!D29</x:f>
        <x:v>Reference: green pen at table centre; crushed Coke can: 10 cm to robot-left of the reference; crushed Pepsi can: 24 cm to robot-right of the reference; yellow pen: at the far robot-left corner, outside the distance comparison; Bowl: empty</x:v>
      </x:c>
      <x:c r="E29" s="34" t="n">
        <x:f>'Evaluation Plan'!E29</x:f>
        <x:v>25</x:v>
      </x:c>
      <x:c r="F29" s="34" t="str">
        <x:f>'Evaluation Plan'!F29</x:f>
        <x:v>400</x:v>
      </x:c>
      <x:c r="G29" s="32" t="str">
        <x:f>'Evaluation Plan'!G29</x:f>
        <x:v>Exact matched-control scene and target; only the direct-name instruction wording changes.</x:v>
      </x:c>
      <x:c r="H29" s="32" t="str">
        <x:f>'Evaluation Plan'!H29</x:f>
        <x:v>crushed Coke can</x:v>
      </x:c>
      <x:c r="I29" s="32" t="str"/>
      <x:c r="J29" s="38" t="str">
        <x:f>'Evaluation Plan'!J29</x:f>
        <x:v>Language robustness</x:v>
      </x:c>
      <x:c r="K29" s="34" t="str">
        <x:f>'Evaluation Plan'!K29</x:f>
        <x:v>RD-CT02</x:v>
      </x:c>
      <x:c r="L29" s="34" t="str">
        <x:f>'Evaluation Plan'!L29</x:f>
        <x:v>direct-name paraphrase</x:v>
      </x:c>
      <x:c r="M29" s="34" t="str">
        <x:f>'Evaluation Plan'!M29</x:f>
        <x:v>crushed soda can</x:v>
      </x:c>
      <x:c r="N29" s="34" t="n">
        <x:f>'Evaluation Plan'!N29</x:f>
        <x:v>4</x:v>
      </x:c>
      <x:c r="O29" s="34" t="n">
        <x:f>'Evaluation Plan'!O29</x:f>
        <x:v>1</x:v>
      </x:c>
      <x:c r="P29" s="34" t="str">
        <x:f>'Evaluation Plan'!P29</x:f>
        <x:v>Empty</x:v>
      </x:c>
      <x:c r="Q29" s="32" t="str">
        <x:f>'Evaluation Plan'!Q29</x:f>
        <x:v>Matched-control direct-name prompt paraphrase</x:v>
      </x:c>
      <x:c r="R29" s="34" t="n">
        <x:f>'Evaluation Plan'!R29</x:f>
        <x:v>2</x:v>
      </x:c>
      <x:c r="S29" s="32" t="str">
        <x:f>'Evaluation Plan'!S29</x:f>
        <x:v>Reset the moved object exactly; preserve the scene; change only the wording.</x:v>
      </x:c>
      <x:c r="T29" s="32" t="str">
        <x:f>'Evaluation Plan'!T29</x:f>
        <x:v>One of 10 exact-scene paraphrases of matched manipulation controls.</x:v>
      </x:c>
      <x:c r="U29" s="32" t="n">
        <x:f>'Evaluation Plan'!U29</x:f>
        <x:v>0</x:v>
      </x:c>
    </x:row>
    <x:row r="30" ht="51" customHeight="1">
      <x:c r="A30" s="41" t="str">
        <x:v>Not collected</x:v>
      </x:c>
      <x:c r="B30" s="42" t="n">
        <x:f>'Evaluation Plan'!B30</x:f>
        <x:v>28</x:v>
      </x:c>
      <x:c r="C30" s="41" t="str">
        <x:f>'Evaluation Plan'!C30</x:f>
        <x:v>Pick up the pencil sharpener between the green pen and the crushed Coke can and place it in the bowl.</x:v>
      </x:c>
      <x:c r="D30" s="41" t="str">
        <x:f>'Evaluation Plan'!D30</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0" s="42" t="str">
        <x:f>'Evaluation Plan'!E30</x:f>
      </x:c>
      <x:c r="F30" s="42" t="str">
        <x:f>'Evaluation Plan'!F30</x:f>
        <x:v>482</x:v>
      </x:c>
      <x:c r="G30" s="41" t="str">
        <x:f>'Evaluation Plan'!G30</x:f>
        <x:v>Masked source trajectory: the target identity and physical manipulation are trained under a direct-name prompt, while this relation × candidate-category composition is intentionally absent.</x:v>
      </x:c>
      <x:c r="H30" s="41" t="str">
        <x:f>'Evaluation Plan'!H30</x:f>
        <x:v>green pencil sharpener</x:v>
      </x:c>
      <x:c r="I30" s="41" t="str"/>
      <x:c r="J30" s="46" t="str">
        <x:f>'Evaluation Plan'!J30</x:f>
        <x:v>Concept/compositional transfer</x:v>
      </x:c>
      <x:c r="K30" s="42" t="str">
        <x:f>'Evaluation Plan'!K30</x:f>
        <x:v>RD-CT03</x:v>
      </x:c>
      <x:c r="L30" s="42" t="str">
        <x:f>'Evaluation Plan'!L30</x:f>
        <x:v>between</x:v>
      </x:c>
      <x:c r="M30" s="42" t="str">
        <x:f>'Evaluation Plan'!M30</x:f>
        <x:v>pencil sharpener</x:v>
      </x:c>
      <x:c r="N30" s="42" t="n">
        <x:f>'Evaluation Plan'!N30</x:f>
        <x:v>4</x:v>
      </x:c>
      <x:c r="O30" s="42" t="n">
        <x:f>'Evaluation Plan'!O30</x:f>
        <x:v>1</x:v>
      </x:c>
      <x:c r="P30" s="42" t="str">
        <x:f>'Evaluation Plan'!P30</x:f>
        <x:v>Empty</x:v>
      </x:c>
      <x:c r="Q30" s="41" t="str">
        <x:f>'Evaluation Plan'!Q30</x:f>
        <x:v>Primary held-out relation × candidate-category composition — Pick up</x:v>
      </x:c>
      <x:c r="R30" s="42" t="n">
        <x:f>'Evaluation Plan'!R30</x:f>
        <x:v>2</x:v>
      </x:c>
      <x:c r="S30" s="41" t="str">
        <x:f>'Evaluation Plan'!S30</x:f>
        <x:v>Build the listed relation scene with the bowl empty.</x:v>
      </x:c>
      <x:c r="T30" s="41" t="str">
        <x:f>'Evaluation Plan'!T30</x:f>
        <x:v>Both candidates are present. The held-out relation is the only information that identifies the target.</x:v>
      </x:c>
      <x:c r="U30" s="41" t="n">
        <x:f>'Evaluation Plan'!U30</x:f>
        <x:v>0</x:v>
      </x:c>
    </x:row>
    <x:row r="31" ht="51" customHeight="1">
      <x:c r="A31" s="32" t="str">
        <x:v>Not collected</x:v>
      </x:c>
      <x:c r="B31" s="34" t="n">
        <x:f>'Evaluation Plan'!B31</x:f>
        <x:v>29</x:v>
      </x:c>
      <x:c r="C31" s="32" t="str">
        <x:f>'Evaluation Plan'!C31</x:f>
        <x:v>Pick up the green pencil sharpener and place it in the bowl.</x:v>
      </x:c>
      <x:c r="D31" s="32" t="str">
        <x:f>'Evaluation Plan'!D31</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1" s="34" t="n">
        <x:f>'Evaluation Plan'!E31</x:f>
        <x:v>28</x:v>
      </x:c>
      <x:c r="F31" s="34" t="str">
        <x:f>'Evaluation Plan'!F31</x:f>
        <x:v>482</x:v>
      </x:c>
      <x:c r="G31" s="32" t="str">
        <x:f>'Evaluation Plan'!G31</x:f>
        <x:v>Exact masked-cell training prompt for the same target identity. The evaluation scene and physical endpoint are identical to the paired transfer row.</x:v>
      </x:c>
      <x:c r="H31" s="32" t="str">
        <x:f>'Evaluation Plan'!H31</x:f>
        <x:v>green pencil sharpener</x:v>
      </x:c>
      <x:c r="I31" s="32" t="str"/>
      <x:c r="J31" s="37" t="str">
        <x:f>'Evaluation Plan'!J31</x:f>
        <x:v>Matched manipulation control</x:v>
      </x:c>
      <x:c r="K31" s="34" t="str">
        <x:f>'Evaluation Plan'!K31</x:f>
        <x:v>RD-CT03</x:v>
      </x:c>
      <x:c r="L31" s="34" t="str">
        <x:f>'Evaluation Plan'!L31</x:f>
        <x:v>direct name</x:v>
      </x:c>
      <x:c r="M31" s="34" t="str">
        <x:f>'Evaluation Plan'!M31</x:f>
        <x:v>pencil sharpener</x:v>
      </x:c>
      <x:c r="N31" s="34" t="n">
        <x:f>'Evaluation Plan'!N31</x:f>
        <x:v>4</x:v>
      </x:c>
      <x:c r="O31" s="34" t="n">
        <x:f>'Evaluation Plan'!O31</x:f>
        <x:v>1</x:v>
      </x:c>
      <x:c r="P31" s="34" t="str">
        <x:f>'Evaluation Plan'!P31</x:f>
        <x:v>Empty</x:v>
      </x:c>
      <x:c r="Q31" s="32" t="str">
        <x:f>'Evaluation Plan'!Q31</x:f>
        <x:v>Exact-scene direct-identity manipulation control</x:v>
      </x:c>
      <x:c r="R31" s="34" t="n">
        <x:f>'Evaluation Plan'!R31</x:f>
        <x:v>2</x:v>
      </x:c>
      <x:c r="S31" s="32" t="str">
        <x:f>'Evaluation Plan'!S31</x:f>
        <x:v>Reset the moved object exactly; preserve the scene; change only the instruction.</x:v>
      </x:c>
      <x:c r="T31" s="32" t="str">
        <x:f>'Evaluation Plan'!T31</x:f>
        <x:v>Controls recognition and manipulation of the same target without requiring referential reasoning.</x:v>
      </x:c>
      <x:c r="U31" s="32" t="n">
        <x:f>'Evaluation Plan'!U31</x:f>
        <x:v>0</x:v>
      </x:c>
    </x:row>
    <x:row r="32" ht="51" customHeight="1">
      <x:c r="A32" s="31" t="str">
        <x:v>Not collected</x:v>
      </x:c>
      <x:c r="B32" s="33" t="n">
        <x:f>'Evaluation Plan'!B32</x:f>
        <x:v>30</x:v>
      </x:c>
      <x:c r="C32" s="31" t="str">
        <x:f>'Evaluation Plan'!C32</x:f>
        <x:v>Choose the pencil sharpener located in the middle of the green pen and the crushed Coke can, then put it in the bowl.</x:v>
      </x:c>
      <x:c r="D32" s="31" t="str">
        <x:f>'Evaluation Plan'!D32</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2" s="33" t="n">
        <x:f>'Evaluation Plan'!E32</x:f>
        <x:v>28</x:v>
      </x:c>
      <x:c r="F32" s="33" t="str">
        <x:f>'Evaluation Plan'!F32</x:f>
        <x:v>482</x:v>
      </x:c>
      <x:c r="G32" s="31" t="str">
        <x:f>'Evaluation Plan'!G32</x:f>
        <x:v>Exact canonical transfer scene and masked trajectory reference; only the instruction wording changes. This remains a separate language diagnostic.</x:v>
      </x:c>
      <x:c r="H32" s="31" t="str">
        <x:f>'Evaluation Plan'!H32</x:f>
        <x:v>green pencil sharpener</x:v>
      </x:c>
      <x:c r="I32" s="31" t="str"/>
      <x:c r="J32" s="38" t="str">
        <x:f>'Evaluation Plan'!J32</x:f>
        <x:v>Language robustness</x:v>
      </x:c>
      <x:c r="K32" s="33" t="str">
        <x:f>'Evaluation Plan'!K32</x:f>
        <x:v>RD-CT03</x:v>
      </x:c>
      <x:c r="L32" s="33" t="str">
        <x:f>'Evaluation Plan'!L32</x:f>
        <x:v>between</x:v>
      </x:c>
      <x:c r="M32" s="33" t="str">
        <x:f>'Evaluation Plan'!M32</x:f>
        <x:v>pencil sharpener</x:v>
      </x:c>
      <x:c r="N32" s="33" t="n">
        <x:f>'Evaluation Plan'!N32</x:f>
        <x:v>4</x:v>
      </x:c>
      <x:c r="O32" s="33" t="n">
        <x:f>'Evaluation Plan'!O32</x:f>
        <x:v>1</x:v>
      </x:c>
      <x:c r="P32" s="33" t="str">
        <x:f>'Evaluation Plan'!P32</x:f>
        <x:v>Empty</x:v>
      </x:c>
      <x:c r="Q32" s="31" t="str">
        <x:f>'Evaluation Plan'!Q32</x:f>
        <x:v>Primary compositional-transfer prompt paraphrase</x:v>
      </x:c>
      <x:c r="R32" s="33" t="n">
        <x:f>'Evaluation Plan'!R32</x:f>
        <x:v>2</x:v>
      </x:c>
      <x:c r="S32" s="31" t="str">
        <x:f>'Evaluation Plan'!S32</x:f>
        <x:v>Reset the moved object exactly; preserve the scene; change only the wording.</x:v>
      </x:c>
      <x:c r="T32" s="31" t="str">
        <x:f>'Evaluation Plan'!T32</x:f>
        <x:v>One of 10 exact-scene paraphrases of canonical transfer trials.</x:v>
      </x:c>
      <x:c r="U32" s="31" t="n">
        <x:f>'Evaluation Plan'!U32</x:f>
        <x:v>0</x:v>
      </x:c>
    </x:row>
    <x:row r="33" ht="51" customHeight="1">
      <x:c r="A33" s="32" t="str">
        <x:v>Not collected</x:v>
      </x:c>
      <x:c r="B33" s="34" t="n">
        <x:f>'Evaluation Plan'!B33</x:f>
        <x:v>31</x:v>
      </x:c>
      <x:c r="C33" s="32" t="str">
        <x:f>'Evaluation Plan'!C33</x:f>
        <x:v>Take the green pencil sharpener and set it in the bowl.</x:v>
      </x:c>
      <x:c r="D33" s="32" t="str">
        <x:f>'Evaluation Plan'!D33</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3" s="34" t="n">
        <x:f>'Evaluation Plan'!E33</x:f>
        <x:v>29</x:v>
      </x:c>
      <x:c r="F33" s="34" t="str">
        <x:f>'Evaluation Plan'!F33</x:f>
        <x:v>482</x:v>
      </x:c>
      <x:c r="G33" s="32" t="str">
        <x:f>'Evaluation Plan'!G33</x:f>
        <x:v>Exact matched-control scene and target; only the direct-name instruction wording changes.</x:v>
      </x:c>
      <x:c r="H33" s="32" t="str">
        <x:f>'Evaluation Plan'!H33</x:f>
        <x:v>green pencil sharpener</x:v>
      </x:c>
      <x:c r="I33" s="32" t="str"/>
      <x:c r="J33" s="38" t="str">
        <x:f>'Evaluation Plan'!J33</x:f>
        <x:v>Language robustness</x:v>
      </x:c>
      <x:c r="K33" s="34" t="str">
        <x:f>'Evaluation Plan'!K33</x:f>
        <x:v>RD-CT03</x:v>
      </x:c>
      <x:c r="L33" s="34" t="str">
        <x:f>'Evaluation Plan'!L33</x:f>
        <x:v>direct-name paraphrase</x:v>
      </x:c>
      <x:c r="M33" s="34" t="str">
        <x:f>'Evaluation Plan'!M33</x:f>
        <x:v>pencil sharpener</x:v>
      </x:c>
      <x:c r="N33" s="34" t="n">
        <x:f>'Evaluation Plan'!N33</x:f>
        <x:v>4</x:v>
      </x:c>
      <x:c r="O33" s="34" t="n">
        <x:f>'Evaluation Plan'!O33</x:f>
        <x:v>1</x:v>
      </x:c>
      <x:c r="P33" s="34" t="str">
        <x:f>'Evaluation Plan'!P33</x:f>
        <x:v>Empty</x:v>
      </x:c>
      <x:c r="Q33" s="32" t="str">
        <x:f>'Evaluation Plan'!Q33</x:f>
        <x:v>Matched-control direct-name prompt paraphrase</x:v>
      </x:c>
      <x:c r="R33" s="34" t="n">
        <x:f>'Evaluation Plan'!R33</x:f>
        <x:v>2</x:v>
      </x:c>
      <x:c r="S33" s="32" t="str">
        <x:f>'Evaluation Plan'!S33</x:f>
        <x:v>Reset the moved object exactly; preserve the scene; change only the wording.</x:v>
      </x:c>
      <x:c r="T33" s="32" t="str">
        <x:f>'Evaluation Plan'!T33</x:f>
        <x:v>One of 10 exact-scene paraphrases of matched manipulation controls.</x:v>
      </x:c>
      <x:c r="U33" s="32" t="n">
        <x:f>'Evaluation Plan'!U33</x:f>
        <x:v>0</x:v>
      </x:c>
    </x:row>
    <x:row r="34" ht="51" customHeight="1">
      <x:c r="A34" s="41" t="str">
        <x:v>Not collected</x:v>
      </x:c>
      <x:c r="B34" s="42" t="n">
        <x:f>'Evaluation Plan'!B34</x:f>
        <x:v>32</x:v>
      </x:c>
      <x:c r="C34" s="41" t="str">
        <x:f>'Evaluation Plan'!C34</x:f>
        <x:v>Put the airplane toy furthest from the crushed Coke can in the bowl.</x:v>
      </x:c>
      <x:c r="D34" s="41" t="str">
        <x:f>'Evaluation Plan'!D34</x:f>
        <x:v>Reference: crushed Coke can at table centre; airplane toy without propellers: 10 cm to robot-right of the reference; airplane toy with propellers: 24 cm to robot-left of the reference; green pen: at the far robot-left corner, outside the distance comparison; Bowl: empty</x:v>
      </x:c>
      <x:c r="E34" s="42" t="str">
        <x:f>'Evaluation Plan'!E34</x:f>
      </x:c>
      <x:c r="F34" s="42" t="str">
        <x:f>'Evaluation Plan'!F34</x:f>
        <x:v>568</x:v>
      </x:c>
      <x:c r="G34" s="41" t="str">
        <x:f>'Evaluation Plan'!G34</x:f>
        <x:v>Masked source trajectory: the target identity and physical manipulation are trained under a direct-name prompt, while this relation × candidate-category composition is intentionally absent.</x:v>
      </x:c>
      <x:c r="H34" s="41" t="str">
        <x:f>'Evaluation Plan'!H34</x:f>
        <x:v>airplane toy with propellers</x:v>
      </x:c>
      <x:c r="I34" s="41" t="str"/>
      <x:c r="J34" s="46" t="str">
        <x:f>'Evaluation Plan'!J34</x:f>
        <x:v>Concept/compositional transfer</x:v>
      </x:c>
      <x:c r="K34" s="42" t="str">
        <x:f>'Evaluation Plan'!K34</x:f>
        <x:v>RD-CT04</x:v>
      </x:c>
      <x:c r="L34" s="42" t="str">
        <x:f>'Evaluation Plan'!L34</x:f>
        <x:v>furthest</x:v>
      </x:c>
      <x:c r="M34" s="42" t="str">
        <x:f>'Evaluation Plan'!M34</x:f>
        <x:v>airplane toy</x:v>
      </x:c>
      <x:c r="N34" s="42" t="n">
        <x:f>'Evaluation Plan'!N34</x:f>
        <x:v>4</x:v>
      </x:c>
      <x:c r="O34" s="42" t="n">
        <x:f>'Evaluation Plan'!O34</x:f>
        <x:v>1</x:v>
      </x:c>
      <x:c r="P34" s="42" t="str">
        <x:f>'Evaluation Plan'!P34</x:f>
        <x:v>Empty</x:v>
      </x:c>
      <x:c r="Q34" s="41" t="str">
        <x:f>'Evaluation Plan'!Q34</x:f>
        <x:v>Primary held-out relation × candidate-category composition — Put</x:v>
      </x:c>
      <x:c r="R34" s="42" t="n">
        <x:f>'Evaluation Plan'!R34</x:f>
        <x:v>2</x:v>
      </x:c>
      <x:c r="S34" s="41" t="str">
        <x:f>'Evaluation Plan'!S34</x:f>
        <x:v>Build the listed relation scene with the bowl empty.</x:v>
      </x:c>
      <x:c r="T34" s="41" t="str">
        <x:f>'Evaluation Plan'!T34</x:f>
        <x:v>Both candidates are present. The held-out relation is the only information that identifies the target.</x:v>
      </x:c>
      <x:c r="U34" s="41" t="n">
        <x:f>'Evaluation Plan'!U34</x:f>
        <x:v>0</x:v>
      </x:c>
    </x:row>
    <x:row r="35" ht="51" customHeight="1">
      <x:c r="A35" s="32" t="str">
        <x:v>Not collected</x:v>
      </x:c>
      <x:c r="B35" s="34" t="n">
        <x:f>'Evaluation Plan'!B35</x:f>
        <x:v>33</x:v>
      </x:c>
      <x:c r="C35" s="32" t="str">
        <x:f>'Evaluation Plan'!C35</x:f>
        <x:v>Move the airplane toy with propellers into the bowl.</x:v>
      </x:c>
      <x:c r="D35" s="32" t="str">
        <x:f>'Evaluation Plan'!D35</x:f>
        <x:v>Reference: crushed Coke can at table centre; airplane toy without propellers: 10 cm to robot-right of the reference; airplane toy with propellers: 24 cm to robot-left of the reference; green pen: at the far robot-left corner, outside the distance comparison; Bowl: empty</x:v>
      </x:c>
      <x:c r="E35" s="34" t="n">
        <x:f>'Evaluation Plan'!E35</x:f>
        <x:v>32</x:v>
      </x:c>
      <x:c r="F35" s="34" t="str">
        <x:f>'Evaluation Plan'!F35</x:f>
        <x:v>568</x:v>
      </x:c>
      <x:c r="G35" s="32" t="str">
        <x:f>'Evaluation Plan'!G35</x:f>
        <x:v>Exact masked-cell training prompt for the same target identity. The evaluation scene and physical endpoint are identical to the paired transfer row.</x:v>
      </x:c>
      <x:c r="H35" s="32" t="str">
        <x:f>'Evaluation Plan'!H35</x:f>
        <x:v>airplane toy with propellers</x:v>
      </x:c>
      <x:c r="I35" s="32" t="str"/>
      <x:c r="J35" s="37" t="str">
        <x:f>'Evaluation Plan'!J35</x:f>
        <x:v>Matched manipulation control</x:v>
      </x:c>
      <x:c r="K35" s="34" t="str">
        <x:f>'Evaluation Plan'!K35</x:f>
        <x:v>RD-CT04</x:v>
      </x:c>
      <x:c r="L35" s="34" t="str">
        <x:f>'Evaluation Plan'!L35</x:f>
        <x:v>direct name</x:v>
      </x:c>
      <x:c r="M35" s="34" t="str">
        <x:f>'Evaluation Plan'!M35</x:f>
        <x:v>airplane toy</x:v>
      </x:c>
      <x:c r="N35" s="34" t="n">
        <x:f>'Evaluation Plan'!N35</x:f>
        <x:v>4</x:v>
      </x:c>
      <x:c r="O35" s="34" t="n">
        <x:f>'Evaluation Plan'!O35</x:f>
        <x:v>1</x:v>
      </x:c>
      <x:c r="P35" s="34" t="str">
        <x:f>'Evaluation Plan'!P35</x:f>
        <x:v>Empty</x:v>
      </x:c>
      <x:c r="Q35" s="32" t="str">
        <x:f>'Evaluation Plan'!Q35</x:f>
        <x:v>Exact-scene direct-identity manipulation control</x:v>
      </x:c>
      <x:c r="R35" s="34" t="n">
        <x:f>'Evaluation Plan'!R35</x:f>
        <x:v>2</x:v>
      </x:c>
      <x:c r="S35" s="32" t="str">
        <x:f>'Evaluation Plan'!S35</x:f>
        <x:v>Reset the moved object exactly; preserve the scene; change only the instruction.</x:v>
      </x:c>
      <x:c r="T35" s="32" t="str">
        <x:f>'Evaluation Plan'!T35</x:f>
        <x:v>Controls recognition and manipulation of the same target without requiring referential reasoning.</x:v>
      </x:c>
      <x:c r="U35" s="32" t="n">
        <x:f>'Evaluation Plan'!U35</x:f>
        <x:v>0</x:v>
      </x:c>
    </x:row>
    <x:row r="36" ht="51" customHeight="1">
      <x:c r="A36" s="31" t="str">
        <x:v>Not collected</x:v>
      </x:c>
      <x:c r="B36" s="33" t="n">
        <x:f>'Evaluation Plan'!B36</x:f>
        <x:v>34</x:v>
      </x:c>
      <x:c r="C36" s="31" t="str">
        <x:f>'Evaluation Plan'!C36</x:f>
        <x:v>Place the airplane toy with the greatest distance from the crushed Coke can in the bowl.</x:v>
      </x:c>
      <x:c r="D36" s="31" t="str">
        <x:f>'Evaluation Plan'!D36</x:f>
        <x:v>Reference: crushed Coke can at table centre; airplane toy without propellers: 10 cm to robot-right of the reference; airplane toy with propellers: 24 cm to robot-left of the reference; green pen: at the far robot-left corner, outside the distance comparison; Bowl: empty</x:v>
      </x:c>
      <x:c r="E36" s="33" t="n">
        <x:f>'Evaluation Plan'!E36</x:f>
        <x:v>32</x:v>
      </x:c>
      <x:c r="F36" s="33" t="str">
        <x:f>'Evaluation Plan'!F36</x:f>
        <x:v>568</x:v>
      </x:c>
      <x:c r="G36" s="31" t="str">
        <x:f>'Evaluation Plan'!G36</x:f>
        <x:v>Exact canonical transfer scene and masked trajectory reference; only the instruction wording changes. This remains a separate language diagnostic.</x:v>
      </x:c>
      <x:c r="H36" s="31" t="str">
        <x:f>'Evaluation Plan'!H36</x:f>
        <x:v>airplane toy with propellers</x:v>
      </x:c>
      <x:c r="I36" s="31" t="str"/>
      <x:c r="J36" s="38" t="str">
        <x:f>'Evaluation Plan'!J36</x:f>
        <x:v>Language robustness</x:v>
      </x:c>
      <x:c r="K36" s="33" t="str">
        <x:f>'Evaluation Plan'!K36</x:f>
        <x:v>RD-CT04</x:v>
      </x:c>
      <x:c r="L36" s="33" t="str">
        <x:f>'Evaluation Plan'!L36</x:f>
        <x:v>furthest</x:v>
      </x:c>
      <x:c r="M36" s="33" t="str">
        <x:f>'Evaluation Plan'!M36</x:f>
        <x:v>airplane toy</x:v>
      </x:c>
      <x:c r="N36" s="33" t="n">
        <x:f>'Evaluation Plan'!N36</x:f>
        <x:v>4</x:v>
      </x:c>
      <x:c r="O36" s="33" t="n">
        <x:f>'Evaluation Plan'!O36</x:f>
        <x:v>1</x:v>
      </x:c>
      <x:c r="P36" s="33" t="str">
        <x:f>'Evaluation Plan'!P36</x:f>
        <x:v>Empty</x:v>
      </x:c>
      <x:c r="Q36" s="31" t="str">
        <x:f>'Evaluation Plan'!Q36</x:f>
        <x:v>Primary compositional-transfer prompt paraphrase</x:v>
      </x:c>
      <x:c r="R36" s="33" t="n">
        <x:f>'Evaluation Plan'!R36</x:f>
        <x:v>2</x:v>
      </x:c>
      <x:c r="S36" s="31" t="str">
        <x:f>'Evaluation Plan'!S36</x:f>
        <x:v>Reset the moved object exactly; preserve the scene; change only the wording.</x:v>
      </x:c>
      <x:c r="T36" s="31" t="str">
        <x:f>'Evaluation Plan'!T36</x:f>
        <x:v>One of 10 exact-scene paraphrases of canonical transfer trials.</x:v>
      </x:c>
      <x:c r="U36" s="31" t="n">
        <x:f>'Evaluation Plan'!U36</x:f>
        <x:v>0</x:v>
      </x:c>
    </x:row>
    <x:row r="37" ht="51" customHeight="1">
      <x:c r="A37" s="32" t="str">
        <x:v>Not collected</x:v>
      </x:c>
      <x:c r="B37" s="34" t="n">
        <x:f>'Evaluation Plan'!B37</x:f>
        <x:v>35</x:v>
      </x:c>
      <x:c r="C37" s="32" t="str">
        <x:f>'Evaluation Plan'!C37</x:f>
        <x:v>Transfer the airplane toy with propellers into the bowl.</x:v>
      </x:c>
      <x:c r="D37" s="32" t="str">
        <x:f>'Evaluation Plan'!D37</x:f>
        <x:v>Reference: crushed Coke can at table centre; airplane toy without propellers: 10 cm to robot-right of the reference; airplane toy with propellers: 24 cm to robot-left of the reference; green pen: at the far robot-left corner, outside the distance comparison; Bowl: empty</x:v>
      </x:c>
      <x:c r="E37" s="34" t="n">
        <x:f>'Evaluation Plan'!E37</x:f>
        <x:v>33</x:v>
      </x:c>
      <x:c r="F37" s="34" t="str">
        <x:f>'Evaluation Plan'!F37</x:f>
        <x:v>568</x:v>
      </x:c>
      <x:c r="G37" s="32" t="str">
        <x:f>'Evaluation Plan'!G37</x:f>
        <x:v>Exact matched-control scene and target; only the direct-name instruction wording changes.</x:v>
      </x:c>
      <x:c r="H37" s="32" t="str">
        <x:f>'Evaluation Plan'!H37</x:f>
        <x:v>airplane toy with propellers</x:v>
      </x:c>
      <x:c r="I37" s="32" t="str"/>
      <x:c r="J37" s="38" t="str">
        <x:f>'Evaluation Plan'!J37</x:f>
        <x:v>Language robustness</x:v>
      </x:c>
      <x:c r="K37" s="34" t="str">
        <x:f>'Evaluation Plan'!K37</x:f>
        <x:v>RD-CT04</x:v>
      </x:c>
      <x:c r="L37" s="34" t="str">
        <x:f>'Evaluation Plan'!L37</x:f>
        <x:v>direct-name paraphrase</x:v>
      </x:c>
      <x:c r="M37" s="34" t="str">
        <x:f>'Evaluation Plan'!M37</x:f>
        <x:v>airplane toy</x:v>
      </x:c>
      <x:c r="N37" s="34" t="n">
        <x:f>'Evaluation Plan'!N37</x:f>
        <x:v>4</x:v>
      </x:c>
      <x:c r="O37" s="34" t="n">
        <x:f>'Evaluation Plan'!O37</x:f>
        <x:v>1</x:v>
      </x:c>
      <x:c r="P37" s="34" t="str">
        <x:f>'Evaluation Plan'!P37</x:f>
        <x:v>Empty</x:v>
      </x:c>
      <x:c r="Q37" s="32" t="str">
        <x:f>'Evaluation Plan'!Q37</x:f>
        <x:v>Matched-control direct-name prompt paraphrase</x:v>
      </x:c>
      <x:c r="R37" s="34" t="n">
        <x:f>'Evaluation Plan'!R37</x:f>
        <x:v>2</x:v>
      </x:c>
      <x:c r="S37" s="32" t="str">
        <x:f>'Evaluation Plan'!S37</x:f>
        <x:v>Reset the moved object exactly; preserve the scene; change only the wording.</x:v>
      </x:c>
      <x:c r="T37" s="32" t="str">
        <x:f>'Evaluation Plan'!T37</x:f>
        <x:v>One of 10 exact-scene paraphrases of matched manipulation controls.</x:v>
      </x:c>
      <x:c r="U37" s="32" t="n">
        <x:f>'Evaluation Plan'!U37</x:f>
        <x:v>0</x:v>
      </x:c>
    </x:row>
    <x:row r="38" ht="51" customHeight="1">
      <x:c r="A38" s="41" t="str">
        <x:v>Not collected</x:v>
      </x:c>
      <x:c r="B38" s="42" t="n">
        <x:f>'Evaluation Plan'!B38</x:f>
        <x:v>36</x:v>
      </x:c>
      <x:c r="C38" s="41" t="str">
        <x:f>'Evaluation Plan'!C38</x:f>
        <x:v>Put the crushed soda can closest to the airplane toy with propellers in the bowl.</x:v>
      </x:c>
      <x:c r="D38" s="41" t="str">
        <x:f>'Evaluation Plan'!D38</x:f>
        <x:v>Reference: airplane toy with propellers at table centre; crushed Coke can: 10 cm to robot-right of the reference; crushed Pepsi can: 24 cm to robot-left of the reference; green pencil sharpener: at the far robot-left corner, outside the distance comparison; Bowl: empty</x:v>
      </x:c>
      <x:c r="E38" s="42" t="str">
        <x:f>'Evaluation Plan'!E38</x:f>
      </x:c>
      <x:c r="F38" s="42" t="str">
        <x:f>'Evaluation Plan'!F38</x:f>
        <x:v>402</x:v>
      </x:c>
      <x:c r="G38" s="41" t="str">
        <x:f>'Evaluation Plan'!G38</x:f>
        <x:v>Masked source trajectory: the target identity and physical manipulation are trained under a direct-name prompt, while this relation × candidate-category composition is intentionally absent.</x:v>
      </x:c>
      <x:c r="H38" s="41" t="str">
        <x:f>'Evaluation Plan'!H38</x:f>
        <x:v>crushed Coke can</x:v>
      </x:c>
      <x:c r="I38" s="41" t="str"/>
      <x:c r="J38" s="46" t="str">
        <x:f>'Evaluation Plan'!J38</x:f>
        <x:v>Concept/compositional transfer</x:v>
      </x:c>
      <x:c r="K38" s="42" t="str">
        <x:f>'Evaluation Plan'!K38</x:f>
        <x:v>RD-CT05</x:v>
      </x:c>
      <x:c r="L38" s="42" t="str">
        <x:f>'Evaluation Plan'!L38</x:f>
        <x:v>closest</x:v>
      </x:c>
      <x:c r="M38" s="42" t="str">
        <x:f>'Evaluation Plan'!M38</x:f>
        <x:v>crushed soda can</x:v>
      </x:c>
      <x:c r="N38" s="42" t="n">
        <x:f>'Evaluation Plan'!N38</x:f>
        <x:v>4</x:v>
      </x:c>
      <x:c r="O38" s="42" t="n">
        <x:f>'Evaluation Plan'!O38</x:f>
        <x:v>1</x:v>
      </x:c>
      <x:c r="P38" s="42" t="str">
        <x:f>'Evaluation Plan'!P38</x:f>
        <x:v>Empty</x:v>
      </x:c>
      <x:c r="Q38" s="41" t="str">
        <x:f>'Evaluation Plan'!Q38</x:f>
        <x:v>Primary held-out relation × candidate-category composition — Put</x:v>
      </x:c>
      <x:c r="R38" s="42" t="n">
        <x:f>'Evaluation Plan'!R38</x:f>
        <x:v>2</x:v>
      </x:c>
      <x:c r="S38" s="41" t="str">
        <x:f>'Evaluation Plan'!S38</x:f>
        <x:v>Build the listed relation scene with the bowl empty.</x:v>
      </x:c>
      <x:c r="T38" s="41" t="str">
        <x:f>'Evaluation Plan'!T38</x:f>
        <x:v>Both candidates are present. The held-out relation is the only information that identifies the target.</x:v>
      </x:c>
      <x:c r="U38" s="41" t="n">
        <x:f>'Evaluation Plan'!U38</x:f>
        <x:v>0</x:v>
      </x:c>
    </x:row>
    <x:row r="39" ht="51" customHeight="1">
      <x:c r="A39" s="32" t="str">
        <x:v>Not collected</x:v>
      </x:c>
      <x:c r="B39" s="34" t="n">
        <x:f>'Evaluation Plan'!B39</x:f>
        <x:v>37</x:v>
      </x:c>
      <x:c r="C39" s="32" t="str">
        <x:f>'Evaluation Plan'!C39</x:f>
        <x:v>Move the crushed Coke can into the bowl.</x:v>
      </x:c>
      <x:c r="D39" s="32" t="str">
        <x:f>'Evaluation Plan'!D39</x:f>
        <x:v>Reference: airplane toy with propellers at table centre; crushed Coke can: 10 cm to robot-right of the reference; crushed Pepsi can: 24 cm to robot-left of the reference; green pencil sharpener: at the far robot-left corner, outside the distance comparison; Bowl: empty</x:v>
      </x:c>
      <x:c r="E39" s="34" t="n">
        <x:f>'Evaluation Plan'!E39</x:f>
        <x:v>36</x:v>
      </x:c>
      <x:c r="F39" s="34" t="str">
        <x:f>'Evaluation Plan'!F39</x:f>
        <x:v>402</x:v>
      </x:c>
      <x:c r="G39" s="32" t="str">
        <x:f>'Evaluation Plan'!G39</x:f>
        <x:v>Exact masked-cell training prompt for the same target identity. The evaluation scene and physical endpoint are identical to the paired transfer row.</x:v>
      </x:c>
      <x:c r="H39" s="32" t="str">
        <x:f>'Evaluation Plan'!H39</x:f>
        <x:v>crushed Coke can</x:v>
      </x:c>
      <x:c r="I39" s="32" t="str"/>
      <x:c r="J39" s="37" t="str">
        <x:f>'Evaluation Plan'!J39</x:f>
        <x:v>Matched manipulation control</x:v>
      </x:c>
      <x:c r="K39" s="34" t="str">
        <x:f>'Evaluation Plan'!K39</x:f>
        <x:v>RD-CT05</x:v>
      </x:c>
      <x:c r="L39" s="34" t="str">
        <x:f>'Evaluation Plan'!L39</x:f>
        <x:v>direct name</x:v>
      </x:c>
      <x:c r="M39" s="34" t="str">
        <x:f>'Evaluation Plan'!M39</x:f>
        <x:v>crushed soda can</x:v>
      </x:c>
      <x:c r="N39" s="34" t="n">
        <x:f>'Evaluation Plan'!N39</x:f>
        <x:v>4</x:v>
      </x:c>
      <x:c r="O39" s="34" t="n">
        <x:f>'Evaluation Plan'!O39</x:f>
        <x:v>1</x:v>
      </x:c>
      <x:c r="P39" s="34" t="str">
        <x:f>'Evaluation Plan'!P39</x:f>
        <x:v>Empty</x:v>
      </x:c>
      <x:c r="Q39" s="32" t="str">
        <x:f>'Evaluation Plan'!Q39</x:f>
        <x:v>Exact-scene direct-identity manipulation control</x:v>
      </x:c>
      <x:c r="R39" s="34" t="n">
        <x:f>'Evaluation Plan'!R39</x:f>
        <x:v>2</x:v>
      </x:c>
      <x:c r="S39" s="32" t="str">
        <x:f>'Evaluation Plan'!S39</x:f>
        <x:v>Reset the moved object exactly; preserve the scene; change only the instruction.</x:v>
      </x:c>
      <x:c r="T39" s="32" t="str">
        <x:f>'Evaluation Plan'!T39</x:f>
        <x:v>Controls recognition and manipulation of the same target without requiring referential reasoning.</x:v>
      </x:c>
      <x:c r="U39" s="32" t="n">
        <x:f>'Evaluation Plan'!U39</x:f>
        <x:v>0</x:v>
      </x:c>
    </x:row>
    <x:row r="40" ht="51" customHeight="1">
      <x:c r="A40" s="31" t="str">
        <x:v>Not collected</x:v>
      </x:c>
      <x:c r="B40" s="33" t="n">
        <x:f>'Evaluation Plan'!B40</x:f>
        <x:v>38</x:v>
      </x:c>
      <x:c r="C40" s="31" t="str">
        <x:f>'Evaluation Plan'!C40</x:f>
        <x:v>Place the crushed soda can with the shortest distance to the airplane toy with propellers in the bowl.</x:v>
      </x:c>
      <x:c r="D40" s="31" t="str">
        <x:f>'Evaluation Plan'!D40</x:f>
        <x:v>Reference: airplane toy with propellers at table centre; crushed Coke can: 10 cm to robot-right of the reference; crushed Pepsi can: 24 cm to robot-left of the reference; green pencil sharpener: at the far robot-left corner, outside the distance comparison; Bowl: empty</x:v>
      </x:c>
      <x:c r="E40" s="33" t="n">
        <x:f>'Evaluation Plan'!E40</x:f>
        <x:v>36</x:v>
      </x:c>
      <x:c r="F40" s="33" t="str">
        <x:f>'Evaluation Plan'!F40</x:f>
        <x:v>402</x:v>
      </x:c>
      <x:c r="G40" s="31" t="str">
        <x:f>'Evaluation Plan'!G40</x:f>
        <x:v>Exact canonical transfer scene and masked trajectory reference; only the instruction wording changes. This remains a separate language diagnostic.</x:v>
      </x:c>
      <x:c r="H40" s="31" t="str">
        <x:f>'Evaluation Plan'!H40</x:f>
        <x:v>crushed Coke can</x:v>
      </x:c>
      <x:c r="I40" s="31" t="str"/>
      <x:c r="J40" s="38" t="str">
        <x:f>'Evaluation Plan'!J40</x:f>
        <x:v>Language robustness</x:v>
      </x:c>
      <x:c r="K40" s="33" t="str">
        <x:f>'Evaluation Plan'!K40</x:f>
        <x:v>RD-CT05</x:v>
      </x:c>
      <x:c r="L40" s="33" t="str">
        <x:f>'Evaluation Plan'!L40</x:f>
        <x:v>closest</x:v>
      </x:c>
      <x:c r="M40" s="33" t="str">
        <x:f>'Evaluation Plan'!M40</x:f>
        <x:v>crushed soda can</x:v>
      </x:c>
      <x:c r="N40" s="33" t="n">
        <x:f>'Evaluation Plan'!N40</x:f>
        <x:v>4</x:v>
      </x:c>
      <x:c r="O40" s="33" t="n">
        <x:f>'Evaluation Plan'!O40</x:f>
        <x:v>1</x:v>
      </x:c>
      <x:c r="P40" s="33" t="str">
        <x:f>'Evaluation Plan'!P40</x:f>
        <x:v>Empty</x:v>
      </x:c>
      <x:c r="Q40" s="31" t="str">
        <x:f>'Evaluation Plan'!Q40</x:f>
        <x:v>Primary compositional-transfer prompt paraphrase</x:v>
      </x:c>
      <x:c r="R40" s="33" t="n">
        <x:f>'Evaluation Plan'!R40</x:f>
        <x:v>2</x:v>
      </x:c>
      <x:c r="S40" s="31" t="str">
        <x:f>'Evaluation Plan'!S40</x:f>
        <x:v>Reset the moved object exactly; preserve the scene; change only the wording.</x:v>
      </x:c>
      <x:c r="T40" s="31" t="str">
        <x:f>'Evaluation Plan'!T40</x:f>
        <x:v>One of 10 exact-scene paraphrases of canonical transfer trials.</x:v>
      </x:c>
      <x:c r="U40" s="31" t="n">
        <x:f>'Evaluation Plan'!U40</x:f>
        <x:v>0</x:v>
      </x:c>
    </x:row>
    <x:row r="41" ht="51" customHeight="1">
      <x:c r="A41" s="32" t="str">
        <x:v>Not collected</x:v>
      </x:c>
      <x:c r="B41" s="34" t="n">
        <x:f>'Evaluation Plan'!B41</x:f>
        <x:v>39</x:v>
      </x:c>
      <x:c r="C41" s="32" t="str">
        <x:f>'Evaluation Plan'!C41</x:f>
        <x:v>Transfer the crushed Coke can into the bowl.</x:v>
      </x:c>
      <x:c r="D41" s="32" t="str">
        <x:f>'Evaluation Plan'!D41</x:f>
        <x:v>Reference: airplane toy with propellers at table centre; crushed Coke can: 10 cm to robot-right of the reference; crushed Pepsi can: 24 cm to robot-left of the reference; green pencil sharpener: at the far robot-left corner, outside the distance comparison; Bowl: empty</x:v>
      </x:c>
      <x:c r="E41" s="34" t="n">
        <x:f>'Evaluation Plan'!E41</x:f>
        <x:v>37</x:v>
      </x:c>
      <x:c r="F41" s="34" t="str">
        <x:f>'Evaluation Plan'!F41</x:f>
        <x:v>402</x:v>
      </x:c>
      <x:c r="G41" s="32" t="str">
        <x:f>'Evaluation Plan'!G41</x:f>
        <x:v>Exact matched-control scene and target; only the direct-name instruction wording changes.</x:v>
      </x:c>
      <x:c r="H41" s="32" t="str">
        <x:f>'Evaluation Plan'!H41</x:f>
        <x:v>crushed Coke can</x:v>
      </x:c>
      <x:c r="I41" s="32" t="str"/>
      <x:c r="J41" s="38" t="str">
        <x:f>'Evaluation Plan'!J41</x:f>
        <x:v>Language robustness</x:v>
      </x:c>
      <x:c r="K41" s="34" t="str">
        <x:f>'Evaluation Plan'!K41</x:f>
        <x:v>RD-CT05</x:v>
      </x:c>
      <x:c r="L41" s="34" t="str">
        <x:f>'Evaluation Plan'!L41</x:f>
        <x:v>direct-name paraphrase</x:v>
      </x:c>
      <x:c r="M41" s="34" t="str">
        <x:f>'Evaluation Plan'!M41</x:f>
        <x:v>crushed soda can</x:v>
      </x:c>
      <x:c r="N41" s="34" t="n">
        <x:f>'Evaluation Plan'!N41</x:f>
        <x:v>4</x:v>
      </x:c>
      <x:c r="O41" s="34" t="n">
        <x:f>'Evaluation Plan'!O41</x:f>
        <x:v>1</x:v>
      </x:c>
      <x:c r="P41" s="34" t="str">
        <x:f>'Evaluation Plan'!P41</x:f>
        <x:v>Empty</x:v>
      </x:c>
      <x:c r="Q41" s="32" t="str">
        <x:f>'Evaluation Plan'!Q41</x:f>
        <x:v>Matched-control direct-name prompt paraphrase</x:v>
      </x:c>
      <x:c r="R41" s="34" t="n">
        <x:f>'Evaluation Plan'!R41</x:f>
        <x:v>2</x:v>
      </x:c>
      <x:c r="S41" s="32" t="str">
        <x:f>'Evaluation Plan'!S41</x:f>
        <x:v>Reset the moved object exactly; preserve the scene; change only the wording.</x:v>
      </x:c>
      <x:c r="T41" s="32" t="str">
        <x:f>'Evaluation Plan'!T41</x:f>
        <x:v>One of 10 exact-scene paraphrases of matched manipulation controls.</x:v>
      </x:c>
      <x:c r="U41" s="32" t="n">
        <x:f>'Evaluation Plan'!U41</x:f>
        <x:v>0</x:v>
      </x:c>
    </x:row>
    <x:row r="42" ht="51" customHeight="1">
      <x:c r="A42" s="41" t="str">
        <x:v>Not collected</x:v>
      </x:c>
      <x:c r="B42" s="42" t="n">
        <x:f>'Evaluation Plan'!B42</x:f>
        <x:v>40</x:v>
      </x:c>
      <x:c r="C42" s="41" t="str">
        <x:f>'Evaluation Plan'!C42</x:f>
        <x:v>Put the pencil sharpener between the airplane toy with propellers and the yellow pen in the bowl.</x:v>
      </x:c>
      <x:c r="D42" s="41" t="str">
        <x:f>'Evaluation Plan'!D42</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2" s="42" t="str">
        <x:f>'Evaluation Plan'!E42</x:f>
      </x:c>
      <x:c r="F42" s="42" t="str">
        <x:f>'Evaluation Plan'!F42</x:f>
        <x:v>483</x:v>
      </x:c>
      <x:c r="G42" s="41" t="str">
        <x:f>'Evaluation Plan'!G42</x:f>
        <x:v>Masked source trajectory: the target identity and physical manipulation are trained under a direct-name prompt, while this relation × candidate-category composition is intentionally absent.</x:v>
      </x:c>
      <x:c r="H42" s="41" t="str">
        <x:f>'Evaluation Plan'!H42</x:f>
        <x:v>green pencil sharpener</x:v>
      </x:c>
      <x:c r="I42" s="41" t="str"/>
      <x:c r="J42" s="46" t="str">
        <x:f>'Evaluation Plan'!J42</x:f>
        <x:v>Concept/compositional transfer</x:v>
      </x:c>
      <x:c r="K42" s="42" t="str">
        <x:f>'Evaluation Plan'!K42</x:f>
        <x:v>RD-CT06</x:v>
      </x:c>
      <x:c r="L42" s="42" t="str">
        <x:f>'Evaluation Plan'!L42</x:f>
        <x:v>between</x:v>
      </x:c>
      <x:c r="M42" s="42" t="str">
        <x:f>'Evaluation Plan'!M42</x:f>
        <x:v>pencil sharpener</x:v>
      </x:c>
      <x:c r="N42" s="42" t="n">
        <x:f>'Evaluation Plan'!N42</x:f>
        <x:v>4</x:v>
      </x:c>
      <x:c r="O42" s="42" t="n">
        <x:f>'Evaluation Plan'!O42</x:f>
        <x:v>1</x:v>
      </x:c>
      <x:c r="P42" s="42" t="str">
        <x:f>'Evaluation Plan'!P42</x:f>
        <x:v>Empty</x:v>
      </x:c>
      <x:c r="Q42" s="41" t="str">
        <x:f>'Evaluation Plan'!Q42</x:f>
        <x:v>Primary held-out relation × candidate-category composition — Put</x:v>
      </x:c>
      <x:c r="R42" s="42" t="n">
        <x:f>'Evaluation Plan'!R42</x:f>
        <x:v>2</x:v>
      </x:c>
      <x:c r="S42" s="41" t="str">
        <x:f>'Evaluation Plan'!S42</x:f>
        <x:v>Build the listed relation scene with the bowl empty.</x:v>
      </x:c>
      <x:c r="T42" s="41" t="str">
        <x:f>'Evaluation Plan'!T42</x:f>
        <x:v>Both candidates are present. The held-out relation is the only information that identifies the target.</x:v>
      </x:c>
      <x:c r="U42" s="41" t="n">
        <x:f>'Evaluation Plan'!U42</x:f>
        <x:v>0</x:v>
      </x:c>
    </x:row>
    <x:row r="43" ht="51" customHeight="1">
      <x:c r="A43" s="32" t="str">
        <x:v>Not collected</x:v>
      </x:c>
      <x:c r="B43" s="34" t="n">
        <x:f>'Evaluation Plan'!B43</x:f>
        <x:v>41</x:v>
      </x:c>
      <x:c r="C43" s="32" t="str">
        <x:f>'Evaluation Plan'!C43</x:f>
        <x:v>Move the green pencil sharpener into the bowl.</x:v>
      </x:c>
      <x:c r="D43" s="32" t="str">
        <x:f>'Evaluation Plan'!D43</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3" s="34" t="n">
        <x:f>'Evaluation Plan'!E43</x:f>
        <x:v>40</x:v>
      </x:c>
      <x:c r="F43" s="34" t="str">
        <x:f>'Evaluation Plan'!F43</x:f>
        <x:v>483</x:v>
      </x:c>
      <x:c r="G43" s="32" t="str">
        <x:f>'Evaluation Plan'!G43</x:f>
        <x:v>Exact masked-cell training prompt for the same target identity. The evaluation scene and physical endpoint are identical to the paired transfer row.</x:v>
      </x:c>
      <x:c r="H43" s="32" t="str">
        <x:f>'Evaluation Plan'!H43</x:f>
        <x:v>green pencil sharpener</x:v>
      </x:c>
      <x:c r="I43" s="32" t="str"/>
      <x:c r="J43" s="37" t="str">
        <x:f>'Evaluation Plan'!J43</x:f>
        <x:v>Matched manipulation control</x:v>
      </x:c>
      <x:c r="K43" s="34" t="str">
        <x:f>'Evaluation Plan'!K43</x:f>
        <x:v>RD-CT06</x:v>
      </x:c>
      <x:c r="L43" s="34" t="str">
        <x:f>'Evaluation Plan'!L43</x:f>
        <x:v>direct name</x:v>
      </x:c>
      <x:c r="M43" s="34" t="str">
        <x:f>'Evaluation Plan'!M43</x:f>
        <x:v>pencil sharpener</x:v>
      </x:c>
      <x:c r="N43" s="34" t="n">
        <x:f>'Evaluation Plan'!N43</x:f>
        <x:v>4</x:v>
      </x:c>
      <x:c r="O43" s="34" t="n">
        <x:f>'Evaluation Plan'!O43</x:f>
        <x:v>1</x:v>
      </x:c>
      <x:c r="P43" s="34" t="str">
        <x:f>'Evaluation Plan'!P43</x:f>
        <x:v>Empty</x:v>
      </x:c>
      <x:c r="Q43" s="32" t="str">
        <x:f>'Evaluation Plan'!Q43</x:f>
        <x:v>Exact-scene direct-identity manipulation control</x:v>
      </x:c>
      <x:c r="R43" s="34" t="n">
        <x:f>'Evaluation Plan'!R43</x:f>
        <x:v>2</x:v>
      </x:c>
      <x:c r="S43" s="32" t="str">
        <x:f>'Evaluation Plan'!S43</x:f>
        <x:v>Reset the moved object exactly; preserve the scene; change only the instruction.</x:v>
      </x:c>
      <x:c r="T43" s="32" t="str">
        <x:f>'Evaluation Plan'!T43</x:f>
        <x:v>Controls recognition and manipulation of the same target without requiring referential reasoning.</x:v>
      </x:c>
      <x:c r="U43" s="32" t="n">
        <x:f>'Evaluation Plan'!U43</x:f>
        <x:v>0</x:v>
      </x:c>
    </x:row>
    <x:row r="44" ht="51" customHeight="1">
      <x:c r="A44" s="31" t="str">
        <x:v>Not collected</x:v>
      </x:c>
      <x:c r="B44" s="33" t="n">
        <x:f>'Evaluation Plan'!B44</x:f>
        <x:v>42</x:v>
      </x:c>
      <x:c r="C44" s="31" t="str">
        <x:f>'Evaluation Plan'!C44</x:f>
        <x:v>Place the pencil sharpener sitting between the airplane toy with propellers and the yellow pen in the bowl.</x:v>
      </x:c>
      <x:c r="D44" s="31" t="str">
        <x:f>'Evaluation Plan'!D44</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4" s="33" t="n">
        <x:f>'Evaluation Plan'!E44</x:f>
        <x:v>40</x:v>
      </x:c>
      <x:c r="F44" s="33" t="str">
        <x:f>'Evaluation Plan'!F44</x:f>
        <x:v>483</x:v>
      </x:c>
      <x:c r="G44" s="31" t="str">
        <x:f>'Evaluation Plan'!G44</x:f>
        <x:v>Exact canonical transfer scene and masked trajectory reference; only the instruction wording changes. This remains a separate language diagnostic.</x:v>
      </x:c>
      <x:c r="H44" s="31" t="str">
        <x:f>'Evaluation Plan'!H44</x:f>
        <x:v>green pencil sharpener</x:v>
      </x:c>
      <x:c r="I44" s="31" t="str"/>
      <x:c r="J44" s="38" t="str">
        <x:f>'Evaluation Plan'!J44</x:f>
        <x:v>Language robustness</x:v>
      </x:c>
      <x:c r="K44" s="33" t="str">
        <x:f>'Evaluation Plan'!K44</x:f>
        <x:v>RD-CT06</x:v>
      </x:c>
      <x:c r="L44" s="33" t="str">
        <x:f>'Evaluation Plan'!L44</x:f>
        <x:v>between</x:v>
      </x:c>
      <x:c r="M44" s="33" t="str">
        <x:f>'Evaluation Plan'!M44</x:f>
        <x:v>pencil sharpener</x:v>
      </x:c>
      <x:c r="N44" s="33" t="n">
        <x:f>'Evaluation Plan'!N44</x:f>
        <x:v>4</x:v>
      </x:c>
      <x:c r="O44" s="33" t="n">
        <x:f>'Evaluation Plan'!O44</x:f>
        <x:v>1</x:v>
      </x:c>
      <x:c r="P44" s="33" t="str">
        <x:f>'Evaluation Plan'!P44</x:f>
        <x:v>Empty</x:v>
      </x:c>
      <x:c r="Q44" s="31" t="str">
        <x:f>'Evaluation Plan'!Q44</x:f>
        <x:v>Primary compositional-transfer prompt paraphrase</x:v>
      </x:c>
      <x:c r="R44" s="33" t="n">
        <x:f>'Evaluation Plan'!R44</x:f>
        <x:v>2</x:v>
      </x:c>
      <x:c r="S44" s="31" t="str">
        <x:f>'Evaluation Plan'!S44</x:f>
        <x:v>Reset the moved object exactly; preserve the scene; change only the wording.</x:v>
      </x:c>
      <x:c r="T44" s="31" t="str">
        <x:f>'Evaluation Plan'!T44</x:f>
        <x:v>One of 10 exact-scene paraphrases of canonical transfer trials.</x:v>
      </x:c>
      <x:c r="U44" s="31" t="n">
        <x:f>'Evaluation Plan'!U44</x:f>
        <x:v>0</x:v>
      </x:c>
    </x:row>
    <x:row r="45" ht="51" customHeight="1">
      <x:c r="A45" s="32" t="str">
        <x:v>Not collected</x:v>
      </x:c>
      <x:c r="B45" s="34" t="n">
        <x:f>'Evaluation Plan'!B45</x:f>
        <x:v>43</x:v>
      </x:c>
      <x:c r="C45" s="32" t="str">
        <x:f>'Evaluation Plan'!C45</x:f>
        <x:v>Transfer the green pencil sharpener into the bowl.</x:v>
      </x:c>
      <x:c r="D45" s="32" t="str">
        <x:f>'Evaluation Plan'!D45</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5" s="34" t="n">
        <x:f>'Evaluation Plan'!E45</x:f>
        <x:v>41</x:v>
      </x:c>
      <x:c r="F45" s="34" t="str">
        <x:f>'Evaluation Plan'!F45</x:f>
        <x:v>483</x:v>
      </x:c>
      <x:c r="G45" s="32" t="str">
        <x:f>'Evaluation Plan'!G45</x:f>
        <x:v>Exact matched-control scene and target; only the direct-name instruction wording changes.</x:v>
      </x:c>
      <x:c r="H45" s="32" t="str">
        <x:f>'Evaluation Plan'!H45</x:f>
        <x:v>green pencil sharpener</x:v>
      </x:c>
      <x:c r="I45" s="32" t="str"/>
      <x:c r="J45" s="38" t="str">
        <x:f>'Evaluation Plan'!J45</x:f>
        <x:v>Language robustness</x:v>
      </x:c>
      <x:c r="K45" s="34" t="str">
        <x:f>'Evaluation Plan'!K45</x:f>
        <x:v>RD-CT06</x:v>
      </x:c>
      <x:c r="L45" s="34" t="str">
        <x:f>'Evaluation Plan'!L45</x:f>
        <x:v>direct-name paraphrase</x:v>
      </x:c>
      <x:c r="M45" s="34" t="str">
        <x:f>'Evaluation Plan'!M45</x:f>
        <x:v>pencil sharpener</x:v>
      </x:c>
      <x:c r="N45" s="34" t="n">
        <x:f>'Evaluation Plan'!N45</x:f>
        <x:v>4</x:v>
      </x:c>
      <x:c r="O45" s="34" t="n">
        <x:f>'Evaluation Plan'!O45</x:f>
        <x:v>1</x:v>
      </x:c>
      <x:c r="P45" s="34" t="str">
        <x:f>'Evaluation Plan'!P45</x:f>
        <x:v>Empty</x:v>
      </x:c>
      <x:c r="Q45" s="32" t="str">
        <x:f>'Evaluation Plan'!Q45</x:f>
        <x:v>Matched-control direct-name prompt paraphrase</x:v>
      </x:c>
      <x:c r="R45" s="34" t="n">
        <x:f>'Evaluation Plan'!R45</x:f>
        <x:v>2</x:v>
      </x:c>
      <x:c r="S45" s="32" t="str">
        <x:f>'Evaluation Plan'!S45</x:f>
        <x:v>Reset the moved object exactly; preserve the scene; change only the wording.</x:v>
      </x:c>
      <x:c r="T45" s="32" t="str">
        <x:f>'Evaluation Plan'!T45</x:f>
        <x:v>One of 10 exact-scene paraphrases of matched manipulation controls.</x:v>
      </x:c>
      <x:c r="U45" s="32" t="n">
        <x:f>'Evaluation Plan'!U45</x:f>
        <x:v>0</x:v>
      </x:c>
    </x:row>
    <x:row r="46" ht="51" customHeight="1">
      <x:c r="A46" s="41" t="str">
        <x:v>Not collected</x:v>
      </x:c>
      <x:c r="B46" s="42" t="n">
        <x:f>'Evaluation Plan'!B46</x:f>
        <x:v>44</x:v>
      </x:c>
      <x:c r="C46" s="41" t="str">
        <x:f>'Evaluation Plan'!C46</x:f>
        <x:v>Move the airplane toy furthest from the green pencil sharpener into the bowl.</x:v>
      </x:c>
      <x:c r="D46" s="41" t="str">
        <x:f>'Evaluation Plan'!D46</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6" s="42" t="str">
        <x:f>'Evaluation Plan'!E46</x:f>
      </x:c>
      <x:c r="F46" s="42" t="str">
        <x:f>'Evaluation Plan'!F46</x:f>
        <x:v>565</x:v>
      </x:c>
      <x:c r="G46" s="41" t="str">
        <x:f>'Evaluation Plan'!G46</x:f>
        <x:v>Masked source trajectory: the target identity and physical manipulation are trained under a direct-name prompt, while this relation × candidate-category composition is intentionally absent.</x:v>
      </x:c>
      <x:c r="H46" s="41" t="str">
        <x:f>'Evaluation Plan'!H46</x:f>
        <x:v>airplane toy without propellers</x:v>
      </x:c>
      <x:c r="I46" s="41" t="str"/>
      <x:c r="J46" s="46" t="str">
        <x:f>'Evaluation Plan'!J46</x:f>
        <x:v>Concept/compositional transfer</x:v>
      </x:c>
      <x:c r="K46" s="42" t="str">
        <x:f>'Evaluation Plan'!K46</x:f>
        <x:v>RD-CT07</x:v>
      </x:c>
      <x:c r="L46" s="42" t="str">
        <x:f>'Evaluation Plan'!L46</x:f>
        <x:v>furthest</x:v>
      </x:c>
      <x:c r="M46" s="42" t="str">
        <x:f>'Evaluation Plan'!M46</x:f>
        <x:v>airplane toy</x:v>
      </x:c>
      <x:c r="N46" s="42" t="n">
        <x:f>'Evaluation Plan'!N46</x:f>
        <x:v>4</x:v>
      </x:c>
      <x:c r="O46" s="42" t="n">
        <x:f>'Evaluation Plan'!O46</x:f>
        <x:v>1</x:v>
      </x:c>
      <x:c r="P46" s="42" t="str">
        <x:f>'Evaluation Plan'!P46</x:f>
        <x:v>Empty</x:v>
      </x:c>
      <x:c r="Q46" s="41" t="str">
        <x:f>'Evaluation Plan'!Q46</x:f>
        <x:v>Primary held-out relation × candidate-category composition — Move</x:v>
      </x:c>
      <x:c r="R46" s="42" t="n">
        <x:f>'Evaluation Plan'!R46</x:f>
        <x:v>2</x:v>
      </x:c>
      <x:c r="S46" s="41" t="str">
        <x:f>'Evaluation Plan'!S46</x:f>
        <x:v>Build the listed relation scene with the bowl empty.</x:v>
      </x:c>
      <x:c r="T46" s="41" t="str">
        <x:f>'Evaluation Plan'!T46</x:f>
        <x:v>Both candidates are present. The held-out relation is the only information that identifies the target.</x:v>
      </x:c>
      <x:c r="U46" s="41" t="n">
        <x:f>'Evaluation Plan'!U46</x:f>
        <x:v>0</x:v>
      </x:c>
    </x:row>
    <x:row r="47" ht="51" customHeight="1">
      <x:c r="A47" s="32" t="str">
        <x:v>Not collected</x:v>
      </x:c>
      <x:c r="B47" s="34" t="n">
        <x:f>'Evaluation Plan'!B47</x:f>
        <x:v>45</x:v>
      </x:c>
      <x:c r="C47" s="32" t="str">
        <x:f>'Evaluation Plan'!C47</x:f>
        <x:v>Pick up the airplane toy without propellers and place it in the bowl.</x:v>
      </x:c>
      <x:c r="D47" s="32" t="str">
        <x:f>'Evaluation Plan'!D47</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7" s="34" t="n">
        <x:f>'Evaluation Plan'!E47</x:f>
        <x:v>44</x:v>
      </x:c>
      <x:c r="F47" s="34" t="str">
        <x:f>'Evaluation Plan'!F47</x:f>
        <x:v>565</x:v>
      </x:c>
      <x:c r="G47" s="32" t="str">
        <x:f>'Evaluation Plan'!G47</x:f>
        <x:v>Exact masked-cell training prompt for the same target identity. The evaluation scene and physical endpoint are identical to the paired transfer row.</x:v>
      </x:c>
      <x:c r="H47" s="32" t="str">
        <x:f>'Evaluation Plan'!H47</x:f>
        <x:v>airplane toy without propellers</x:v>
      </x:c>
      <x:c r="I47" s="32" t="str"/>
      <x:c r="J47" s="37" t="str">
        <x:f>'Evaluation Plan'!J47</x:f>
        <x:v>Matched manipulation control</x:v>
      </x:c>
      <x:c r="K47" s="34" t="str">
        <x:f>'Evaluation Plan'!K47</x:f>
        <x:v>RD-CT07</x:v>
      </x:c>
      <x:c r="L47" s="34" t="str">
        <x:f>'Evaluation Plan'!L47</x:f>
        <x:v>direct name</x:v>
      </x:c>
      <x:c r="M47" s="34" t="str">
        <x:f>'Evaluation Plan'!M47</x:f>
        <x:v>airplane toy</x:v>
      </x:c>
      <x:c r="N47" s="34" t="n">
        <x:f>'Evaluation Plan'!N47</x:f>
        <x:v>4</x:v>
      </x:c>
      <x:c r="O47" s="34" t="n">
        <x:f>'Evaluation Plan'!O47</x:f>
        <x:v>1</x:v>
      </x:c>
      <x:c r="P47" s="34" t="str">
        <x:f>'Evaluation Plan'!P47</x:f>
        <x:v>Empty</x:v>
      </x:c>
      <x:c r="Q47" s="32" t="str">
        <x:f>'Evaluation Plan'!Q47</x:f>
        <x:v>Exact-scene direct-identity manipulation control</x:v>
      </x:c>
      <x:c r="R47" s="34" t="n">
        <x:f>'Evaluation Plan'!R47</x:f>
        <x:v>2</x:v>
      </x:c>
      <x:c r="S47" s="32" t="str">
        <x:f>'Evaluation Plan'!S47</x:f>
        <x:v>Reset the moved object exactly; preserve the scene; change only the instruction.</x:v>
      </x:c>
      <x:c r="T47" s="32" t="str">
        <x:f>'Evaluation Plan'!T47</x:f>
        <x:v>Controls recognition and manipulation of the same target without requiring referential reasoning.</x:v>
      </x:c>
      <x:c r="U47" s="32" t="n">
        <x:f>'Evaluation Plan'!U47</x:f>
        <x:v>0</x:v>
      </x:c>
    </x:row>
    <x:row r="48" ht="51" customHeight="1">
      <x:c r="A48" s="31" t="str">
        <x:v>Not collected</x:v>
      </x:c>
      <x:c r="B48" s="33" t="n">
        <x:f>'Evaluation Plan'!B48</x:f>
        <x:v>46</x:v>
      </x:c>
      <x:c r="C48" s="31" t="str">
        <x:f>'Evaluation Plan'!C48</x:f>
        <x:v>Move whichever airplane toy is most distant from the green pencil sharpener into the bowl.</x:v>
      </x:c>
      <x:c r="D48" s="31" t="str">
        <x:f>'Evaluation Plan'!D48</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8" s="33" t="n">
        <x:f>'Evaluation Plan'!E48</x:f>
        <x:v>44</x:v>
      </x:c>
      <x:c r="F48" s="33" t="str">
        <x:f>'Evaluation Plan'!F48</x:f>
        <x:v>565</x:v>
      </x:c>
      <x:c r="G48" s="31" t="str">
        <x:f>'Evaluation Plan'!G48</x:f>
        <x:v>Exact canonical transfer scene and masked trajectory reference; only the instruction wording changes. This remains a separate language diagnostic.</x:v>
      </x:c>
      <x:c r="H48" s="31" t="str">
        <x:f>'Evaluation Plan'!H48</x:f>
        <x:v>airplane toy without propellers</x:v>
      </x:c>
      <x:c r="I48" s="31" t="str"/>
      <x:c r="J48" s="38" t="str">
        <x:f>'Evaluation Plan'!J48</x:f>
        <x:v>Language robustness</x:v>
      </x:c>
      <x:c r="K48" s="33" t="str">
        <x:f>'Evaluation Plan'!K48</x:f>
        <x:v>RD-CT07</x:v>
      </x:c>
      <x:c r="L48" s="33" t="str">
        <x:f>'Evaluation Plan'!L48</x:f>
        <x:v>furthest</x:v>
      </x:c>
      <x:c r="M48" s="33" t="str">
        <x:f>'Evaluation Plan'!M48</x:f>
        <x:v>airplane toy</x:v>
      </x:c>
      <x:c r="N48" s="33" t="n">
        <x:f>'Evaluation Plan'!N48</x:f>
        <x:v>4</x:v>
      </x:c>
      <x:c r="O48" s="33" t="n">
        <x:f>'Evaluation Plan'!O48</x:f>
        <x:v>1</x:v>
      </x:c>
      <x:c r="P48" s="33" t="str">
        <x:f>'Evaluation Plan'!P48</x:f>
        <x:v>Empty</x:v>
      </x:c>
      <x:c r="Q48" s="31" t="str">
        <x:f>'Evaluation Plan'!Q48</x:f>
        <x:v>Primary compositional-transfer prompt paraphrase</x:v>
      </x:c>
      <x:c r="R48" s="33" t="n">
        <x:f>'Evaluation Plan'!R48</x:f>
        <x:v>2</x:v>
      </x:c>
      <x:c r="S48" s="31" t="str">
        <x:f>'Evaluation Plan'!S48</x:f>
        <x:v>Reset the moved object exactly; preserve the scene; change only the wording.</x:v>
      </x:c>
      <x:c r="T48" s="31" t="str">
        <x:f>'Evaluation Plan'!T48</x:f>
        <x:v>One of 10 exact-scene paraphrases of canonical transfer trials.</x:v>
      </x:c>
      <x:c r="U48" s="31" t="n">
        <x:f>'Evaluation Plan'!U48</x:f>
        <x:v>0</x:v>
      </x:c>
    </x:row>
    <x:row r="49" ht="51" customHeight="1">
      <x:c r="A49" s="32" t="str">
        <x:v>Not collected</x:v>
      </x:c>
      <x:c r="B49" s="34" t="n">
        <x:f>'Evaluation Plan'!B49</x:f>
        <x:v>47</x:v>
      </x:c>
      <x:c r="C49" s="32" t="str">
        <x:f>'Evaluation Plan'!C49</x:f>
        <x:v>Set the airplane toy without propellers inside the bowl.</x:v>
      </x:c>
      <x:c r="D49" s="32" t="str">
        <x:f>'Evaluation Plan'!D49</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9" s="34" t="n">
        <x:f>'Evaluation Plan'!E49</x:f>
        <x:v>45</x:v>
      </x:c>
      <x:c r="F49" s="34" t="str">
        <x:f>'Evaluation Plan'!F49</x:f>
        <x:v>565</x:v>
      </x:c>
      <x:c r="G49" s="32" t="str">
        <x:f>'Evaluation Plan'!G49</x:f>
        <x:v>Exact matched-control scene and target; only the direct-name instruction wording changes.</x:v>
      </x:c>
      <x:c r="H49" s="32" t="str">
        <x:f>'Evaluation Plan'!H49</x:f>
        <x:v>airplane toy without propellers</x:v>
      </x:c>
      <x:c r="I49" s="32" t="str"/>
      <x:c r="J49" s="38" t="str">
        <x:f>'Evaluation Plan'!J49</x:f>
        <x:v>Language robustness</x:v>
      </x:c>
      <x:c r="K49" s="34" t="str">
        <x:f>'Evaluation Plan'!K49</x:f>
        <x:v>RD-CT07</x:v>
      </x:c>
      <x:c r="L49" s="34" t="str">
        <x:f>'Evaluation Plan'!L49</x:f>
        <x:v>direct-name paraphrase</x:v>
      </x:c>
      <x:c r="M49" s="34" t="str">
        <x:f>'Evaluation Plan'!M49</x:f>
        <x:v>airplane toy</x:v>
      </x:c>
      <x:c r="N49" s="34" t="n">
        <x:f>'Evaluation Plan'!N49</x:f>
        <x:v>4</x:v>
      </x:c>
      <x:c r="O49" s="34" t="n">
        <x:f>'Evaluation Plan'!O49</x:f>
        <x:v>1</x:v>
      </x:c>
      <x:c r="P49" s="34" t="str">
        <x:f>'Evaluation Plan'!P49</x:f>
        <x:v>Empty</x:v>
      </x:c>
      <x:c r="Q49" s="32" t="str">
        <x:f>'Evaluation Plan'!Q49</x:f>
        <x:v>Matched-control direct-name prompt paraphrase</x:v>
      </x:c>
      <x:c r="R49" s="34" t="n">
        <x:f>'Evaluation Plan'!R49</x:f>
        <x:v>2</x:v>
      </x:c>
      <x:c r="S49" s="32" t="str">
        <x:f>'Evaluation Plan'!S49</x:f>
        <x:v>Reset the moved object exactly; preserve the scene; change only the wording.</x:v>
      </x:c>
      <x:c r="T49" s="32" t="str">
        <x:f>'Evaluation Plan'!T49</x:f>
        <x:v>One of 10 exact-scene paraphrases of matched manipulation controls.</x:v>
      </x:c>
      <x:c r="U49" s="32" t="n">
        <x:f>'Evaluation Plan'!U49</x:f>
        <x:v>0</x:v>
      </x:c>
    </x:row>
    <x:row r="50" ht="51" customHeight="1">
      <x:c r="A50" s="41" t="str">
        <x:v>Not collected</x:v>
      </x:c>
      <x:c r="B50" s="42" t="n">
        <x:f>'Evaluation Plan'!B50</x:f>
        <x:v>48</x:v>
      </x:c>
      <x:c r="C50" s="41" t="str">
        <x:f>'Evaluation Plan'!C50</x:f>
        <x:v>Move the crushed soda can closest to the green pencil sharpener into the bowl.</x:v>
      </x:c>
      <x:c r="D50" s="41" t="str">
        <x:f>'Evaluation Plan'!D50</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0" s="42" t="str">
        <x:f>'Evaluation Plan'!E50</x:f>
      </x:c>
      <x:c r="F50" s="42" t="str">
        <x:f>'Evaluation Plan'!F50</x:f>
        <x:v>401</x:v>
      </x:c>
      <x:c r="G50" s="41" t="str">
        <x:f>'Evaluation Plan'!G50</x:f>
        <x:v>Masked source trajectory: the target identity and physical manipulation are trained under a direct-name prompt, while this relation × candidate-category composition is intentionally absent.</x:v>
      </x:c>
      <x:c r="H50" s="41" t="str">
        <x:f>'Evaluation Plan'!H50</x:f>
        <x:v>crushed Pepsi can</x:v>
      </x:c>
      <x:c r="I50" s="41" t="str"/>
      <x:c r="J50" s="46" t="str">
        <x:f>'Evaluation Plan'!J50</x:f>
        <x:v>Concept/compositional transfer</x:v>
      </x:c>
      <x:c r="K50" s="42" t="str">
        <x:f>'Evaluation Plan'!K50</x:f>
        <x:v>RD-CT08</x:v>
      </x:c>
      <x:c r="L50" s="42" t="str">
        <x:f>'Evaluation Plan'!L50</x:f>
        <x:v>closest</x:v>
      </x:c>
      <x:c r="M50" s="42" t="str">
        <x:f>'Evaluation Plan'!M50</x:f>
        <x:v>crushed soda can</x:v>
      </x:c>
      <x:c r="N50" s="42" t="n">
        <x:f>'Evaluation Plan'!N50</x:f>
        <x:v>4</x:v>
      </x:c>
      <x:c r="O50" s="42" t="n">
        <x:f>'Evaluation Plan'!O50</x:f>
        <x:v>1</x:v>
      </x:c>
      <x:c r="P50" s="42" t="str">
        <x:f>'Evaluation Plan'!P50</x:f>
        <x:v>Empty</x:v>
      </x:c>
      <x:c r="Q50" s="41" t="str">
        <x:f>'Evaluation Plan'!Q50</x:f>
        <x:v>Primary held-out relation × candidate-category composition — Move</x:v>
      </x:c>
      <x:c r="R50" s="42" t="n">
        <x:f>'Evaluation Plan'!R50</x:f>
        <x:v>2</x:v>
      </x:c>
      <x:c r="S50" s="41" t="str">
        <x:f>'Evaluation Plan'!S50</x:f>
        <x:v>Build the listed relation scene with the bowl empty.</x:v>
      </x:c>
      <x:c r="T50" s="41" t="str">
        <x:f>'Evaluation Plan'!T50</x:f>
        <x:v>Both candidates are present. The held-out relation is the only information that identifies the target.</x:v>
      </x:c>
      <x:c r="U50" s="41" t="n">
        <x:f>'Evaluation Plan'!U50</x:f>
        <x:v>0</x:v>
      </x:c>
    </x:row>
    <x:row r="51" ht="51" customHeight="1">
      <x:c r="A51" s="32" t="str">
        <x:v>Not collected</x:v>
      </x:c>
      <x:c r="B51" s="34" t="n">
        <x:f>'Evaluation Plan'!B51</x:f>
        <x:v>49</x:v>
      </x:c>
      <x:c r="C51" s="32" t="str">
        <x:f>'Evaluation Plan'!C51</x:f>
        <x:v>Pick up the crushed Pepsi can and place it in the bowl.</x:v>
      </x:c>
      <x:c r="D51" s="32" t="str">
        <x:f>'Evaluation Plan'!D51</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1" s="34" t="n">
        <x:f>'Evaluation Plan'!E51</x:f>
        <x:v>48</x:v>
      </x:c>
      <x:c r="F51" s="34" t="str">
        <x:f>'Evaluation Plan'!F51</x:f>
        <x:v>401</x:v>
      </x:c>
      <x:c r="G51" s="32" t="str">
        <x:f>'Evaluation Plan'!G51</x:f>
        <x:v>Exact masked-cell training prompt for the same target identity. The evaluation scene and physical endpoint are identical to the paired transfer row.</x:v>
      </x:c>
      <x:c r="H51" s="32" t="str">
        <x:f>'Evaluation Plan'!H51</x:f>
        <x:v>crushed Pepsi can</x:v>
      </x:c>
      <x:c r="I51" s="32" t="str"/>
      <x:c r="J51" s="37" t="str">
        <x:f>'Evaluation Plan'!J51</x:f>
        <x:v>Matched manipulation control</x:v>
      </x:c>
      <x:c r="K51" s="34" t="str">
        <x:f>'Evaluation Plan'!K51</x:f>
        <x:v>RD-CT08</x:v>
      </x:c>
      <x:c r="L51" s="34" t="str">
        <x:f>'Evaluation Plan'!L51</x:f>
        <x:v>direct name</x:v>
      </x:c>
      <x:c r="M51" s="34" t="str">
        <x:f>'Evaluation Plan'!M51</x:f>
        <x:v>crushed soda can</x:v>
      </x:c>
      <x:c r="N51" s="34" t="n">
        <x:f>'Evaluation Plan'!N51</x:f>
        <x:v>4</x:v>
      </x:c>
      <x:c r="O51" s="34" t="n">
        <x:f>'Evaluation Plan'!O51</x:f>
        <x:v>1</x:v>
      </x:c>
      <x:c r="P51" s="34" t="str">
        <x:f>'Evaluation Plan'!P51</x:f>
        <x:v>Empty</x:v>
      </x:c>
      <x:c r="Q51" s="32" t="str">
        <x:f>'Evaluation Plan'!Q51</x:f>
        <x:v>Exact-scene direct-identity manipulation control</x:v>
      </x:c>
      <x:c r="R51" s="34" t="n">
        <x:f>'Evaluation Plan'!R51</x:f>
        <x:v>2</x:v>
      </x:c>
      <x:c r="S51" s="32" t="str">
        <x:f>'Evaluation Plan'!S51</x:f>
        <x:v>Reset the moved object exactly; preserve the scene; change only the instruction.</x:v>
      </x:c>
      <x:c r="T51" s="32" t="str">
        <x:f>'Evaluation Plan'!T51</x:f>
        <x:v>Controls recognition and manipulation of the same target without requiring referential reasoning.</x:v>
      </x:c>
      <x:c r="U51" s="32" t="n">
        <x:f>'Evaluation Plan'!U51</x:f>
        <x:v>0</x:v>
      </x:c>
    </x:row>
    <x:row r="52" ht="51" customHeight="1">
      <x:c r="A52" s="31" t="str">
        <x:v>Not collected</x:v>
      </x:c>
      <x:c r="B52" s="33" t="n">
        <x:f>'Evaluation Plan'!B52</x:f>
        <x:v>50</x:v>
      </x:c>
      <x:c r="C52" s="31" t="str">
        <x:f>'Evaluation Plan'!C52</x:f>
        <x:v>Move whichever crushed soda can is nearer to the green pencil sharpener into the bowl.</x:v>
      </x:c>
      <x:c r="D52" s="31" t="str">
        <x:f>'Evaluation Plan'!D52</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2" s="33" t="n">
        <x:f>'Evaluation Plan'!E52</x:f>
        <x:v>48</x:v>
      </x:c>
      <x:c r="F52" s="33" t="str">
        <x:f>'Evaluation Plan'!F52</x:f>
        <x:v>401</x:v>
      </x:c>
      <x:c r="G52" s="31" t="str">
        <x:f>'Evaluation Plan'!G52</x:f>
        <x:v>Exact canonical transfer scene and masked trajectory reference; only the instruction wording changes. This remains a separate language diagnostic.</x:v>
      </x:c>
      <x:c r="H52" s="31" t="str">
        <x:f>'Evaluation Plan'!H52</x:f>
        <x:v>crushed Pepsi can</x:v>
      </x:c>
      <x:c r="I52" s="31" t="str"/>
      <x:c r="J52" s="38" t="str">
        <x:f>'Evaluation Plan'!J52</x:f>
        <x:v>Language robustness</x:v>
      </x:c>
      <x:c r="K52" s="33" t="str">
        <x:f>'Evaluation Plan'!K52</x:f>
        <x:v>RD-CT08</x:v>
      </x:c>
      <x:c r="L52" s="33" t="str">
        <x:f>'Evaluation Plan'!L52</x:f>
        <x:v>closest</x:v>
      </x:c>
      <x:c r="M52" s="33" t="str">
        <x:f>'Evaluation Plan'!M52</x:f>
        <x:v>crushed soda can</x:v>
      </x:c>
      <x:c r="N52" s="33" t="n">
        <x:f>'Evaluation Plan'!N52</x:f>
        <x:v>4</x:v>
      </x:c>
      <x:c r="O52" s="33" t="n">
        <x:f>'Evaluation Plan'!O52</x:f>
        <x:v>1</x:v>
      </x:c>
      <x:c r="P52" s="33" t="str">
        <x:f>'Evaluation Plan'!P52</x:f>
        <x:v>Empty</x:v>
      </x:c>
      <x:c r="Q52" s="31" t="str">
        <x:f>'Evaluation Plan'!Q52</x:f>
        <x:v>Primary compositional-transfer prompt paraphrase</x:v>
      </x:c>
      <x:c r="R52" s="33" t="n">
        <x:f>'Evaluation Plan'!R52</x:f>
        <x:v>2</x:v>
      </x:c>
      <x:c r="S52" s="31" t="str">
        <x:f>'Evaluation Plan'!S52</x:f>
        <x:v>Reset the moved object exactly; preserve the scene; change only the wording.</x:v>
      </x:c>
      <x:c r="T52" s="31" t="str">
        <x:f>'Evaluation Plan'!T52</x:f>
        <x:v>One of 10 exact-scene paraphrases of canonical transfer trials.</x:v>
      </x:c>
      <x:c r="U52" s="31" t="n">
        <x:f>'Evaluation Plan'!U52</x:f>
        <x:v>0</x:v>
      </x:c>
    </x:row>
    <x:row r="53" ht="51" customHeight="1">
      <x:c r="A53" s="32" t="str">
        <x:v>Not collected</x:v>
      </x:c>
      <x:c r="B53" s="34" t="n">
        <x:f>'Evaluation Plan'!B53</x:f>
        <x:v>51</x:v>
      </x:c>
      <x:c r="C53" s="32" t="str">
        <x:f>'Evaluation Plan'!C53</x:f>
        <x:v>Set the crushed Pepsi can inside the bowl.</x:v>
      </x:c>
      <x:c r="D53" s="32" t="str">
        <x:f>'Evaluation Plan'!D53</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3" s="34" t="n">
        <x:f>'Evaluation Plan'!E53</x:f>
        <x:v>49</x:v>
      </x:c>
      <x:c r="F53" s="34" t="str">
        <x:f>'Evaluation Plan'!F53</x:f>
        <x:v>401</x:v>
      </x:c>
      <x:c r="G53" s="32" t="str">
        <x:f>'Evaluation Plan'!G53</x:f>
        <x:v>Exact matched-control scene and target; only the direct-name instruction wording changes.</x:v>
      </x:c>
      <x:c r="H53" s="32" t="str">
        <x:f>'Evaluation Plan'!H53</x:f>
        <x:v>crushed Pepsi can</x:v>
      </x:c>
      <x:c r="I53" s="32" t="str"/>
      <x:c r="J53" s="38" t="str">
        <x:f>'Evaluation Plan'!J53</x:f>
        <x:v>Language robustness</x:v>
      </x:c>
      <x:c r="K53" s="34" t="str">
        <x:f>'Evaluation Plan'!K53</x:f>
        <x:v>RD-CT08</x:v>
      </x:c>
      <x:c r="L53" s="34" t="str">
        <x:f>'Evaluation Plan'!L53</x:f>
        <x:v>direct-name paraphrase</x:v>
      </x:c>
      <x:c r="M53" s="34" t="str">
        <x:f>'Evaluation Plan'!M53</x:f>
        <x:v>crushed soda can</x:v>
      </x:c>
      <x:c r="N53" s="34" t="n">
        <x:f>'Evaluation Plan'!N53</x:f>
        <x:v>4</x:v>
      </x:c>
      <x:c r="O53" s="34" t="n">
        <x:f>'Evaluation Plan'!O53</x:f>
        <x:v>1</x:v>
      </x:c>
      <x:c r="P53" s="34" t="str">
        <x:f>'Evaluation Plan'!P53</x:f>
        <x:v>Empty</x:v>
      </x:c>
      <x:c r="Q53" s="32" t="str">
        <x:f>'Evaluation Plan'!Q53</x:f>
        <x:v>Matched-control direct-name prompt paraphrase</x:v>
      </x:c>
      <x:c r="R53" s="34" t="n">
        <x:f>'Evaluation Plan'!R53</x:f>
        <x:v>2</x:v>
      </x:c>
      <x:c r="S53" s="32" t="str">
        <x:f>'Evaluation Plan'!S53</x:f>
        <x:v>Reset the moved object exactly; preserve the scene; change only the wording.</x:v>
      </x:c>
      <x:c r="T53" s="32" t="str">
        <x:f>'Evaluation Plan'!T53</x:f>
        <x:v>One of 10 exact-scene paraphrases of matched manipulation controls.</x:v>
      </x:c>
      <x:c r="U53" s="32" t="n">
        <x:f>'Evaluation Plan'!U53</x:f>
        <x:v>0</x:v>
      </x:c>
    </x:row>
    <x:row r="54" ht="51" customHeight="1">
      <x:c r="A54" s="41" t="str">
        <x:v>Not collected</x:v>
      </x:c>
      <x:c r="B54" s="42" t="n">
        <x:f>'Evaluation Plan'!B54</x:f>
        <x:v>52</x:v>
      </x:c>
      <x:c r="C54" s="41" t="str">
        <x:f>'Evaluation Plan'!C54</x:f>
        <x:v>Move the pencil sharpener between the crushed Pepsi can and the airplane toy without propellers into the bowl.</x:v>
      </x:c>
      <x:c r="D54" s="41" t="str">
        <x:f>'Evaluation Plan'!D54</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4" s="42" t="str">
        <x:f>'Evaluation Plan'!E54</x:f>
      </x:c>
      <x:c r="F54" s="42" t="str">
        <x:f>'Evaluation Plan'!F54</x:f>
        <x:v>480</x:v>
      </x:c>
      <x:c r="G54" s="41" t="str">
        <x:f>'Evaluation Plan'!G54</x:f>
        <x:v>Masked source trajectory: the target identity and physical manipulation are trained under a direct-name prompt, while this relation × candidate-category composition is intentionally absent.</x:v>
      </x:c>
      <x:c r="H54" s="41" t="str">
        <x:f>'Evaluation Plan'!H54</x:f>
        <x:v>red pencil sharpener</x:v>
      </x:c>
      <x:c r="I54" s="41" t="str"/>
      <x:c r="J54" s="46" t="str">
        <x:f>'Evaluation Plan'!J54</x:f>
        <x:v>Concept/compositional transfer</x:v>
      </x:c>
      <x:c r="K54" s="42" t="str">
        <x:f>'Evaluation Plan'!K54</x:f>
        <x:v>RD-CT09</x:v>
      </x:c>
      <x:c r="L54" s="42" t="str">
        <x:f>'Evaluation Plan'!L54</x:f>
        <x:v>between</x:v>
      </x:c>
      <x:c r="M54" s="42" t="str">
        <x:f>'Evaluation Plan'!M54</x:f>
        <x:v>pencil sharpener</x:v>
      </x:c>
      <x:c r="N54" s="42" t="n">
        <x:f>'Evaluation Plan'!N54</x:f>
        <x:v>4</x:v>
      </x:c>
      <x:c r="O54" s="42" t="n">
        <x:f>'Evaluation Plan'!O54</x:f>
        <x:v>1</x:v>
      </x:c>
      <x:c r="P54" s="42" t="str">
        <x:f>'Evaluation Plan'!P54</x:f>
        <x:v>Empty</x:v>
      </x:c>
      <x:c r="Q54" s="41" t="str">
        <x:f>'Evaluation Plan'!Q54</x:f>
        <x:v>Primary held-out relation × candidate-category composition — Move</x:v>
      </x:c>
      <x:c r="R54" s="42" t="n">
        <x:f>'Evaluation Plan'!R54</x:f>
        <x:v>2</x:v>
      </x:c>
      <x:c r="S54" s="41" t="str">
        <x:f>'Evaluation Plan'!S54</x:f>
        <x:v>Build the listed relation scene with the bowl empty.</x:v>
      </x:c>
      <x:c r="T54" s="41" t="str">
        <x:f>'Evaluation Plan'!T54</x:f>
        <x:v>Both candidates are present. The held-out relation is the only information that identifies the target.</x:v>
      </x:c>
      <x:c r="U54" s="41" t="n">
        <x:f>'Evaluation Plan'!U54</x:f>
        <x:v>0</x:v>
      </x:c>
    </x:row>
    <x:row r="55" ht="51" customHeight="1">
      <x:c r="A55" s="32" t="str">
        <x:v>Not collected</x:v>
      </x:c>
      <x:c r="B55" s="34" t="n">
        <x:f>'Evaluation Plan'!B55</x:f>
        <x:v>53</x:v>
      </x:c>
      <x:c r="C55" s="32" t="str">
        <x:f>'Evaluation Plan'!C55</x:f>
        <x:v>Move the red pencil sharpener into the bowl.</x:v>
      </x:c>
      <x:c r="D55" s="32" t="str">
        <x:f>'Evaluation Plan'!D55</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5" s="34" t="n">
        <x:f>'Evaluation Plan'!E55</x:f>
        <x:v>52</x:v>
      </x:c>
      <x:c r="F55" s="34" t="str">
        <x:f>'Evaluation Plan'!F55</x:f>
        <x:v>480</x:v>
      </x:c>
      <x:c r="G55" s="32" t="str">
        <x:f>'Evaluation Plan'!G55</x:f>
        <x:v>Exact masked-cell training prompt for the same target identity. The evaluation scene and physical endpoint are identical to the paired transfer row.</x:v>
      </x:c>
      <x:c r="H55" s="32" t="str">
        <x:f>'Evaluation Plan'!H55</x:f>
        <x:v>red pencil sharpener</x:v>
      </x:c>
      <x:c r="I55" s="32" t="str"/>
      <x:c r="J55" s="37" t="str">
        <x:f>'Evaluation Plan'!J55</x:f>
        <x:v>Matched manipulation control</x:v>
      </x:c>
      <x:c r="K55" s="34" t="str">
        <x:f>'Evaluation Plan'!K55</x:f>
        <x:v>RD-CT09</x:v>
      </x:c>
      <x:c r="L55" s="34" t="str">
        <x:f>'Evaluation Plan'!L55</x:f>
        <x:v>direct name</x:v>
      </x:c>
      <x:c r="M55" s="34" t="str">
        <x:f>'Evaluation Plan'!M55</x:f>
        <x:v>pencil sharpener</x:v>
      </x:c>
      <x:c r="N55" s="34" t="n">
        <x:f>'Evaluation Plan'!N55</x:f>
        <x:v>4</x:v>
      </x:c>
      <x:c r="O55" s="34" t="n">
        <x:f>'Evaluation Plan'!O55</x:f>
        <x:v>1</x:v>
      </x:c>
      <x:c r="P55" s="34" t="str">
        <x:f>'Evaluation Plan'!P55</x:f>
        <x:v>Empty</x:v>
      </x:c>
      <x:c r="Q55" s="32" t="str">
        <x:f>'Evaluation Plan'!Q55</x:f>
        <x:v>Exact-scene direct-identity manipulation control</x:v>
      </x:c>
      <x:c r="R55" s="34" t="n">
        <x:f>'Evaluation Plan'!R55</x:f>
        <x:v>2</x:v>
      </x:c>
      <x:c r="S55" s="32" t="str">
        <x:f>'Evaluation Plan'!S55</x:f>
        <x:v>Reset the moved object exactly; preserve the scene; change only the instruction.</x:v>
      </x:c>
      <x:c r="T55" s="32" t="str">
        <x:f>'Evaluation Plan'!T55</x:f>
        <x:v>Controls recognition and manipulation of the same target without requiring referential reasoning.</x:v>
      </x:c>
      <x:c r="U55" s="32" t="n">
        <x:f>'Evaluation Plan'!U55</x:f>
        <x:v>0</x:v>
      </x:c>
    </x:row>
    <x:row r="56" ht="51" customHeight="1">
      <x:c r="A56" s="31" t="str">
        <x:v>Not collected</x:v>
      </x:c>
      <x:c r="B56" s="33" t="n">
        <x:f>'Evaluation Plan'!B56</x:f>
        <x:v>54</x:v>
      </x:c>
      <x:c r="C56" s="31" t="str">
        <x:f>'Evaluation Plan'!C56</x:f>
        <x:v>Move the pencil sharpener that lies on the segment joining the crushed Pepsi can and the airplane toy without propellers into the bowl.</x:v>
      </x:c>
      <x:c r="D56" s="31" t="str">
        <x:f>'Evaluation Plan'!D56</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6" s="33" t="n">
        <x:f>'Evaluation Plan'!E56</x:f>
        <x:v>52</x:v>
      </x:c>
      <x:c r="F56" s="33" t="str">
        <x:f>'Evaluation Plan'!F56</x:f>
        <x:v>480</x:v>
      </x:c>
      <x:c r="G56" s="31" t="str">
        <x:f>'Evaluation Plan'!G56</x:f>
        <x:v>Exact canonical transfer scene and masked trajectory reference; only the instruction wording changes. This remains a separate language diagnostic.</x:v>
      </x:c>
      <x:c r="H56" s="31" t="str">
        <x:f>'Evaluation Plan'!H56</x:f>
        <x:v>red pencil sharpener</x:v>
      </x:c>
      <x:c r="I56" s="31" t="str"/>
      <x:c r="J56" s="38" t="str">
        <x:f>'Evaluation Plan'!J56</x:f>
        <x:v>Language robustness</x:v>
      </x:c>
      <x:c r="K56" s="33" t="str">
        <x:f>'Evaluation Plan'!K56</x:f>
        <x:v>RD-CT09</x:v>
      </x:c>
      <x:c r="L56" s="33" t="str">
        <x:f>'Evaluation Plan'!L56</x:f>
        <x:v>between</x:v>
      </x:c>
      <x:c r="M56" s="33" t="str">
        <x:f>'Evaluation Plan'!M56</x:f>
        <x:v>pencil sharpener</x:v>
      </x:c>
      <x:c r="N56" s="33" t="n">
        <x:f>'Evaluation Plan'!N56</x:f>
        <x:v>4</x:v>
      </x:c>
      <x:c r="O56" s="33" t="n">
        <x:f>'Evaluation Plan'!O56</x:f>
        <x:v>1</x:v>
      </x:c>
      <x:c r="P56" s="33" t="str">
        <x:f>'Evaluation Plan'!P56</x:f>
        <x:v>Empty</x:v>
      </x:c>
      <x:c r="Q56" s="31" t="str">
        <x:f>'Evaluation Plan'!Q56</x:f>
        <x:v>Primary compositional-transfer prompt paraphrase</x:v>
      </x:c>
      <x:c r="R56" s="33" t="n">
        <x:f>'Evaluation Plan'!R56</x:f>
        <x:v>2</x:v>
      </x:c>
      <x:c r="S56" s="31" t="str">
        <x:f>'Evaluation Plan'!S56</x:f>
        <x:v>Reset the moved object exactly; preserve the scene; change only the wording.</x:v>
      </x:c>
      <x:c r="T56" s="31" t="str">
        <x:f>'Evaluation Plan'!T56</x:f>
        <x:v>One of 10 exact-scene paraphrases of canonical transfer trials.</x:v>
      </x:c>
      <x:c r="U56" s="31" t="n">
        <x:f>'Evaluation Plan'!U56</x:f>
        <x:v>0</x:v>
      </x:c>
    </x:row>
    <x:row r="57" ht="51" customHeight="1">
      <x:c r="A57" s="32" t="str">
        <x:v>Not collected</x:v>
      </x:c>
      <x:c r="B57" s="34" t="n">
        <x:f>'Evaluation Plan'!B57</x:f>
        <x:v>55</x:v>
      </x:c>
      <x:c r="C57" s="32" t="str">
        <x:f>'Evaluation Plan'!C57</x:f>
        <x:v>Set the red pencil sharpener inside the bowl.</x:v>
      </x:c>
      <x:c r="D57" s="32" t="str">
        <x:f>'Evaluation Plan'!D57</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7" s="34" t="n">
        <x:f>'Evaluation Plan'!E57</x:f>
        <x:v>53</x:v>
      </x:c>
      <x:c r="F57" s="34" t="str">
        <x:f>'Evaluation Plan'!F57</x:f>
        <x:v>480</x:v>
      </x:c>
      <x:c r="G57" s="32" t="str">
        <x:f>'Evaluation Plan'!G57</x:f>
        <x:v>Exact matched-control scene and target; only the direct-name instruction wording changes.</x:v>
      </x:c>
      <x:c r="H57" s="32" t="str">
        <x:f>'Evaluation Plan'!H57</x:f>
        <x:v>red pencil sharpener</x:v>
      </x:c>
      <x:c r="I57" s="32" t="str"/>
      <x:c r="J57" s="38" t="str">
        <x:f>'Evaluation Plan'!J57</x:f>
        <x:v>Language robustness</x:v>
      </x:c>
      <x:c r="K57" s="34" t="str">
        <x:f>'Evaluation Plan'!K57</x:f>
        <x:v>RD-CT09</x:v>
      </x:c>
      <x:c r="L57" s="34" t="str">
        <x:f>'Evaluation Plan'!L57</x:f>
        <x:v>direct-name paraphrase</x:v>
      </x:c>
      <x:c r="M57" s="34" t="str">
        <x:f>'Evaluation Plan'!M57</x:f>
        <x:v>pencil sharpener</x:v>
      </x:c>
      <x:c r="N57" s="34" t="n">
        <x:f>'Evaluation Plan'!N57</x:f>
        <x:v>4</x:v>
      </x:c>
      <x:c r="O57" s="34" t="n">
        <x:f>'Evaluation Plan'!O57</x:f>
        <x:v>1</x:v>
      </x:c>
      <x:c r="P57" s="34" t="str">
        <x:f>'Evaluation Plan'!P57</x:f>
        <x:v>Empty</x:v>
      </x:c>
      <x:c r="Q57" s="32" t="str">
        <x:f>'Evaluation Plan'!Q57</x:f>
        <x:v>Matched-control direct-name prompt paraphrase</x:v>
      </x:c>
      <x:c r="R57" s="34" t="n">
        <x:f>'Evaluation Plan'!R57</x:f>
        <x:v>2</x:v>
      </x:c>
      <x:c r="S57" s="32" t="str">
        <x:f>'Evaluation Plan'!S57</x:f>
        <x:v>Reset the moved object exactly; preserve the scene; change only the wording.</x:v>
      </x:c>
      <x:c r="T57" s="32" t="str">
        <x:f>'Evaluation Plan'!T57</x:f>
        <x:v>One of 10 exact-scene paraphrases of matched manipulation controls.</x:v>
      </x:c>
      <x:c r="U57" s="32" t="n">
        <x:f>'Evaluation Plan'!U57</x:f>
        <x:v>0</x:v>
      </x:c>
    </x:row>
    <x:row r="58" ht="51" customHeight="1">
      <x:c r="A58" s="41" t="str">
        <x:v>Not collected</x:v>
      </x:c>
      <x:c r="B58" s="42" t="n">
        <x:f>'Evaluation Plan'!B58</x:f>
        <x:v>56</x:v>
      </x:c>
      <x:c r="C58" s="41" t="str">
        <x:f>'Evaluation Plan'!C58</x:f>
        <x:v>Pick up the airplane toy furthest from the yellow pen and place it in the bowl.</x:v>
      </x:c>
      <x:c r="D58" s="41" t="str">
        <x:f>'Evaluation Plan'!D58</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58" s="42" t="str">
        <x:f>'Evaluation Plan'!E58</x:f>
      </x:c>
      <x:c r="F58" s="42" t="str">
        <x:f>'Evaluation Plan'!F58</x:f>
        <x:v>567</x:v>
      </x:c>
      <x:c r="G58" s="41" t="str">
        <x:f>'Evaluation Plan'!G58</x:f>
        <x:v>Masked source trajectory: the target identity and physical manipulation are trained under a direct-name prompt, while this relation × candidate-category composition is intentionally absent.</x:v>
      </x:c>
      <x:c r="H58" s="41" t="str">
        <x:f>'Evaluation Plan'!H58</x:f>
        <x:v>airplane toy without propellers</x:v>
      </x:c>
      <x:c r="I58" s="41" t="str"/>
      <x:c r="J58" s="46" t="str">
        <x:f>'Evaluation Plan'!J58</x:f>
        <x:v>Concept/compositional transfer</x:v>
      </x:c>
      <x:c r="K58" s="42" t="str">
        <x:f>'Evaluation Plan'!K58</x:f>
        <x:v>RD-CT10</x:v>
      </x:c>
      <x:c r="L58" s="42" t="str">
        <x:f>'Evaluation Plan'!L58</x:f>
        <x:v>furthest</x:v>
      </x:c>
      <x:c r="M58" s="42" t="str">
        <x:f>'Evaluation Plan'!M58</x:f>
        <x:v>airplane toy</x:v>
      </x:c>
      <x:c r="N58" s="42" t="n">
        <x:f>'Evaluation Plan'!N58</x:f>
        <x:v>4</x:v>
      </x:c>
      <x:c r="O58" s="42" t="n">
        <x:f>'Evaluation Plan'!O58</x:f>
        <x:v>1</x:v>
      </x:c>
      <x:c r="P58" s="42" t="str">
        <x:f>'Evaluation Plan'!P58</x:f>
        <x:v>Empty</x:v>
      </x:c>
      <x:c r="Q58" s="41" t="str">
        <x:f>'Evaluation Plan'!Q58</x:f>
        <x:v>Primary held-out relation × candidate-category composition — Pick up</x:v>
      </x:c>
      <x:c r="R58" s="42" t="n">
        <x:f>'Evaluation Plan'!R58</x:f>
        <x:v>2</x:v>
      </x:c>
      <x:c r="S58" s="41" t="str">
        <x:f>'Evaluation Plan'!S58</x:f>
        <x:v>Build the listed relation scene with the bowl empty.</x:v>
      </x:c>
      <x:c r="T58" s="41" t="str">
        <x:f>'Evaluation Plan'!T58</x:f>
        <x:v>Both candidates are present. The held-out relation is the only information that identifies the target.</x:v>
      </x:c>
      <x:c r="U58" s="41" t="n">
        <x:f>'Evaluation Plan'!U58</x:f>
        <x:v>0</x:v>
      </x:c>
    </x:row>
    <x:row r="59" ht="51" customHeight="1">
      <x:c r="A59" s="32" t="str">
        <x:v>Not collected</x:v>
      </x:c>
      <x:c r="B59" s="34" t="n">
        <x:f>'Evaluation Plan'!B59</x:f>
        <x:v>57</x:v>
      </x:c>
      <x:c r="C59" s="32" t="str">
        <x:f>'Evaluation Plan'!C59</x:f>
        <x:v>Put the airplane toy without propellers in the bowl.</x:v>
      </x:c>
      <x:c r="D59" s="32" t="str">
        <x:f>'Evaluation Plan'!D59</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59" s="34" t="n">
        <x:f>'Evaluation Plan'!E59</x:f>
        <x:v>56</x:v>
      </x:c>
      <x:c r="F59" s="34" t="str">
        <x:f>'Evaluation Plan'!F59</x:f>
        <x:v>567</x:v>
      </x:c>
      <x:c r="G59" s="32" t="str">
        <x:f>'Evaluation Plan'!G59</x:f>
        <x:v>Exact masked-cell training prompt for the same target identity. The evaluation scene and physical endpoint are identical to the paired transfer row.</x:v>
      </x:c>
      <x:c r="H59" s="32" t="str">
        <x:f>'Evaluation Plan'!H59</x:f>
        <x:v>airplane toy without propellers</x:v>
      </x:c>
      <x:c r="I59" s="32" t="str"/>
      <x:c r="J59" s="37" t="str">
        <x:f>'Evaluation Plan'!J59</x:f>
        <x:v>Matched manipulation control</x:v>
      </x:c>
      <x:c r="K59" s="34" t="str">
        <x:f>'Evaluation Plan'!K59</x:f>
        <x:v>RD-CT10</x:v>
      </x:c>
      <x:c r="L59" s="34" t="str">
        <x:f>'Evaluation Plan'!L59</x:f>
        <x:v>direct name</x:v>
      </x:c>
      <x:c r="M59" s="34" t="str">
        <x:f>'Evaluation Plan'!M59</x:f>
        <x:v>airplane toy</x:v>
      </x:c>
      <x:c r="N59" s="34" t="n">
        <x:f>'Evaluation Plan'!N59</x:f>
        <x:v>4</x:v>
      </x:c>
      <x:c r="O59" s="34" t="n">
        <x:f>'Evaluation Plan'!O59</x:f>
        <x:v>1</x:v>
      </x:c>
      <x:c r="P59" s="34" t="str">
        <x:f>'Evaluation Plan'!P59</x:f>
        <x:v>Empty</x:v>
      </x:c>
      <x:c r="Q59" s="32" t="str">
        <x:f>'Evaluation Plan'!Q59</x:f>
        <x:v>Exact-scene direct-identity manipulation control</x:v>
      </x:c>
      <x:c r="R59" s="34" t="n">
        <x:f>'Evaluation Plan'!R59</x:f>
        <x:v>2</x:v>
      </x:c>
      <x:c r="S59" s="32" t="str">
        <x:f>'Evaluation Plan'!S59</x:f>
        <x:v>Reset the moved object exactly; preserve the scene; change only the instruction.</x:v>
      </x:c>
      <x:c r="T59" s="32" t="str">
        <x:f>'Evaluation Plan'!T59</x:f>
        <x:v>Controls recognition and manipulation of the same target without requiring referential reasoning.</x:v>
      </x:c>
      <x:c r="U59" s="32" t="n">
        <x:f>'Evaluation Plan'!U59</x:f>
        <x:v>0</x:v>
      </x:c>
    </x:row>
    <x:row r="60" ht="51" customHeight="1">
      <x:c r="A60" s="31" t="str">
        <x:v>Not collected</x:v>
      </x:c>
      <x:c r="B60" s="33" t="n">
        <x:f>'Evaluation Plan'!B60</x:f>
        <x:v>58</x:v>
      </x:c>
      <x:c r="C60" s="31" t="str">
        <x:f>'Evaluation Plan'!C60</x:f>
        <x:v>Choose the airplane toy farthest from the yellow pen and put it in the bowl.</x:v>
      </x:c>
      <x:c r="D60" s="31" t="str">
        <x:f>'Evaluation Plan'!D60</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60" s="33" t="n">
        <x:f>'Evaluation Plan'!E60</x:f>
        <x:v>56</x:v>
      </x:c>
      <x:c r="F60" s="33" t="str">
        <x:f>'Evaluation Plan'!F60</x:f>
        <x:v>567</x:v>
      </x:c>
      <x:c r="G60" s="31" t="str">
        <x:f>'Evaluation Plan'!G60</x:f>
        <x:v>Exact canonical transfer scene and masked trajectory reference; only the instruction wording changes. This remains a separate language diagnostic.</x:v>
      </x:c>
      <x:c r="H60" s="31" t="str">
        <x:f>'Evaluation Plan'!H60</x:f>
        <x:v>airplane toy without propellers</x:v>
      </x:c>
      <x:c r="I60" s="31" t="str"/>
      <x:c r="J60" s="38" t="str">
        <x:f>'Evaluation Plan'!J60</x:f>
        <x:v>Language robustness</x:v>
      </x:c>
      <x:c r="K60" s="33" t="str">
        <x:f>'Evaluation Plan'!K60</x:f>
        <x:v>RD-CT10</x:v>
      </x:c>
      <x:c r="L60" s="33" t="str">
        <x:f>'Evaluation Plan'!L60</x:f>
        <x:v>furthest</x:v>
      </x:c>
      <x:c r="M60" s="33" t="str">
        <x:f>'Evaluation Plan'!M60</x:f>
        <x:v>airplane toy</x:v>
      </x:c>
      <x:c r="N60" s="33" t="n">
        <x:f>'Evaluation Plan'!N60</x:f>
        <x:v>4</x:v>
      </x:c>
      <x:c r="O60" s="33" t="n">
        <x:f>'Evaluation Plan'!O60</x:f>
        <x:v>1</x:v>
      </x:c>
      <x:c r="P60" s="33" t="str">
        <x:f>'Evaluation Plan'!P60</x:f>
        <x:v>Empty</x:v>
      </x:c>
      <x:c r="Q60" s="31" t="str">
        <x:f>'Evaluation Plan'!Q60</x:f>
        <x:v>Primary compositional-transfer prompt paraphrase</x:v>
      </x:c>
      <x:c r="R60" s="33" t="n">
        <x:f>'Evaluation Plan'!R60</x:f>
        <x:v>2</x:v>
      </x:c>
      <x:c r="S60" s="31" t="str">
        <x:f>'Evaluation Plan'!S60</x:f>
        <x:v>Reset the moved object exactly; preserve the scene; change only the wording.</x:v>
      </x:c>
      <x:c r="T60" s="31" t="str">
        <x:f>'Evaluation Plan'!T60</x:f>
        <x:v>One of 10 exact-scene paraphrases of canonical transfer trials.</x:v>
      </x:c>
      <x:c r="U60" s="31" t="n">
        <x:f>'Evaluation Plan'!U60</x:f>
        <x:v>0</x:v>
      </x:c>
    </x:row>
    <x:row r="61" ht="51" customHeight="1">
      <x:c r="A61" s="32" t="str">
        <x:v>Not collected</x:v>
      </x:c>
      <x:c r="B61" s="34" t="n">
        <x:f>'Evaluation Plan'!B61</x:f>
        <x:v>59</x:v>
      </x:c>
      <x:c r="C61" s="32" t="str">
        <x:f>'Evaluation Plan'!C61</x:f>
        <x:v>Take the airplane toy without propellers and set it in the bowl.</x:v>
      </x:c>
      <x:c r="D61" s="32" t="str">
        <x:f>'Evaluation Plan'!D61</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61" s="34" t="n">
        <x:f>'Evaluation Plan'!E61</x:f>
        <x:v>57</x:v>
      </x:c>
      <x:c r="F61" s="34" t="str">
        <x:f>'Evaluation Plan'!F61</x:f>
        <x:v>567</x:v>
      </x:c>
      <x:c r="G61" s="32" t="str">
        <x:f>'Evaluation Plan'!G61</x:f>
        <x:v>Exact matched-control scene and target; only the direct-name instruction wording changes.</x:v>
      </x:c>
      <x:c r="H61" s="32" t="str">
        <x:f>'Evaluation Plan'!H61</x:f>
        <x:v>airplane toy without propellers</x:v>
      </x:c>
      <x:c r="I61" s="32" t="str"/>
      <x:c r="J61" s="38" t="str">
        <x:f>'Evaluation Plan'!J61</x:f>
        <x:v>Language robustness</x:v>
      </x:c>
      <x:c r="K61" s="34" t="str">
        <x:f>'Evaluation Plan'!K61</x:f>
        <x:v>RD-CT10</x:v>
      </x:c>
      <x:c r="L61" s="34" t="str">
        <x:f>'Evaluation Plan'!L61</x:f>
        <x:v>direct-name paraphrase</x:v>
      </x:c>
      <x:c r="M61" s="34" t="str">
        <x:f>'Evaluation Plan'!M61</x:f>
        <x:v>airplane toy</x:v>
      </x:c>
      <x:c r="N61" s="34" t="n">
        <x:f>'Evaluation Plan'!N61</x:f>
        <x:v>4</x:v>
      </x:c>
      <x:c r="O61" s="34" t="n">
        <x:f>'Evaluation Plan'!O61</x:f>
        <x:v>1</x:v>
      </x:c>
      <x:c r="P61" s="34" t="str">
        <x:f>'Evaluation Plan'!P61</x:f>
        <x:v>Empty</x:v>
      </x:c>
      <x:c r="Q61" s="32" t="str">
        <x:f>'Evaluation Plan'!Q61</x:f>
        <x:v>Matched-control direct-name prompt paraphrase</x:v>
      </x:c>
      <x:c r="R61" s="34" t="n">
        <x:f>'Evaluation Plan'!R61</x:f>
        <x:v>2</x:v>
      </x:c>
      <x:c r="S61" s="32" t="str">
        <x:f>'Evaluation Plan'!S61</x:f>
        <x:v>Reset the moved object exactly; preserve the scene; change only the wording.</x:v>
      </x:c>
      <x:c r="T61" s="32" t="str">
        <x:f>'Evaluation Plan'!T61</x:f>
        <x:v>One of 10 exact-scene paraphrases of matched manipulation controls.</x:v>
      </x:c>
      <x:c r="U61" s="32" t="n">
        <x:f>'Evaluation Plan'!U61</x:f>
        <x:v>0</x:v>
      </x:c>
    </x:row>
    <x:row r="62" ht="51" customHeight="1">
      <x:c r="A62" s="41" t="str">
        <x:v>Not collected</x:v>
      </x:c>
      <x:c r="B62" s="42" t="n">
        <x:f>'Evaluation Plan'!B62</x:f>
        <x:v>60</x:v>
      </x:c>
      <x:c r="C62" s="41" t="str">
        <x:f>'Evaluation Plan'!C62</x:f>
        <x:v>Pick up the crushed soda can closest to the yellow pen and place it in the bowl.</x:v>
      </x:c>
      <x:c r="D62" s="41" t="str">
        <x:f>'Evaluation Plan'!D62</x:f>
        <x:v>Reference: yellow pen at table centre; crushed Pepsi can: 10 cm away from the robot from the reference; crushed Coke can: 24 cm toward the robot from the reference; red pencil sharpener: at the far robot-left corner, outside the distance comparison; Bowl: empty</x:v>
      </x:c>
      <x:c r="E62" s="42" t="str">
        <x:f>'Evaluation Plan'!E62</x:f>
      </x:c>
      <x:c r="F62" s="42" t="str">
        <x:f>'Evaluation Plan'!F62</x:f>
        <x:v>403</x:v>
      </x:c>
      <x:c r="G62" s="41" t="str">
        <x:f>'Evaluation Plan'!G62</x:f>
        <x:v>Masked source trajectory: the target identity and physical manipulation are trained under a direct-name prompt, while this relation × candidate-category composition is intentionally absent.</x:v>
      </x:c>
      <x:c r="H62" s="41" t="str">
        <x:f>'Evaluation Plan'!H62</x:f>
        <x:v>crushed Pepsi can</x:v>
      </x:c>
      <x:c r="I62" s="41" t="str"/>
      <x:c r="J62" s="46" t="str">
        <x:f>'Evaluation Plan'!J62</x:f>
        <x:v>Concept/compositional transfer</x:v>
      </x:c>
      <x:c r="K62" s="42" t="str">
        <x:f>'Evaluation Plan'!K62</x:f>
        <x:v>RD-CT11</x:v>
      </x:c>
      <x:c r="L62" s="42" t="str">
        <x:f>'Evaluation Plan'!L62</x:f>
        <x:v>closest</x:v>
      </x:c>
      <x:c r="M62" s="42" t="str">
        <x:f>'Evaluation Plan'!M62</x:f>
        <x:v>crushed soda can</x:v>
      </x:c>
      <x:c r="N62" s="42" t="n">
        <x:f>'Evaluation Plan'!N62</x:f>
        <x:v>4</x:v>
      </x:c>
      <x:c r="O62" s="42" t="n">
        <x:f>'Evaluation Plan'!O62</x:f>
        <x:v>1</x:v>
      </x:c>
      <x:c r="P62" s="42" t="str">
        <x:f>'Evaluation Plan'!P62</x:f>
        <x:v>Empty</x:v>
      </x:c>
      <x:c r="Q62" s="41" t="str">
        <x:f>'Evaluation Plan'!Q62</x:f>
        <x:v>Primary held-out relation × candidate-category composition — Pick up</x:v>
      </x:c>
      <x:c r="R62" s="42" t="n">
        <x:f>'Evaluation Plan'!R62</x:f>
        <x:v>3</x:v>
      </x:c>
      <x:c r="S62" s="41" t="str">
        <x:f>'Evaluation Plan'!S62</x:f>
        <x:v>Build the listed relation scene with the bowl empty.</x:v>
      </x:c>
      <x:c r="T62" s="41" t="str">
        <x:f>'Evaluation Plan'!T62</x:f>
        <x:v>Both candidates are present. The held-out relation is the only information that identifies the target.</x:v>
      </x:c>
      <x:c r="U62" s="41" t="n">
        <x:f>'Evaluation Plan'!U62</x:f>
        <x:v>0</x:v>
      </x:c>
    </x:row>
    <x:row r="63" ht="51" customHeight="1">
      <x:c r="A63" s="32" t="str">
        <x:v>Not collected</x:v>
      </x:c>
      <x:c r="B63" s="34" t="n">
        <x:f>'Evaluation Plan'!B63</x:f>
        <x:v>61</x:v>
      </x:c>
      <x:c r="C63" s="32" t="str">
        <x:f>'Evaluation Plan'!C63</x:f>
        <x:v>Put the crushed Pepsi can in the bowl.</x:v>
      </x:c>
      <x:c r="D63" s="32" t="str">
        <x:f>'Evaluation Plan'!D63</x:f>
        <x:v>Reference: yellow pen at table centre; crushed Pepsi can: 10 cm away from the robot from the reference; crushed Coke can: 24 cm toward the robot from the reference; red pencil sharpener: at the far robot-left corner, outside the distance comparison; Bowl: empty</x:v>
      </x:c>
      <x:c r="E63" s="34" t="n">
        <x:f>'Evaluation Plan'!E63</x:f>
        <x:v>60</x:v>
      </x:c>
      <x:c r="F63" s="34" t="str">
        <x:f>'Evaluation Plan'!F63</x:f>
        <x:v>403</x:v>
      </x:c>
      <x:c r="G63" s="32" t="str">
        <x:f>'Evaluation Plan'!G63</x:f>
        <x:v>Exact masked-cell training prompt for the same target identity. The evaluation scene and physical endpoint are identical to the paired transfer row.</x:v>
      </x:c>
      <x:c r="H63" s="32" t="str">
        <x:f>'Evaluation Plan'!H63</x:f>
        <x:v>crushed Pepsi can</x:v>
      </x:c>
      <x:c r="I63" s="32" t="str"/>
      <x:c r="J63" s="37" t="str">
        <x:f>'Evaluation Plan'!J63</x:f>
        <x:v>Matched manipulation control</x:v>
      </x:c>
      <x:c r="K63" s="34" t="str">
        <x:f>'Evaluation Plan'!K63</x:f>
        <x:v>RD-CT11</x:v>
      </x:c>
      <x:c r="L63" s="34" t="str">
        <x:f>'Evaluation Plan'!L63</x:f>
        <x:v>direct name</x:v>
      </x:c>
      <x:c r="M63" s="34" t="str">
        <x:f>'Evaluation Plan'!M63</x:f>
        <x:v>crushed soda can</x:v>
      </x:c>
      <x:c r="N63" s="34" t="n">
        <x:f>'Evaluation Plan'!N63</x:f>
        <x:v>4</x:v>
      </x:c>
      <x:c r="O63" s="34" t="n">
        <x:f>'Evaluation Plan'!O63</x:f>
        <x:v>1</x:v>
      </x:c>
      <x:c r="P63" s="34" t="str">
        <x:f>'Evaluation Plan'!P63</x:f>
        <x:v>Empty</x:v>
      </x:c>
      <x:c r="Q63" s="32" t="str">
        <x:f>'Evaluation Plan'!Q63</x:f>
        <x:v>Exact-scene direct-identity manipulation control</x:v>
      </x:c>
      <x:c r="R63" s="34" t="n">
        <x:f>'Evaluation Plan'!R63</x:f>
        <x:v>3</x:v>
      </x:c>
      <x:c r="S63" s="32" t="str">
        <x:f>'Evaluation Plan'!S63</x:f>
        <x:v>Reset the moved object exactly; preserve the scene; change only the instruction.</x:v>
      </x:c>
      <x:c r="T63" s="32" t="str">
        <x:f>'Evaluation Plan'!T63</x:f>
        <x:v>Controls recognition and manipulation of the same target without requiring referential reasoning.</x:v>
      </x:c>
      <x:c r="U63" s="32" t="n">
        <x:f>'Evaluation Plan'!U63</x:f>
        <x:v>0</x:v>
      </x:c>
    </x:row>
    <x:row r="64" ht="51" customHeight="1">
      <x:c r="A64" s="41" t="str">
        <x:v>Not collected</x:v>
      </x:c>
      <x:c r="B64" s="42" t="n">
        <x:f>'Evaluation Plan'!B64</x:f>
        <x:v>62</x:v>
      </x:c>
      <x:c r="C64" s="41" t="str">
        <x:f>'Evaluation Plan'!C64</x:f>
        <x:v>Pick up the pencil sharpener between the green pen and the crushed Coke can and place it in the bowl.</x:v>
      </x:c>
      <x:c r="D64" s="41" t="str">
        <x:f>'Evaluation Plan'!D64</x:f>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Bowl: empty</x:v>
      </x:c>
      <x:c r="E64" s="42" t="str">
        <x:f>'Evaluation Plan'!E64</x:f>
      </x:c>
      <x:c r="F64" s="42" t="str">
        <x:f>'Evaluation Plan'!F64</x:f>
        <x:v>481</x:v>
      </x:c>
      <x:c r="G64" s="41" t="str">
        <x:f>'Evaluation Plan'!G64</x:f>
        <x:v>Masked source trajectory: the target identity and physical manipulation are trained under a direct-name prompt, while this relation × candidate-category composition is intentionally absent.</x:v>
      </x:c>
      <x:c r="H64" s="41" t="str">
        <x:f>'Evaluation Plan'!H64</x:f>
        <x:v>red pencil sharpener</x:v>
      </x:c>
      <x:c r="I64" s="41" t="str"/>
      <x:c r="J64" s="46" t="str">
        <x:f>'Evaluation Plan'!J64</x:f>
        <x:v>Concept/compositional transfer</x:v>
      </x:c>
      <x:c r="K64" s="42" t="str">
        <x:f>'Evaluation Plan'!K64</x:f>
        <x:v>RD-CT12</x:v>
      </x:c>
      <x:c r="L64" s="42" t="str">
        <x:f>'Evaluation Plan'!L64</x:f>
        <x:v>between</x:v>
      </x:c>
      <x:c r="M64" s="42" t="str">
        <x:f>'Evaluation Plan'!M64</x:f>
        <x:v>pencil sharpener</x:v>
      </x:c>
      <x:c r="N64" s="42" t="n">
        <x:f>'Evaluation Plan'!N64</x:f>
        <x:v>4</x:v>
      </x:c>
      <x:c r="O64" s="42" t="n">
        <x:f>'Evaluation Plan'!O64</x:f>
        <x:v>1</x:v>
      </x:c>
      <x:c r="P64" s="42" t="str">
        <x:f>'Evaluation Plan'!P64</x:f>
        <x:v>Empty</x:v>
      </x:c>
      <x:c r="Q64" s="41" t="str">
        <x:f>'Evaluation Plan'!Q64</x:f>
        <x:v>Primary held-out relation × candidate-category composition — Pick up</x:v>
      </x:c>
      <x:c r="R64" s="42" t="n">
        <x:f>'Evaluation Plan'!R64</x:f>
        <x:v>3</x:v>
      </x:c>
      <x:c r="S64" s="41" t="str">
        <x:f>'Evaluation Plan'!S64</x:f>
        <x:v>Build the listed relation scene with the bowl empty.</x:v>
      </x:c>
      <x:c r="T64" s="41" t="str">
        <x:f>'Evaluation Plan'!T64</x:f>
        <x:v>Both candidates are present. The held-out relation is the only information that identifies the target.</x:v>
      </x:c>
      <x:c r="U64" s="41" t="n">
        <x:f>'Evaluation Plan'!U64</x:f>
        <x:v>0</x:v>
      </x:c>
    </x:row>
    <x:row r="65" ht="51" customHeight="1">
      <x:c r="A65" s="32" t="str">
        <x:v>Not collected</x:v>
      </x:c>
      <x:c r="B65" s="34" t="n">
        <x:f>'Evaluation Plan'!B65</x:f>
        <x:v>63</x:v>
      </x:c>
      <x:c r="C65" s="32" t="str">
        <x:f>'Evaluation Plan'!C65</x:f>
        <x:v>Put the red pencil sharpener in the bowl.</x:v>
      </x:c>
      <x:c r="D65" s="32" t="str">
        <x:f>'Evaluation Plan'!D65</x:f>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Bowl: empty</x:v>
      </x:c>
      <x:c r="E65" s="34" t="n">
        <x:f>'Evaluation Plan'!E65</x:f>
        <x:v>62</x:v>
      </x:c>
      <x:c r="F65" s="34" t="str">
        <x:f>'Evaluation Plan'!F65</x:f>
        <x:v>481</x:v>
      </x:c>
      <x:c r="G65" s="32" t="str">
        <x:f>'Evaluation Plan'!G65</x:f>
        <x:v>Exact masked-cell training prompt for the same target identity. The evaluation scene and physical endpoint are identical to the paired transfer row.</x:v>
      </x:c>
      <x:c r="H65" s="32" t="str">
        <x:f>'Evaluation Plan'!H65</x:f>
        <x:v>red pencil sharpener</x:v>
      </x:c>
      <x:c r="I65" s="32" t="str"/>
      <x:c r="J65" s="37" t="str">
        <x:f>'Evaluation Plan'!J65</x:f>
        <x:v>Matched manipulation control</x:v>
      </x:c>
      <x:c r="K65" s="34" t="str">
        <x:f>'Evaluation Plan'!K65</x:f>
        <x:v>RD-CT12</x:v>
      </x:c>
      <x:c r="L65" s="34" t="str">
        <x:f>'Evaluation Plan'!L65</x:f>
        <x:v>direct name</x:v>
      </x:c>
      <x:c r="M65" s="34" t="str">
        <x:f>'Evaluation Plan'!M65</x:f>
        <x:v>pencil sharpener</x:v>
      </x:c>
      <x:c r="N65" s="34" t="n">
        <x:f>'Evaluation Plan'!N65</x:f>
        <x:v>4</x:v>
      </x:c>
      <x:c r="O65" s="34" t="n">
        <x:f>'Evaluation Plan'!O65</x:f>
        <x:v>1</x:v>
      </x:c>
      <x:c r="P65" s="34" t="str">
        <x:f>'Evaluation Plan'!P65</x:f>
        <x:v>Empty</x:v>
      </x:c>
      <x:c r="Q65" s="32" t="str">
        <x:f>'Evaluation Plan'!Q65</x:f>
        <x:v>Exact-scene direct-identity manipulation control</x:v>
      </x:c>
      <x:c r="R65" s="34" t="n">
        <x:f>'Evaluation Plan'!R65</x:f>
        <x:v>3</x:v>
      </x:c>
      <x:c r="S65" s="32" t="str">
        <x:f>'Evaluation Plan'!S65</x:f>
        <x:v>Reset the moved object exactly; preserve the scene; change only the instruction.</x:v>
      </x:c>
      <x:c r="T65" s="32" t="str">
        <x:f>'Evaluation Plan'!T65</x:f>
        <x:v>Controls recognition and manipulation of the same target without requiring referential reasoning.</x:v>
      </x:c>
      <x:c r="U65" s="32" t="n">
        <x:f>'Evaluation Plan'!U65</x:f>
        <x:v>0</x:v>
      </x:c>
    </x:row>
    <x:row r="66" ht="51" customHeight="1">
      <x:c r="A66" s="41" t="str">
        <x:v>Not collected</x:v>
      </x:c>
      <x:c r="B66" s="42" t="n">
        <x:f>'Evaluation Plan'!B66</x:f>
        <x:v>64</x:v>
      </x:c>
      <x:c r="C66" s="41" t="str">
        <x:f>'Evaluation Plan'!C66</x:f>
        <x:v>Put the airplane toy furthest from the crushed Pepsi can in the bowl.</x:v>
      </x:c>
      <x:c r="D66" s="41" t="str">
        <x:f>'Evaluation Plan'!D66</x:f>
        <x:v>Reference: crushed Pepsi can at table centre; airplane toy without propellers: 10 cm toward robot-left from the reference; airplane toy with propellers: 24 cm away toward robot-right from the reference; red pencil sharpener: at the far robot-left corner, outside the distance comparison; Bowl: empty</x:v>
      </x:c>
      <x:c r="E66" s="42" t="str">
        <x:f>'Evaluation Plan'!E66</x:f>
      </x:c>
      <x:c r="F66" s="42" t="str">
        <x:f>'Evaluation Plan'!F66</x:f>
        <x:v>570</x:v>
      </x:c>
      <x:c r="G66" s="41" t="str">
        <x:f>'Evaluation Plan'!G66</x:f>
        <x:v>Masked source trajectory: the target identity and physical manipulation are trained under a direct-name prompt, while this relation × candidate-category composition is intentionally absent.</x:v>
      </x:c>
      <x:c r="H66" s="41" t="str">
        <x:f>'Evaluation Plan'!H66</x:f>
        <x:v>airplane toy with propellers</x:v>
      </x:c>
      <x:c r="I66" s="41" t="str"/>
      <x:c r="J66" s="46" t="str">
        <x:f>'Evaluation Plan'!J66</x:f>
        <x:v>Concept/compositional transfer</x:v>
      </x:c>
      <x:c r="K66" s="42" t="str">
        <x:f>'Evaluation Plan'!K66</x:f>
        <x:v>RD-CT13</x:v>
      </x:c>
      <x:c r="L66" s="42" t="str">
        <x:f>'Evaluation Plan'!L66</x:f>
        <x:v>furthest</x:v>
      </x:c>
      <x:c r="M66" s="42" t="str">
        <x:f>'Evaluation Plan'!M66</x:f>
        <x:v>airplane toy</x:v>
      </x:c>
      <x:c r="N66" s="42" t="n">
        <x:f>'Evaluation Plan'!N66</x:f>
        <x:v>4</x:v>
      </x:c>
      <x:c r="O66" s="42" t="n">
        <x:f>'Evaluation Plan'!O66</x:f>
        <x:v>1</x:v>
      </x:c>
      <x:c r="P66" s="42" t="str">
        <x:f>'Evaluation Plan'!P66</x:f>
        <x:v>Empty</x:v>
      </x:c>
      <x:c r="Q66" s="41" t="str">
        <x:f>'Evaluation Plan'!Q66</x:f>
        <x:v>Primary held-out relation × candidate-category composition — Put</x:v>
      </x:c>
      <x:c r="R66" s="42" t="n">
        <x:f>'Evaluation Plan'!R66</x:f>
        <x:v>3</x:v>
      </x:c>
      <x:c r="S66" s="41" t="str">
        <x:f>'Evaluation Plan'!S66</x:f>
        <x:v>Build the listed relation scene with the bowl empty.</x:v>
      </x:c>
      <x:c r="T66" s="41" t="str">
        <x:f>'Evaluation Plan'!T66</x:f>
        <x:v>Both candidates are present. The held-out relation is the only information that identifies the target.</x:v>
      </x:c>
      <x:c r="U66" s="41" t="n">
        <x:f>'Evaluation Plan'!U66</x:f>
        <x:v>0</x:v>
      </x:c>
    </x:row>
    <x:row r="67" ht="51" customHeight="1">
      <x:c r="A67" s="32" t="str">
        <x:v>Not collected</x:v>
      </x:c>
      <x:c r="B67" s="34" t="n">
        <x:f>'Evaluation Plan'!B67</x:f>
        <x:v>65</x:v>
      </x:c>
      <x:c r="C67" s="32" t="str">
        <x:f>'Evaluation Plan'!C67</x:f>
        <x:v>Put the airplane toy with propellers in the bowl.</x:v>
      </x:c>
      <x:c r="D67" s="32" t="str">
        <x:f>'Evaluation Plan'!D67</x:f>
        <x:v>Reference: crushed Pepsi can at table centre; airplane toy without propellers: 10 cm toward robot-left from the reference; airplane toy with propellers: 24 cm away toward robot-right from the reference; red pencil sharpener: at the far robot-left corner, outside the distance comparison; Bowl: empty</x:v>
      </x:c>
      <x:c r="E67" s="34" t="n">
        <x:f>'Evaluation Plan'!E67</x:f>
        <x:v>64</x:v>
      </x:c>
      <x:c r="F67" s="34" t="str">
        <x:f>'Evaluation Plan'!F67</x:f>
        <x:v>570</x:v>
      </x:c>
      <x:c r="G67" s="32" t="str">
        <x:f>'Evaluation Plan'!G67</x:f>
        <x:v>Exact masked-cell training prompt for the same target identity. The evaluation scene and physical endpoint are identical to the paired transfer row.</x:v>
      </x:c>
      <x:c r="H67" s="32" t="str">
        <x:f>'Evaluation Plan'!H67</x:f>
        <x:v>airplane toy with propellers</x:v>
      </x:c>
      <x:c r="I67" s="32" t="str"/>
      <x:c r="J67" s="37" t="str">
        <x:f>'Evaluation Plan'!J67</x:f>
        <x:v>Matched manipulation control</x:v>
      </x:c>
      <x:c r="K67" s="34" t="str">
        <x:f>'Evaluation Plan'!K67</x:f>
        <x:v>RD-CT13</x:v>
      </x:c>
      <x:c r="L67" s="34" t="str">
        <x:f>'Evaluation Plan'!L67</x:f>
        <x:v>direct name</x:v>
      </x:c>
      <x:c r="M67" s="34" t="str">
        <x:f>'Evaluation Plan'!M67</x:f>
        <x:v>airplane toy</x:v>
      </x:c>
      <x:c r="N67" s="34" t="n">
        <x:f>'Evaluation Plan'!N67</x:f>
        <x:v>4</x:v>
      </x:c>
      <x:c r="O67" s="34" t="n">
        <x:f>'Evaluation Plan'!O67</x:f>
        <x:v>1</x:v>
      </x:c>
      <x:c r="P67" s="34" t="str">
        <x:f>'Evaluation Plan'!P67</x:f>
        <x:v>Empty</x:v>
      </x:c>
      <x:c r="Q67" s="32" t="str">
        <x:f>'Evaluation Plan'!Q67</x:f>
        <x:v>Exact-scene direct-identity manipulation control</x:v>
      </x:c>
      <x:c r="R67" s="34" t="n">
        <x:f>'Evaluation Plan'!R67</x:f>
        <x:v>3</x:v>
      </x:c>
      <x:c r="S67" s="32" t="str">
        <x:f>'Evaluation Plan'!S67</x:f>
        <x:v>Reset the moved object exactly; preserve the scene; change only the instruction.</x:v>
      </x:c>
      <x:c r="T67" s="32" t="str">
        <x:f>'Evaluation Plan'!T67</x:f>
        <x:v>Controls recognition and manipulation of the same target without requiring referential reasoning.</x:v>
      </x:c>
      <x:c r="U67" s="32" t="n">
        <x:f>'Evaluation Plan'!U67</x:f>
        <x:v>0</x:v>
      </x:c>
    </x:row>
    <x:row r="68" ht="51" customHeight="1">
      <x:c r="A68" s="41" t="str">
        <x:v>Not collected</x:v>
      </x:c>
      <x:c r="B68" s="42" t="n">
        <x:f>'Evaluation Plan'!B68</x:f>
        <x:v>66</x:v>
      </x:c>
      <x:c r="C68" s="41" t="str">
        <x:f>'Evaluation Plan'!C68</x:f>
        <x:v>Put the crushed soda can closest to the airplane toy without propellers in the bowl.</x:v>
      </x:c>
      <x:c r="D68" s="41" t="str">
        <x:f>'Evaluation Plan'!D68</x:f>
        <x:v>Reference: airplane toy without propellers at table centre; crushed Coke can: 10 cm toward robot-left from the reference; crushed Pepsi can: 24 cm away toward robot-right from the reference; airplane toy with propellers: at the far robot-left corner, outside the distance comparison; Bowl: empty</x:v>
      </x:c>
      <x:c r="E68" s="42" t="str">
        <x:f>'Evaluation Plan'!E68</x:f>
      </x:c>
      <x:c r="F68" s="42" t="str">
        <x:f>'Evaluation Plan'!F68</x:f>
        <x:v>404</x:v>
      </x:c>
      <x:c r="G68" s="41" t="str">
        <x:f>'Evaluation Plan'!G68</x:f>
        <x:v>Masked source trajectory: the target identity and physical manipulation are trained under a direct-name prompt, while this relation × candidate-category composition is intentionally absent.</x:v>
      </x:c>
      <x:c r="H68" s="41" t="str">
        <x:f>'Evaluation Plan'!H68</x:f>
        <x:v>crushed Coke can</x:v>
      </x:c>
      <x:c r="I68" s="41" t="str"/>
      <x:c r="J68" s="46" t="str">
        <x:f>'Evaluation Plan'!J68</x:f>
        <x:v>Concept/compositional transfer</x:v>
      </x:c>
      <x:c r="K68" s="42" t="str">
        <x:f>'Evaluation Plan'!K68</x:f>
        <x:v>RD-CT14</x:v>
      </x:c>
      <x:c r="L68" s="42" t="str">
        <x:f>'Evaluation Plan'!L68</x:f>
        <x:v>closest</x:v>
      </x:c>
      <x:c r="M68" s="42" t="str">
        <x:f>'Evaluation Plan'!M68</x:f>
        <x:v>crushed soda can</x:v>
      </x:c>
      <x:c r="N68" s="42" t="n">
        <x:f>'Evaluation Plan'!N68</x:f>
        <x:v>4</x:v>
      </x:c>
      <x:c r="O68" s="42" t="n">
        <x:f>'Evaluation Plan'!O68</x:f>
        <x:v>1</x:v>
      </x:c>
      <x:c r="P68" s="42" t="str">
        <x:f>'Evaluation Plan'!P68</x:f>
        <x:v>Empty</x:v>
      </x:c>
      <x:c r="Q68" s="41" t="str">
        <x:f>'Evaluation Plan'!Q68</x:f>
        <x:v>Primary held-out relation × candidate-category composition — Put</x:v>
      </x:c>
      <x:c r="R68" s="42" t="n">
        <x:f>'Evaluation Plan'!R68</x:f>
        <x:v>3</x:v>
      </x:c>
      <x:c r="S68" s="41" t="str">
        <x:f>'Evaluation Plan'!S68</x:f>
        <x:v>Build the listed relation scene with the bowl empty.</x:v>
      </x:c>
      <x:c r="T68" s="41" t="str">
        <x:f>'Evaluation Plan'!T68</x:f>
        <x:v>Both candidates are present. The held-out relation is the only information that identifies the target.</x:v>
      </x:c>
      <x:c r="U68" s="41" t="n">
        <x:f>'Evaluation Plan'!U68</x:f>
        <x:v>0</x:v>
      </x:c>
    </x:row>
    <x:row r="69" ht="51" customHeight="1">
      <x:c r="A69" s="32" t="str">
        <x:v>Not collected</x:v>
      </x:c>
      <x:c r="B69" s="34" t="n">
        <x:f>'Evaluation Plan'!B69</x:f>
        <x:v>67</x:v>
      </x:c>
      <x:c r="C69" s="32" t="str">
        <x:f>'Evaluation Plan'!C69</x:f>
        <x:v>Pick up the crushed Coke can and place it in the bowl.</x:v>
      </x:c>
      <x:c r="D69" s="32" t="str">
        <x:f>'Evaluation Plan'!D69</x:f>
        <x:v>Reference: airplane toy without propellers at table centre; crushed Coke can: 10 cm toward robot-left from the reference; crushed Pepsi can: 24 cm away toward robot-right from the reference; airplane toy with propellers: at the far robot-left corner, outside the distance comparison; Bowl: empty</x:v>
      </x:c>
      <x:c r="E69" s="34" t="n">
        <x:f>'Evaluation Plan'!E69</x:f>
        <x:v>66</x:v>
      </x:c>
      <x:c r="F69" s="34" t="str">
        <x:f>'Evaluation Plan'!F69</x:f>
        <x:v>404</x:v>
      </x:c>
      <x:c r="G69" s="32" t="str">
        <x:f>'Evaluation Plan'!G69</x:f>
        <x:v>Exact masked-cell training prompt for the same target identity. The evaluation scene and physical endpoint are identical to the paired transfer row.</x:v>
      </x:c>
      <x:c r="H69" s="32" t="str">
        <x:f>'Evaluation Plan'!H69</x:f>
        <x:v>crushed Coke can</x:v>
      </x:c>
      <x:c r="I69" s="32" t="str"/>
      <x:c r="J69" s="37" t="str">
        <x:f>'Evaluation Plan'!J69</x:f>
        <x:v>Matched manipulation control</x:v>
      </x:c>
      <x:c r="K69" s="34" t="str">
        <x:f>'Evaluation Plan'!K69</x:f>
        <x:v>RD-CT14</x:v>
      </x:c>
      <x:c r="L69" s="34" t="str">
        <x:f>'Evaluation Plan'!L69</x:f>
        <x:v>direct name</x:v>
      </x:c>
      <x:c r="M69" s="34" t="str">
        <x:f>'Evaluation Plan'!M69</x:f>
        <x:v>crushed soda can</x:v>
      </x:c>
      <x:c r="N69" s="34" t="n">
        <x:f>'Evaluation Plan'!N69</x:f>
        <x:v>4</x:v>
      </x:c>
      <x:c r="O69" s="34" t="n">
        <x:f>'Evaluation Plan'!O69</x:f>
        <x:v>1</x:v>
      </x:c>
      <x:c r="P69" s="34" t="str">
        <x:f>'Evaluation Plan'!P69</x:f>
        <x:v>Empty</x:v>
      </x:c>
      <x:c r="Q69" s="32" t="str">
        <x:f>'Evaluation Plan'!Q69</x:f>
        <x:v>Exact-scene direct-identity manipulation control</x:v>
      </x:c>
      <x:c r="R69" s="34" t="n">
        <x:f>'Evaluation Plan'!R69</x:f>
        <x:v>3</x:v>
      </x:c>
      <x:c r="S69" s="32" t="str">
        <x:f>'Evaluation Plan'!S69</x:f>
        <x:v>Reset the moved object exactly; preserve the scene; change only the instruction.</x:v>
      </x:c>
      <x:c r="T69" s="32" t="str">
        <x:f>'Evaluation Plan'!T69</x:f>
        <x:v>Controls recognition and manipulation of the same target without requiring referential reasoning.</x:v>
      </x:c>
      <x:c r="U69" s="32" t="n">
        <x:f>'Evaluation Plan'!U69</x:f>
        <x:v>0</x:v>
      </x:c>
    </x:row>
    <x:row r="70" ht="51" customHeight="1">
      <x:c r="A70" s="41" t="str">
        <x:v>Not collected</x:v>
      </x:c>
      <x:c r="B70" s="42" t="n">
        <x:f>'Evaluation Plan'!B70</x:f>
        <x:v>68</x:v>
      </x:c>
      <x:c r="C70" s="41" t="str">
        <x:f>'Evaluation Plan'!C70</x:f>
        <x:v>Put the pencil sharpener between the airplane toy with propellers and the yellow pen in the bowl.</x:v>
      </x:c>
      <x:c r="D70" s="41" t="str">
        <x:f>'Evaluation Plan'!D70</x:f>
        <x:v>Reference A: airplane toy with propellers at 14 cm to robot-left of table centre; Reference B: yellow pen at 14 cm to robot-right of table centre; green pencil sharpener: at table centre on the straight Reference A–B segment; red pencil sharpener: 12 cm toward the robot from table centre, off the Reference A–B segment; Bowl: empty</x:v>
      </x:c>
      <x:c r="E70" s="42" t="str">
        <x:f>'Evaluation Plan'!E70</x:f>
      </x:c>
      <x:c r="F70" s="42" t="str">
        <x:f>'Evaluation Plan'!F70</x:f>
        <x:v>485</x:v>
      </x:c>
      <x:c r="G70" s="41" t="str">
        <x:f>'Evaluation Plan'!G70</x:f>
        <x:v>Masked source trajectory: the target identity and physical manipulation are trained under a direct-name prompt, while this relation × candidate-category composition is intentionally absent.</x:v>
      </x:c>
      <x:c r="H70" s="41" t="str">
        <x:f>'Evaluation Plan'!H70</x:f>
        <x:v>green pencil sharpener</x:v>
      </x:c>
      <x:c r="I70" s="41" t="str"/>
      <x:c r="J70" s="46" t="str">
        <x:f>'Evaluation Plan'!J70</x:f>
        <x:v>Concept/compositional transfer</x:v>
      </x:c>
      <x:c r="K70" s="42" t="str">
        <x:f>'Evaluation Plan'!K70</x:f>
        <x:v>RD-CT15</x:v>
      </x:c>
      <x:c r="L70" s="42" t="str">
        <x:f>'Evaluation Plan'!L70</x:f>
        <x:v>between</x:v>
      </x:c>
      <x:c r="M70" s="42" t="str">
        <x:f>'Evaluation Plan'!M70</x:f>
        <x:v>pencil sharpener</x:v>
      </x:c>
      <x:c r="N70" s="42" t="n">
        <x:f>'Evaluation Plan'!N70</x:f>
        <x:v>4</x:v>
      </x:c>
      <x:c r="O70" s="42" t="n">
        <x:f>'Evaluation Plan'!O70</x:f>
        <x:v>1</x:v>
      </x:c>
      <x:c r="P70" s="42" t="str">
        <x:f>'Evaluation Plan'!P70</x:f>
        <x:v>Empty</x:v>
      </x:c>
      <x:c r="Q70" s="41" t="str">
        <x:f>'Evaluation Plan'!Q70</x:f>
        <x:v>Primary held-out relation × candidate-category composition — Put</x:v>
      </x:c>
      <x:c r="R70" s="42" t="n">
        <x:f>'Evaluation Plan'!R70</x:f>
        <x:v>3</x:v>
      </x:c>
      <x:c r="S70" s="41" t="str">
        <x:f>'Evaluation Plan'!S70</x:f>
        <x:v>Build the listed relation scene with the bowl empty.</x:v>
      </x:c>
      <x:c r="T70" s="41" t="str">
        <x:f>'Evaluation Plan'!T70</x:f>
        <x:v>Both candidates are present. The held-out relation is the only information that identifies the target.</x:v>
      </x:c>
      <x:c r="U70" s="41" t="n">
        <x:f>'Evaluation Plan'!U70</x:f>
        <x:v>0</x:v>
      </x:c>
    </x:row>
    <x:row r="71" ht="51" customHeight="1">
      <x:c r="A71" s="32" t="str">
        <x:v>Not collected</x:v>
      </x:c>
      <x:c r="B71" s="34" t="n">
        <x:f>'Evaluation Plan'!B71</x:f>
        <x:v>69</x:v>
      </x:c>
      <x:c r="C71" s="32" t="str">
        <x:f>'Evaluation Plan'!C71</x:f>
        <x:v>Pick up the green pencil sharpener and place it in the bowl.</x:v>
      </x:c>
      <x:c r="D71" s="32" t="str">
        <x:f>'Evaluation Plan'!D71</x:f>
        <x:v>Reference A: airplane toy with propellers at 14 cm to robot-left of table centre; Reference B: yellow pen at 14 cm to robot-right of table centre; green pencil sharpener: at table centre on the straight Reference A–B segment; red pencil sharpener: 12 cm toward the robot from table centre, off the Reference A–B segment; Bowl: empty</x:v>
      </x:c>
      <x:c r="E71" s="34" t="n">
        <x:f>'Evaluation Plan'!E71</x:f>
        <x:v>68</x:v>
      </x:c>
      <x:c r="F71" s="34" t="str">
        <x:f>'Evaluation Plan'!F71</x:f>
        <x:v>485</x:v>
      </x:c>
      <x:c r="G71" s="32" t="str">
        <x:f>'Evaluation Plan'!G71</x:f>
        <x:v>Exact masked-cell training prompt for the same target identity. The evaluation scene and physical endpoint are identical to the paired transfer row.</x:v>
      </x:c>
      <x:c r="H71" s="32" t="str">
        <x:f>'Evaluation Plan'!H71</x:f>
        <x:v>green pencil sharpener</x:v>
      </x:c>
      <x:c r="I71" s="32" t="str"/>
      <x:c r="J71" s="37" t="str">
        <x:f>'Evaluation Plan'!J71</x:f>
        <x:v>Matched manipulation control</x:v>
      </x:c>
      <x:c r="K71" s="34" t="str">
        <x:f>'Evaluation Plan'!K71</x:f>
        <x:v>RD-CT15</x:v>
      </x:c>
      <x:c r="L71" s="34" t="str">
        <x:f>'Evaluation Plan'!L71</x:f>
        <x:v>direct name</x:v>
      </x:c>
      <x:c r="M71" s="34" t="str">
        <x:f>'Evaluation Plan'!M71</x:f>
        <x:v>pencil sharpener</x:v>
      </x:c>
      <x:c r="N71" s="34" t="n">
        <x:f>'Evaluation Plan'!N71</x:f>
        <x:v>4</x:v>
      </x:c>
      <x:c r="O71" s="34" t="n">
        <x:f>'Evaluation Plan'!O71</x:f>
        <x:v>1</x:v>
      </x:c>
      <x:c r="P71" s="34" t="str">
        <x:f>'Evaluation Plan'!P71</x:f>
        <x:v>Empty</x:v>
      </x:c>
      <x:c r="Q71" s="32" t="str">
        <x:f>'Evaluation Plan'!Q71</x:f>
        <x:v>Exact-scene direct-identity manipulation control</x:v>
      </x:c>
      <x:c r="R71" s="34" t="n">
        <x:f>'Evaluation Plan'!R71</x:f>
        <x:v>3</x:v>
      </x:c>
      <x:c r="S71" s="32" t="str">
        <x:f>'Evaluation Plan'!S71</x:f>
        <x:v>Reset the moved object exactly; preserve the scene; change only the instruction.</x:v>
      </x:c>
      <x:c r="T71" s="32" t="str">
        <x:f>'Evaluation Plan'!T71</x:f>
        <x:v>Controls recognition and manipulation of the same target without requiring referential reasoning.</x:v>
      </x:c>
      <x:c r="U71" s="32" t="n">
        <x:f>'Evaluation Plan'!U71</x:f>
        <x:v>0</x:v>
      </x:c>
    </x:row>
    <x:row r="72" ht="51" customHeight="1">
      <x:c r="A72" s="41" t="str">
        <x:v>Not collected</x:v>
      </x:c>
      <x:c r="B72" s="42" t="n">
        <x:f>'Evaluation Plan'!B72</x:f>
        <x:v>70</x:v>
      </x:c>
      <x:c r="C72" s="41" t="str">
        <x:f>'Evaluation Plan'!C72</x:f>
        <x:v>Move the airplane toy furthest from the red pencil sharpener into the bowl.</x:v>
      </x:c>
      <x:c r="D72" s="41" t="str">
        <x:f>'Evaluation Plan'!D72</x:f>
        <x:v>Reference: red pencil sharpener at table centre; airplane toy without propellers: 10 cm toward robot-right from the reference; airplane toy with propellers: 24 cm away toward robot-left from the reference; crushed Coke can: at the far robot-left corner, outside the distance comparison; Bowl: empty</x:v>
      </x:c>
      <x:c r="E72" s="42" t="str">
        <x:f>'Evaluation Plan'!E72</x:f>
      </x:c>
      <x:c r="F72" s="42" t="str">
        <x:f>'Evaluation Plan'!F72</x:f>
        <x:v>572</x:v>
      </x:c>
      <x:c r="G72" s="41" t="str">
        <x:f>'Evaluation Plan'!G72</x:f>
        <x:v>Masked source trajectory: the target identity and physical manipulation are trained under a direct-name prompt, while this relation × candidate-category composition is intentionally absent.</x:v>
      </x:c>
      <x:c r="H72" s="41" t="str">
        <x:f>'Evaluation Plan'!H72</x:f>
        <x:v>airplane toy with propellers</x:v>
      </x:c>
      <x:c r="I72" s="41" t="str"/>
      <x:c r="J72" s="46" t="str">
        <x:f>'Evaluation Plan'!J72</x:f>
        <x:v>Concept/compositional transfer</x:v>
      </x:c>
      <x:c r="K72" s="42" t="str">
        <x:f>'Evaluation Plan'!K72</x:f>
        <x:v>RD-CT16</x:v>
      </x:c>
      <x:c r="L72" s="42" t="str">
        <x:f>'Evaluation Plan'!L72</x:f>
        <x:v>furthest</x:v>
      </x:c>
      <x:c r="M72" s="42" t="str">
        <x:f>'Evaluation Plan'!M72</x:f>
        <x:v>airplane toy</x:v>
      </x:c>
      <x:c r="N72" s="42" t="n">
        <x:f>'Evaluation Plan'!N72</x:f>
        <x:v>4</x:v>
      </x:c>
      <x:c r="O72" s="42" t="n">
        <x:f>'Evaluation Plan'!O72</x:f>
        <x:v>1</x:v>
      </x:c>
      <x:c r="P72" s="42" t="str">
        <x:f>'Evaluation Plan'!P72</x:f>
        <x:v>Empty</x:v>
      </x:c>
      <x:c r="Q72" s="41" t="str">
        <x:f>'Evaluation Plan'!Q72</x:f>
        <x:v>Primary held-out relation × candidate-category composition — Move</x:v>
      </x:c>
      <x:c r="R72" s="42" t="n">
        <x:f>'Evaluation Plan'!R72</x:f>
        <x:v>3</x:v>
      </x:c>
      <x:c r="S72" s="41" t="str">
        <x:f>'Evaluation Plan'!S72</x:f>
        <x:v>Build the listed relation scene with the bowl empty.</x:v>
      </x:c>
      <x:c r="T72" s="41" t="str">
        <x:f>'Evaluation Plan'!T72</x:f>
        <x:v>Both candidates are present. The held-out relation is the only information that identifies the target.</x:v>
      </x:c>
      <x:c r="U72" s="41" t="n">
        <x:f>'Evaluation Plan'!U72</x:f>
        <x:v>0</x:v>
      </x:c>
    </x:row>
    <x:row r="73" ht="51" customHeight="1">
      <x:c r="A73" s="32" t="str">
        <x:v>Not collected</x:v>
      </x:c>
      <x:c r="B73" s="34" t="n">
        <x:f>'Evaluation Plan'!B73</x:f>
        <x:v>71</x:v>
      </x:c>
      <x:c r="C73" s="32" t="str">
        <x:f>'Evaluation Plan'!C73</x:f>
        <x:v>Move the airplane toy with propellers into the bowl.</x:v>
      </x:c>
      <x:c r="D73" s="32" t="str">
        <x:f>'Evaluation Plan'!D73</x:f>
        <x:v>Reference: red pencil sharpener at table centre; airplane toy without propellers: 10 cm toward robot-right from the reference; airplane toy with propellers: 24 cm away toward robot-left from the reference; crushed Coke can: at the far robot-left corner, outside the distance comparison; Bowl: empty</x:v>
      </x:c>
      <x:c r="E73" s="34" t="n">
        <x:f>'Evaluation Plan'!E73</x:f>
        <x:v>70</x:v>
      </x:c>
      <x:c r="F73" s="34" t="str">
        <x:f>'Evaluation Plan'!F73</x:f>
        <x:v>572</x:v>
      </x:c>
      <x:c r="G73" s="32" t="str">
        <x:f>'Evaluation Plan'!G73</x:f>
        <x:v>Exact masked-cell training prompt for the same target identity. The evaluation scene and physical endpoint are identical to the paired transfer row.</x:v>
      </x:c>
      <x:c r="H73" s="32" t="str">
        <x:f>'Evaluation Plan'!H73</x:f>
        <x:v>airplane toy with propellers</x:v>
      </x:c>
      <x:c r="I73" s="32" t="str"/>
      <x:c r="J73" s="37" t="str">
        <x:f>'Evaluation Plan'!J73</x:f>
        <x:v>Matched manipulation control</x:v>
      </x:c>
      <x:c r="K73" s="34" t="str">
        <x:f>'Evaluation Plan'!K73</x:f>
        <x:v>RD-CT16</x:v>
      </x:c>
      <x:c r="L73" s="34" t="str">
        <x:f>'Evaluation Plan'!L73</x:f>
        <x:v>direct name</x:v>
      </x:c>
      <x:c r="M73" s="34" t="str">
        <x:f>'Evaluation Plan'!M73</x:f>
        <x:v>airplane toy</x:v>
      </x:c>
      <x:c r="N73" s="34" t="n">
        <x:f>'Evaluation Plan'!N73</x:f>
        <x:v>4</x:v>
      </x:c>
      <x:c r="O73" s="34" t="n">
        <x:f>'Evaluation Plan'!O73</x:f>
        <x:v>1</x:v>
      </x:c>
      <x:c r="P73" s="34" t="str">
        <x:f>'Evaluation Plan'!P73</x:f>
        <x:v>Empty</x:v>
      </x:c>
      <x:c r="Q73" s="32" t="str">
        <x:f>'Evaluation Plan'!Q73</x:f>
        <x:v>Exact-scene direct-identity manipulation control</x:v>
      </x:c>
      <x:c r="R73" s="34" t="n">
        <x:f>'Evaluation Plan'!R73</x:f>
        <x:v>3</x:v>
      </x:c>
      <x:c r="S73" s="32" t="str">
        <x:f>'Evaluation Plan'!S73</x:f>
        <x:v>Reset the moved object exactly; preserve the scene; change only the instruction.</x:v>
      </x:c>
      <x:c r="T73" s="32" t="str">
        <x:f>'Evaluation Plan'!T73</x:f>
        <x:v>Controls recognition and manipulation of the same target without requiring referential reasoning.</x:v>
      </x:c>
      <x:c r="U73" s="32" t="n">
        <x:f>'Evaluation Plan'!U73</x:f>
        <x:v>0</x:v>
      </x:c>
    </x:row>
    <x:row r="74" ht="51" customHeight="1">
      <x:c r="A74" s="41" t="str">
        <x:v>Not collected</x:v>
      </x:c>
      <x:c r="B74" s="42" t="n">
        <x:f>'Evaluation Plan'!B74</x:f>
        <x:v>72</x:v>
      </x:c>
      <x:c r="C74" s="41" t="str">
        <x:f>'Evaluation Plan'!C74</x:f>
        <x:v>Move the crushed soda can closest to the red pencil sharpener into the bowl.</x:v>
      </x:c>
      <x:c r="D74" s="41" t="str">
        <x:f>'Evaluation Plan'!D74</x:f>
        <x:v>Reference: red pencil sharpener at table centre; crushed Coke can: 10 cm toward robot-right from the reference; crushed Pepsi can: 24 cm away toward robot-left from the reference; yellow pen: at the far robot-left corner, outside the distance comparison; Bowl: empty</x:v>
      </x:c>
      <x:c r="E74" s="42" t="str">
        <x:f>'Evaluation Plan'!E74</x:f>
      </x:c>
      <x:c r="F74" s="42" t="str">
        <x:f>'Evaluation Plan'!F74</x:f>
        <x:v>406</x:v>
      </x:c>
      <x:c r="G74" s="41" t="str">
        <x:f>'Evaluation Plan'!G74</x:f>
        <x:v>Masked source trajectory: the target identity and physical manipulation are trained under a direct-name prompt, while this relation × candidate-category composition is intentionally absent.</x:v>
      </x:c>
      <x:c r="H74" s="41" t="str">
        <x:f>'Evaluation Plan'!H74</x:f>
        <x:v>crushed Coke can</x:v>
      </x:c>
      <x:c r="I74" s="41" t="str"/>
      <x:c r="J74" s="46" t="str">
        <x:f>'Evaluation Plan'!J74</x:f>
        <x:v>Concept/compositional transfer</x:v>
      </x:c>
      <x:c r="K74" s="42" t="str">
        <x:f>'Evaluation Plan'!K74</x:f>
        <x:v>RD-CT17</x:v>
      </x:c>
      <x:c r="L74" s="42" t="str">
        <x:f>'Evaluation Plan'!L74</x:f>
        <x:v>closest</x:v>
      </x:c>
      <x:c r="M74" s="42" t="str">
        <x:f>'Evaluation Plan'!M74</x:f>
        <x:v>crushed soda can</x:v>
      </x:c>
      <x:c r="N74" s="42" t="n">
        <x:f>'Evaluation Plan'!N74</x:f>
        <x:v>4</x:v>
      </x:c>
      <x:c r="O74" s="42" t="n">
        <x:f>'Evaluation Plan'!O74</x:f>
        <x:v>1</x:v>
      </x:c>
      <x:c r="P74" s="42" t="str">
        <x:f>'Evaluation Plan'!P74</x:f>
        <x:v>Empty</x:v>
      </x:c>
      <x:c r="Q74" s="41" t="str">
        <x:f>'Evaluation Plan'!Q74</x:f>
        <x:v>Primary held-out relation × candidate-category composition — Move</x:v>
      </x:c>
      <x:c r="R74" s="42" t="n">
        <x:f>'Evaluation Plan'!R74</x:f>
        <x:v>3</x:v>
      </x:c>
      <x:c r="S74" s="41" t="str">
        <x:f>'Evaluation Plan'!S74</x:f>
        <x:v>Build the listed relation scene with the bowl empty.</x:v>
      </x:c>
      <x:c r="T74" s="41" t="str">
        <x:f>'Evaluation Plan'!T74</x:f>
        <x:v>Both candidates are present. The held-out relation is the only information that identifies the target.</x:v>
      </x:c>
      <x:c r="U74" s="41" t="n">
        <x:f>'Evaluation Plan'!U74</x:f>
        <x:v>0</x:v>
      </x:c>
    </x:row>
    <x:row r="75" ht="51" customHeight="1">
      <x:c r="A75" s="32" t="str">
        <x:v>Not collected</x:v>
      </x:c>
      <x:c r="B75" s="34" t="n">
        <x:f>'Evaluation Plan'!B75</x:f>
        <x:v>73</x:v>
      </x:c>
      <x:c r="C75" s="32" t="str">
        <x:f>'Evaluation Plan'!C75</x:f>
        <x:v>Put the crushed Coke can in the bowl.</x:v>
      </x:c>
      <x:c r="D75" s="32" t="str">
        <x:f>'Evaluation Plan'!D75</x:f>
        <x:v>Reference: red pencil sharpener at table centre; crushed Coke can: 10 cm toward robot-right from the reference; crushed Pepsi can: 24 cm away toward robot-left from the reference; yellow pen: at the far robot-left corner, outside the distance comparison; Bowl: empty</x:v>
      </x:c>
      <x:c r="E75" s="34" t="n">
        <x:f>'Evaluation Plan'!E75</x:f>
        <x:v>72</x:v>
      </x:c>
      <x:c r="F75" s="34" t="str">
        <x:f>'Evaluation Plan'!F75</x:f>
        <x:v>406</x:v>
      </x:c>
      <x:c r="G75" s="32" t="str">
        <x:f>'Evaluation Plan'!G75</x:f>
        <x:v>Exact masked-cell training prompt for the same target identity. The evaluation scene and physical endpoint are identical to the paired transfer row.</x:v>
      </x:c>
      <x:c r="H75" s="32" t="str">
        <x:f>'Evaluation Plan'!H75</x:f>
        <x:v>crushed Coke can</x:v>
      </x:c>
      <x:c r="I75" s="32" t="str"/>
      <x:c r="J75" s="37" t="str">
        <x:f>'Evaluation Plan'!J75</x:f>
        <x:v>Matched manipulation control</x:v>
      </x:c>
      <x:c r="K75" s="34" t="str">
        <x:f>'Evaluation Plan'!K75</x:f>
        <x:v>RD-CT17</x:v>
      </x:c>
      <x:c r="L75" s="34" t="str">
        <x:f>'Evaluation Plan'!L75</x:f>
        <x:v>direct name</x:v>
      </x:c>
      <x:c r="M75" s="34" t="str">
        <x:f>'Evaluation Plan'!M75</x:f>
        <x:v>crushed soda can</x:v>
      </x:c>
      <x:c r="N75" s="34" t="n">
        <x:f>'Evaluation Plan'!N75</x:f>
        <x:v>4</x:v>
      </x:c>
      <x:c r="O75" s="34" t="n">
        <x:f>'Evaluation Plan'!O75</x:f>
        <x:v>1</x:v>
      </x:c>
      <x:c r="P75" s="34" t="str">
        <x:f>'Evaluation Plan'!P75</x:f>
        <x:v>Empty</x:v>
      </x:c>
      <x:c r="Q75" s="32" t="str">
        <x:f>'Evaluation Plan'!Q75</x:f>
        <x:v>Exact-scene direct-identity manipulation control</x:v>
      </x:c>
      <x:c r="R75" s="34" t="n">
        <x:f>'Evaluation Plan'!R75</x:f>
        <x:v>3</x:v>
      </x:c>
      <x:c r="S75" s="32" t="str">
        <x:f>'Evaluation Plan'!S75</x:f>
        <x:v>Reset the moved object exactly; preserve the scene; change only the instruction.</x:v>
      </x:c>
      <x:c r="T75" s="32" t="str">
        <x:f>'Evaluation Plan'!T75</x:f>
        <x:v>Controls recognition and manipulation of the same target without requiring referential reasoning.</x:v>
      </x:c>
      <x:c r="U75" s="32" t="n">
        <x:f>'Evaluation Plan'!U75</x:f>
        <x:v>0</x:v>
      </x:c>
    </x:row>
    <x:row r="76" ht="51" customHeight="1">
      <x:c r="A76" s="41" t="str">
        <x:v>Not collected</x:v>
      </x:c>
      <x:c r="B76" s="42" t="n">
        <x:f>'Evaluation Plan'!B76</x:f>
        <x:v>74</x:v>
      </x:c>
      <x:c r="C76" s="41" t="str">
        <x:f>'Evaluation Plan'!C76</x:f>
        <x:v>Move the pencil sharpener between the crushed Pepsi can and the airplane toy without propellers into the bowl.</x:v>
      </x:c>
      <x:c r="D76" s="41" t="str">
        <x:f>'Evaluation Plan'!D76</x:f>
        <x:v>Reference A: crushed Pepsi can at 14 cm toward the robot from table centre; Reference B: airplane toy without propellers at 14 cm away from the robot from table centre; green pencil sharpener: at table centre on the straight Reference A–B segment; red pencil sharpener: 12 cm to robot-right of table centre, off the Reference A–B segment; Bowl: empty</x:v>
      </x:c>
      <x:c r="E76" s="42" t="str">
        <x:f>'Evaluation Plan'!E76</x:f>
      </x:c>
      <x:c r="F76" s="42" t="str">
        <x:f>'Evaluation Plan'!F76</x:f>
        <x:v>487</x:v>
      </x:c>
      <x:c r="G76" s="41" t="str">
        <x:f>'Evaluation Plan'!G76</x:f>
        <x:v>Masked source trajectory: the target identity and physical manipulation are trained under a direct-name prompt, while this relation × candidate-category composition is intentionally absent.</x:v>
      </x:c>
      <x:c r="H76" s="41" t="str">
        <x:f>'Evaluation Plan'!H76</x:f>
        <x:v>green pencil sharpener</x:v>
      </x:c>
      <x:c r="I76" s="41" t="str"/>
      <x:c r="J76" s="46" t="str">
        <x:f>'Evaluation Plan'!J76</x:f>
        <x:v>Concept/compositional transfer</x:v>
      </x:c>
      <x:c r="K76" s="42" t="str">
        <x:f>'Evaluation Plan'!K76</x:f>
        <x:v>RD-CT18</x:v>
      </x:c>
      <x:c r="L76" s="42" t="str">
        <x:f>'Evaluation Plan'!L76</x:f>
        <x:v>between</x:v>
      </x:c>
      <x:c r="M76" s="42" t="str">
        <x:f>'Evaluation Plan'!M76</x:f>
        <x:v>pencil sharpener</x:v>
      </x:c>
      <x:c r="N76" s="42" t="n">
        <x:f>'Evaluation Plan'!N76</x:f>
        <x:v>4</x:v>
      </x:c>
      <x:c r="O76" s="42" t="n">
        <x:f>'Evaluation Plan'!O76</x:f>
        <x:v>1</x:v>
      </x:c>
      <x:c r="P76" s="42" t="str">
        <x:f>'Evaluation Plan'!P76</x:f>
        <x:v>Empty</x:v>
      </x:c>
      <x:c r="Q76" s="41" t="str">
        <x:f>'Evaluation Plan'!Q76</x:f>
        <x:v>Primary held-out relation × candidate-category composition — Move</x:v>
      </x:c>
      <x:c r="R76" s="42" t="n">
        <x:f>'Evaluation Plan'!R76</x:f>
        <x:v>3</x:v>
      </x:c>
      <x:c r="S76" s="41" t="str">
        <x:f>'Evaluation Plan'!S76</x:f>
        <x:v>Build the listed relation scene with the bowl empty.</x:v>
      </x:c>
      <x:c r="T76" s="41" t="str">
        <x:f>'Evaluation Plan'!T76</x:f>
        <x:v>Both candidates are present. The held-out relation is the only information that identifies the target.</x:v>
      </x:c>
      <x:c r="U76" s="41" t="n">
        <x:f>'Evaluation Plan'!U76</x:f>
        <x:v>0</x:v>
      </x:c>
    </x:row>
    <x:row r="77" ht="51" customHeight="1">
      <x:c r="A77" s="32" t="str">
        <x:v>Not collected</x:v>
      </x:c>
      <x:c r="B77" s="34" t="n">
        <x:f>'Evaluation Plan'!B77</x:f>
        <x:v>75</x:v>
      </x:c>
      <x:c r="C77" s="32" t="str">
        <x:f>'Evaluation Plan'!C77</x:f>
        <x:v>Put the green pencil sharpener in the bowl.</x:v>
      </x:c>
      <x:c r="D77" s="32" t="str">
        <x:f>'Evaluation Plan'!D77</x:f>
        <x:v>Reference A: crushed Pepsi can at 14 cm toward the robot from table centre; Reference B: airplane toy without propellers at 14 cm away from the robot from table centre; green pencil sharpener: at table centre on the straight Reference A–B segment; red pencil sharpener: 12 cm to robot-right of table centre, off the Reference A–B segment; Bowl: empty</x:v>
      </x:c>
      <x:c r="E77" s="34" t="n">
        <x:f>'Evaluation Plan'!E77</x:f>
        <x:v>74</x:v>
      </x:c>
      <x:c r="F77" s="34" t="str">
        <x:f>'Evaluation Plan'!F77</x:f>
        <x:v>487</x:v>
      </x:c>
      <x:c r="G77" s="32" t="str">
        <x:f>'Evaluation Plan'!G77</x:f>
        <x:v>Exact masked-cell training prompt for the same target identity. The evaluation scene and physical endpoint are identical to the paired transfer row.</x:v>
      </x:c>
      <x:c r="H77" s="32" t="str">
        <x:f>'Evaluation Plan'!H77</x:f>
        <x:v>green pencil sharpener</x:v>
      </x:c>
      <x:c r="I77" s="32" t="str"/>
      <x:c r="J77" s="37" t="str">
        <x:f>'Evaluation Plan'!J77</x:f>
        <x:v>Matched manipulation control</x:v>
      </x:c>
      <x:c r="K77" s="34" t="str">
        <x:f>'Evaluation Plan'!K77</x:f>
        <x:v>RD-CT18</x:v>
      </x:c>
      <x:c r="L77" s="34" t="str">
        <x:f>'Evaluation Plan'!L77</x:f>
        <x:v>direct name</x:v>
      </x:c>
      <x:c r="M77" s="34" t="str">
        <x:f>'Evaluation Plan'!M77</x:f>
        <x:v>pencil sharpener</x:v>
      </x:c>
      <x:c r="N77" s="34" t="n">
        <x:f>'Evaluation Plan'!N77</x:f>
        <x:v>4</x:v>
      </x:c>
      <x:c r="O77" s="34" t="n">
        <x:f>'Evaluation Plan'!O77</x:f>
        <x:v>1</x:v>
      </x:c>
      <x:c r="P77" s="34" t="str">
        <x:f>'Evaluation Plan'!P77</x:f>
        <x:v>Empty</x:v>
      </x:c>
      <x:c r="Q77" s="32" t="str">
        <x:f>'Evaluation Plan'!Q77</x:f>
        <x:v>Exact-scene direct-identity manipulation control</x:v>
      </x:c>
      <x:c r="R77" s="34" t="n">
        <x:f>'Evaluation Plan'!R77</x:f>
        <x:v>3</x:v>
      </x:c>
      <x:c r="S77" s="32" t="str">
        <x:f>'Evaluation Plan'!S77</x:f>
        <x:v>Reset the moved object exactly; preserve the scene; change only the instruction.</x:v>
      </x:c>
      <x:c r="T77" s="32" t="str">
        <x:f>'Evaluation Plan'!T77</x:f>
        <x:v>Controls recognition and manipulation of the same target without requiring referential reasoning.</x:v>
      </x:c>
      <x:c r="U77" s="32" t="n">
        <x:f>'Evaluation Plan'!U77</x:f>
        <x:v>0</x:v>
      </x:c>
    </x:row>
    <x:row r="78" ht="51" customHeight="1">
      <x:c r="A78" s="41" t="str">
        <x:v>Not collected</x:v>
      </x:c>
      <x:c r="B78" s="42" t="n">
        <x:f>'Evaluation Plan'!B78</x:f>
        <x:v>76</x:v>
      </x:c>
      <x:c r="C78" s="41" t="str">
        <x:f>'Evaluation Plan'!C78</x:f>
        <x:v>Pick up the airplane toy furthest from the green pen and place it in the bowl.</x:v>
      </x:c>
      <x:c r="D78" s="41" t="str">
        <x:f>'Evaluation Plan'!D78</x:f>
        <x:v>Reference: green pen at table centre; airplane toy with propellers: 10 cm to robot-left of the reference; airplane toy without propellers: 24 cm to robot-right of the reference; red pencil sharpener: at the far robot-left corner, outside the distance comparison; Bowl: empty</x:v>
      </x:c>
      <x:c r="E78" s="42" t="str">
        <x:f>'Evaluation Plan'!E78</x:f>
      </x:c>
      <x:c r="F78" s="42" t="str">
        <x:f>'Evaluation Plan'!F78</x:f>
        <x:v>569</x:v>
      </x:c>
      <x:c r="G78" s="41" t="str">
        <x:f>'Evaluation Plan'!G78</x:f>
        <x:v>Masked source trajectory: the target identity and physical manipulation are trained under a direct-name prompt, while this relation × candidate-category composition is intentionally absent.</x:v>
      </x:c>
      <x:c r="H78" s="41" t="str">
        <x:f>'Evaluation Plan'!H78</x:f>
        <x:v>airplane toy without propellers</x:v>
      </x:c>
      <x:c r="I78" s="41" t="str"/>
      <x:c r="J78" s="46" t="str">
        <x:f>'Evaluation Plan'!J78</x:f>
        <x:v>Concept/compositional transfer</x:v>
      </x:c>
      <x:c r="K78" s="42" t="str">
        <x:f>'Evaluation Plan'!K78</x:f>
        <x:v>RD-CT19</x:v>
      </x:c>
      <x:c r="L78" s="42" t="str">
        <x:f>'Evaluation Plan'!L78</x:f>
        <x:v>furthest</x:v>
      </x:c>
      <x:c r="M78" s="42" t="str">
        <x:f>'Evaluation Plan'!M78</x:f>
        <x:v>airplane toy</x:v>
      </x:c>
      <x:c r="N78" s="42" t="n">
        <x:f>'Evaluation Plan'!N78</x:f>
        <x:v>4</x:v>
      </x:c>
      <x:c r="O78" s="42" t="n">
        <x:f>'Evaluation Plan'!O78</x:f>
        <x:v>1</x:v>
      </x:c>
      <x:c r="P78" s="42" t="str">
        <x:f>'Evaluation Plan'!P78</x:f>
        <x:v>Empty</x:v>
      </x:c>
      <x:c r="Q78" s="41" t="str">
        <x:f>'Evaluation Plan'!Q78</x:f>
        <x:v>Primary held-out relation × candidate-category composition — Pick up</x:v>
      </x:c>
      <x:c r="R78" s="42" t="n">
        <x:f>'Evaluation Plan'!R78</x:f>
        <x:v>3</x:v>
      </x:c>
      <x:c r="S78" s="41" t="str">
        <x:f>'Evaluation Plan'!S78</x:f>
        <x:v>Build the listed relation scene with the bowl empty.</x:v>
      </x:c>
      <x:c r="T78" s="41" t="str">
        <x:f>'Evaluation Plan'!T78</x:f>
        <x:v>Both candidates are present. The held-out relation is the only information that identifies the target.</x:v>
      </x:c>
      <x:c r="U78" s="41" t="n">
        <x:f>'Evaluation Plan'!U78</x:f>
        <x:v>0</x:v>
      </x:c>
    </x:row>
    <x:row r="79" ht="51" customHeight="1">
      <x:c r="A79" s="32" t="str">
        <x:v>Not collected</x:v>
      </x:c>
      <x:c r="B79" s="34" t="n">
        <x:f>'Evaluation Plan'!B79</x:f>
        <x:v>77</x:v>
      </x:c>
      <x:c r="C79" s="32" t="str">
        <x:f>'Evaluation Plan'!C79</x:f>
        <x:v>Put the airplane toy without propellers in the bowl.</x:v>
      </x:c>
      <x:c r="D79" s="32" t="str">
        <x:f>'Evaluation Plan'!D79</x:f>
        <x:v>Reference: green pen at table centre; airplane toy with propellers: 10 cm to robot-left of the reference; airplane toy without propellers: 24 cm to robot-right of the reference; red pencil sharpener: at the far robot-left corner, outside the distance comparison; Bowl: empty</x:v>
      </x:c>
      <x:c r="E79" s="34" t="n">
        <x:f>'Evaluation Plan'!E79</x:f>
        <x:v>76</x:v>
      </x:c>
      <x:c r="F79" s="34" t="str">
        <x:f>'Evaluation Plan'!F79</x:f>
        <x:v>569</x:v>
      </x:c>
      <x:c r="G79" s="32" t="str">
        <x:f>'Evaluation Plan'!G79</x:f>
        <x:v>Exact masked-cell training prompt for the same target identity. The evaluation scene and physical endpoint are identical to the paired transfer row.</x:v>
      </x:c>
      <x:c r="H79" s="32" t="str">
        <x:f>'Evaluation Plan'!H79</x:f>
        <x:v>airplane toy without propellers</x:v>
      </x:c>
      <x:c r="I79" s="32" t="str"/>
      <x:c r="J79" s="37" t="str">
        <x:f>'Evaluation Plan'!J79</x:f>
        <x:v>Matched manipulation control</x:v>
      </x:c>
      <x:c r="K79" s="34" t="str">
        <x:f>'Evaluation Plan'!K79</x:f>
        <x:v>RD-CT19</x:v>
      </x:c>
      <x:c r="L79" s="34" t="str">
        <x:f>'Evaluation Plan'!L79</x:f>
        <x:v>direct name</x:v>
      </x:c>
      <x:c r="M79" s="34" t="str">
        <x:f>'Evaluation Plan'!M79</x:f>
        <x:v>airplane toy</x:v>
      </x:c>
      <x:c r="N79" s="34" t="n">
        <x:f>'Evaluation Plan'!N79</x:f>
        <x:v>4</x:v>
      </x:c>
      <x:c r="O79" s="34" t="n">
        <x:f>'Evaluation Plan'!O79</x:f>
        <x:v>1</x:v>
      </x:c>
      <x:c r="P79" s="34" t="str">
        <x:f>'Evaluation Plan'!P79</x:f>
        <x:v>Empty</x:v>
      </x:c>
      <x:c r="Q79" s="32" t="str">
        <x:f>'Evaluation Plan'!Q79</x:f>
        <x:v>Exact-scene direct-identity manipulation control</x:v>
      </x:c>
      <x:c r="R79" s="34" t="n">
        <x:f>'Evaluation Plan'!R79</x:f>
        <x:v>3</x:v>
      </x:c>
      <x:c r="S79" s="32" t="str">
        <x:f>'Evaluation Plan'!S79</x:f>
        <x:v>Reset the moved object exactly; preserve the scene; change only the instruction.</x:v>
      </x:c>
      <x:c r="T79" s="32" t="str">
        <x:f>'Evaluation Plan'!T79</x:f>
        <x:v>Controls recognition and manipulation of the same target without requiring referential reasoning.</x:v>
      </x:c>
      <x:c r="U79" s="32" t="n">
        <x:f>'Evaluation Plan'!U79</x:f>
        <x:v>0</x:v>
      </x:c>
    </x:row>
    <x:row r="80" ht="51" customHeight="1">
      <x:c r="A80" s="41" t="str">
        <x:v>Not collected</x:v>
      </x:c>
      <x:c r="B80" s="42" t="n">
        <x:f>'Evaluation Plan'!B80</x:f>
        <x:v>78</x:v>
      </x:c>
      <x:c r="C80" s="41" t="str">
        <x:f>'Evaluation Plan'!C80</x:f>
        <x:v>Pick up the crushed soda can closest to the green pen and place it in the bowl.</x:v>
      </x:c>
      <x:c r="D80" s="41" t="str">
        <x:f>'Evaluation Plan'!D80</x:f>
        <x:v>Reference: green pen at table centre; crushed Pepsi can: 10 cm to robot-left of the reference; crushed Coke can: 24 cm to robot-right of the reference; green pencil sharpener: at the far robot-left corner, outside the distance comparison; Bowl: empty</x:v>
      </x:c>
      <x:c r="E80" s="42" t="str">
        <x:f>'Evaluation Plan'!E80</x:f>
      </x:c>
      <x:c r="F80" s="42" t="str">
        <x:f>'Evaluation Plan'!F80</x:f>
        <x:v>405</x:v>
      </x:c>
      <x:c r="G80" s="41" t="str">
        <x:f>'Evaluation Plan'!G80</x:f>
        <x:v>Masked source trajectory: the target identity and physical manipulation are trained under a direct-name prompt, while this relation × candidate-category composition is intentionally absent.</x:v>
      </x:c>
      <x:c r="H80" s="41" t="str">
        <x:f>'Evaluation Plan'!H80</x:f>
        <x:v>crushed Pepsi can</x:v>
      </x:c>
      <x:c r="I80" s="41" t="str"/>
      <x:c r="J80" s="46" t="str">
        <x:f>'Evaluation Plan'!J80</x:f>
        <x:v>Concept/compositional transfer</x:v>
      </x:c>
      <x:c r="K80" s="42" t="str">
        <x:f>'Evaluation Plan'!K80</x:f>
        <x:v>RD-CT20</x:v>
      </x:c>
      <x:c r="L80" s="42" t="str">
        <x:f>'Evaluation Plan'!L80</x:f>
        <x:v>closest</x:v>
      </x:c>
      <x:c r="M80" s="42" t="str">
        <x:f>'Evaluation Plan'!M80</x:f>
        <x:v>crushed soda can</x:v>
      </x:c>
      <x:c r="N80" s="42" t="n">
        <x:f>'Evaluation Plan'!N80</x:f>
        <x:v>4</x:v>
      </x:c>
      <x:c r="O80" s="42" t="n">
        <x:f>'Evaluation Plan'!O80</x:f>
        <x:v>1</x:v>
      </x:c>
      <x:c r="P80" s="42" t="str">
        <x:f>'Evaluation Plan'!P80</x:f>
        <x:v>Empty</x:v>
      </x:c>
      <x:c r="Q80" s="41" t="str">
        <x:f>'Evaluation Plan'!Q80</x:f>
        <x:v>Primary held-out relation × candidate-category composition — Pick up</x:v>
      </x:c>
      <x:c r="R80" s="42" t="n">
        <x:f>'Evaluation Plan'!R80</x:f>
        <x:v>3</x:v>
      </x:c>
      <x:c r="S80" s="41" t="str">
        <x:f>'Evaluation Plan'!S80</x:f>
        <x:v>Build the listed relation scene with the bowl empty.</x:v>
      </x:c>
      <x:c r="T80" s="41" t="str">
        <x:f>'Evaluation Plan'!T80</x:f>
        <x:v>Both candidates are present. The held-out relation is the only information that identifies the target.</x:v>
      </x:c>
      <x:c r="U80" s="41" t="n">
        <x:f>'Evaluation Plan'!U80</x:f>
        <x:v>0</x:v>
      </x:c>
    </x:row>
    <x:row r="81" ht="51" customHeight="1">
      <x:c r="A81" s="32" t="str">
        <x:v>Not collected</x:v>
      </x:c>
      <x:c r="B81" s="34" t="n">
        <x:f>'Evaluation Plan'!B81</x:f>
        <x:v>79</x:v>
      </x:c>
      <x:c r="C81" s="32" t="str">
        <x:f>'Evaluation Plan'!C81</x:f>
        <x:v>Move the crushed Pepsi can into the bowl.</x:v>
      </x:c>
      <x:c r="D81" s="32" t="str">
        <x:f>'Evaluation Plan'!D81</x:f>
        <x:v>Reference: green pen at table centre; crushed Pepsi can: 10 cm to robot-left of the reference; crushed Coke can: 24 cm to robot-right of the reference; green pencil sharpener: at the far robot-left corner, outside the distance comparison; Bowl: empty</x:v>
      </x:c>
      <x:c r="E81" s="34" t="n">
        <x:f>'Evaluation Plan'!E81</x:f>
        <x:v>78</x:v>
      </x:c>
      <x:c r="F81" s="34" t="str">
        <x:f>'Evaluation Plan'!F81</x:f>
        <x:v>405</x:v>
      </x:c>
      <x:c r="G81" s="32" t="str">
        <x:f>'Evaluation Plan'!G81</x:f>
        <x:v>Exact masked-cell training prompt for the same target identity. The evaluation scene and physical endpoint are identical to the paired transfer row.</x:v>
      </x:c>
      <x:c r="H81" s="32" t="str">
        <x:f>'Evaluation Plan'!H81</x:f>
        <x:v>crushed Pepsi can</x:v>
      </x:c>
      <x:c r="I81" s="32" t="str"/>
      <x:c r="J81" s="37" t="str">
        <x:f>'Evaluation Plan'!J81</x:f>
        <x:v>Matched manipulation control</x:v>
      </x:c>
      <x:c r="K81" s="34" t="str">
        <x:f>'Evaluation Plan'!K81</x:f>
        <x:v>RD-CT20</x:v>
      </x:c>
      <x:c r="L81" s="34" t="str">
        <x:f>'Evaluation Plan'!L81</x:f>
        <x:v>direct name</x:v>
      </x:c>
      <x:c r="M81" s="34" t="str">
        <x:f>'Evaluation Plan'!M81</x:f>
        <x:v>crushed soda can</x:v>
      </x:c>
      <x:c r="N81" s="34" t="n">
        <x:f>'Evaluation Plan'!N81</x:f>
        <x:v>4</x:v>
      </x:c>
      <x:c r="O81" s="34" t="n">
        <x:f>'Evaluation Plan'!O81</x:f>
        <x:v>1</x:v>
      </x:c>
      <x:c r="P81" s="34" t="str">
        <x:f>'Evaluation Plan'!P81</x:f>
        <x:v>Empty</x:v>
      </x:c>
      <x:c r="Q81" s="32" t="str">
        <x:f>'Evaluation Plan'!Q81</x:f>
        <x:v>Exact-scene direct-identity manipulation control</x:v>
      </x:c>
      <x:c r="R81" s="34" t="n">
        <x:f>'Evaluation Plan'!R81</x:f>
        <x:v>3</x:v>
      </x:c>
      <x:c r="S81" s="32" t="str">
        <x:f>'Evaluation Plan'!S81</x:f>
        <x:v>Reset the moved object exactly; preserve the scene; change only the instruction.</x:v>
      </x:c>
      <x:c r="T81" s="32" t="str">
        <x:f>'Evaluation Plan'!T81</x:f>
        <x:v>Controls recognition and manipulation of the same target without requiring referential reasoning.</x:v>
      </x:c>
      <x:c r="U81" s="32" t="n">
        <x:f>'Evaluation Plan'!U81</x:f>
        <x:v>0</x:v>
      </x:c>
    </x:row>
    <x:row r="82" ht="51" customHeight="1">
      <x:c r="A82" s="41" t="str">
        <x:v>Not collected</x:v>
      </x:c>
      <x:c r="B82" s="42" t="n">
        <x:f>'Evaluation Plan'!B82</x:f>
        <x:v>80</x:v>
      </x:c>
      <x:c r="C82" s="41" t="str">
        <x:f>'Evaluation Plan'!C82</x:f>
        <x:v>Pick up the pencil sharpener between the green pen and the crushed Coke can and place it in the bowl.</x:v>
      </x:c>
      <x:c r="D82" s="41" t="str">
        <x:f>'Evaluation Plan'!D82</x:f>
        <x:v>Reference A: green pen at 14 cm toward robot-left from table centre; Reference B: crushed Coke can at 14 cm away toward robot-right from table centre; red pencil sharpener: at table centre on the straight Reference A–B segment; green pencil sharpener: 12 cm toward robot-right from table centre, off the Reference A–B segment; Bowl: empty</x:v>
      </x:c>
      <x:c r="E82" s="42" t="str">
        <x:f>'Evaluation Plan'!E82</x:f>
      </x:c>
      <x:c r="F82" s="42" t="str">
        <x:f>'Evaluation Plan'!F82</x:f>
        <x:v>484</x:v>
      </x:c>
      <x:c r="G82" s="41" t="str">
        <x:f>'Evaluation Plan'!G82</x:f>
        <x:v>Masked source trajectory: the target identity and physical manipulation are trained under a direct-name prompt, while this relation × candidate-category composition is intentionally absent.</x:v>
      </x:c>
      <x:c r="H82" s="41" t="str">
        <x:f>'Evaluation Plan'!H82</x:f>
        <x:v>red pencil sharpener</x:v>
      </x:c>
      <x:c r="I82" s="41" t="str"/>
      <x:c r="J82" s="46" t="str">
        <x:f>'Evaluation Plan'!J82</x:f>
        <x:v>Concept/compositional transfer</x:v>
      </x:c>
      <x:c r="K82" s="42" t="str">
        <x:f>'Evaluation Plan'!K82</x:f>
        <x:v>RD-CT21</x:v>
      </x:c>
      <x:c r="L82" s="42" t="str">
        <x:f>'Evaluation Plan'!L82</x:f>
        <x:v>between</x:v>
      </x:c>
      <x:c r="M82" s="42" t="str">
        <x:f>'Evaluation Plan'!M82</x:f>
        <x:v>pencil sharpener</x:v>
      </x:c>
      <x:c r="N82" s="42" t="n">
        <x:f>'Evaluation Plan'!N82</x:f>
        <x:v>4</x:v>
      </x:c>
      <x:c r="O82" s="42" t="n">
        <x:f>'Evaluation Plan'!O82</x:f>
        <x:v>1</x:v>
      </x:c>
      <x:c r="P82" s="42" t="str">
        <x:f>'Evaluation Plan'!P82</x:f>
        <x:v>Empty</x:v>
      </x:c>
      <x:c r="Q82" s="41" t="str">
        <x:f>'Evaluation Plan'!Q82</x:f>
        <x:v>Primary held-out relation × candidate-category composition — Pick up</x:v>
      </x:c>
      <x:c r="R82" s="42" t="n">
        <x:f>'Evaluation Plan'!R82</x:f>
        <x:v>4</x:v>
      </x:c>
      <x:c r="S82" s="41" t="str">
        <x:f>'Evaluation Plan'!S82</x:f>
        <x:v>Build the listed relation scene with the bowl empty.</x:v>
      </x:c>
      <x:c r="T82" s="41" t="str">
        <x:f>'Evaluation Plan'!T82</x:f>
        <x:v>Both candidates are present. The held-out relation is the only information that identifies the target.</x:v>
      </x:c>
      <x:c r="U82" s="41" t="n">
        <x:f>'Evaluation Plan'!U82</x:f>
        <x:v>0</x:v>
      </x:c>
    </x:row>
    <x:row r="83" ht="51" customHeight="1">
      <x:c r="A83" s="44" t="str">
        <x:v>Not collected</x:v>
      </x:c>
      <x:c r="B83" s="45" t="n">
        <x:f>'Evaluation Plan'!B83</x:f>
        <x:v>81</x:v>
      </x:c>
      <x:c r="C83" s="44" t="str">
        <x:f>'Evaluation Plan'!C83</x:f>
        <x:v>Put the airplane toy furthest from the crushed Coke can in the bowl.</x:v>
      </x:c>
      <x:c r="D83" s="44" t="str">
        <x:f>'Evaluation Plan'!D83</x:f>
        <x:v>Reference: crushed Coke can at table centre; airplane toy with propellers: 10 cm to robot-right of the reference; airplane toy without propellers: 24 cm to robot-left of the reference; green pencil sharpener: at the far robot-left corner, outside the distance comparison; Bowl: empty</x:v>
      </x:c>
      <x:c r="E83" s="45" t="str">
        <x:f>'Evaluation Plan'!E83</x:f>
      </x:c>
      <x:c r="F83" s="45" t="str">
        <x:f>'Evaluation Plan'!F83</x:f>
        <x:v>571</x:v>
      </x:c>
      <x:c r="G83" s="44" t="str">
        <x:f>'Evaluation Plan'!G83</x:f>
        <x:v>Masked source trajectory: the target identity and physical manipulation are trained under a direct-name prompt, while this relation × candidate-category composition is intentionally absent.</x:v>
      </x:c>
      <x:c r="H83" s="44" t="str">
        <x:f>'Evaluation Plan'!H83</x:f>
        <x:v>airplane toy without propellers</x:v>
      </x:c>
      <x:c r="I83" s="44" t="str"/>
      <x:c r="J83" s="46" t="str">
        <x:f>'Evaluation Plan'!J83</x:f>
        <x:v>Concept/compositional transfer</x:v>
      </x:c>
      <x:c r="K83" s="45" t="str">
        <x:f>'Evaluation Plan'!K83</x:f>
        <x:v>RD-CT22</x:v>
      </x:c>
      <x:c r="L83" s="45" t="str">
        <x:f>'Evaluation Plan'!L83</x:f>
        <x:v>furthest</x:v>
      </x:c>
      <x:c r="M83" s="45" t="str">
        <x:f>'Evaluation Plan'!M83</x:f>
        <x:v>airplane toy</x:v>
      </x:c>
      <x:c r="N83" s="45" t="n">
        <x:f>'Evaluation Plan'!N83</x:f>
        <x:v>4</x:v>
      </x:c>
      <x:c r="O83" s="45" t="n">
        <x:f>'Evaluation Plan'!O83</x:f>
        <x:v>1</x:v>
      </x:c>
      <x:c r="P83" s="45" t="str">
        <x:f>'Evaluation Plan'!P83</x:f>
        <x:v>Empty</x:v>
      </x:c>
      <x:c r="Q83" s="44" t="str">
        <x:f>'Evaluation Plan'!Q83</x:f>
        <x:v>Primary held-out relation × candidate-category composition — Put</x:v>
      </x:c>
      <x:c r="R83" s="45" t="n">
        <x:f>'Evaluation Plan'!R83</x:f>
        <x:v>4</x:v>
      </x:c>
      <x:c r="S83" s="44" t="str">
        <x:f>'Evaluation Plan'!S83</x:f>
        <x:v>Build the listed relation scene with the bowl empty.</x:v>
      </x:c>
      <x:c r="T83" s="44" t="str">
        <x:f>'Evaluation Plan'!T83</x:f>
        <x:v>Both candidates are present. The held-out relation is the only information that identifies the target.</x:v>
      </x:c>
      <x:c r="U83" s="44" t="n">
        <x:f>'Evaluation Plan'!U83</x:f>
        <x:v>0</x:v>
      </x:c>
    </x:row>
    <x:row r="84" ht="51" customHeight="1">
      <x:c r="A84" s="41" t="str">
        <x:v>Not collected</x:v>
      </x:c>
      <x:c r="B84" s="42" t="n">
        <x:f>'Evaluation Plan'!B84</x:f>
        <x:v>82</x:v>
      </x:c>
      <x:c r="C84" s="41" t="str">
        <x:f>'Evaluation Plan'!C84</x:f>
        <x:v>Put the crushed soda can closest to the airplane toy with propellers in the bowl.</x:v>
      </x:c>
      <x:c r="D84" s="41" t="str">
        <x:f>'Evaluation Plan'!D84</x:f>
        <x:v>Reference: airplane toy with propellers at table centre; crushed Pepsi can: 10 cm to robot-right of the reference; crushed Coke can: 24 cm to robot-left of the reference; yellow pen: at the far robot-left corner, outside the distance comparison; Bowl: empty</x:v>
      </x:c>
      <x:c r="E84" s="42" t="str">
        <x:f>'Evaluation Plan'!E84</x:f>
      </x:c>
      <x:c r="F84" s="42" t="str">
        <x:f>'Evaluation Plan'!F84</x:f>
        <x:v>407</x:v>
      </x:c>
      <x:c r="G84" s="41" t="str">
        <x:f>'Evaluation Plan'!G84</x:f>
        <x:v>Masked source trajectory: the target identity and physical manipulation are trained under a direct-name prompt, while this relation × candidate-category composition is intentionally absent.</x:v>
      </x:c>
      <x:c r="H84" s="41" t="str">
        <x:f>'Evaluation Plan'!H84</x:f>
        <x:v>crushed Pepsi can</x:v>
      </x:c>
      <x:c r="I84" s="41" t="str"/>
      <x:c r="J84" s="46" t="str">
        <x:f>'Evaluation Plan'!J84</x:f>
        <x:v>Concept/compositional transfer</x:v>
      </x:c>
      <x:c r="K84" s="42" t="str">
        <x:f>'Evaluation Plan'!K84</x:f>
        <x:v>RD-CT23</x:v>
      </x:c>
      <x:c r="L84" s="42" t="str">
        <x:f>'Evaluation Plan'!L84</x:f>
        <x:v>closest</x:v>
      </x:c>
      <x:c r="M84" s="42" t="str">
        <x:f>'Evaluation Plan'!M84</x:f>
        <x:v>crushed soda can</x:v>
      </x:c>
      <x:c r="N84" s="42" t="n">
        <x:f>'Evaluation Plan'!N84</x:f>
        <x:v>4</x:v>
      </x:c>
      <x:c r="O84" s="42" t="n">
        <x:f>'Evaluation Plan'!O84</x:f>
        <x:v>1</x:v>
      </x:c>
      <x:c r="P84" s="42" t="str">
        <x:f>'Evaluation Plan'!P84</x:f>
        <x:v>Empty</x:v>
      </x:c>
      <x:c r="Q84" s="41" t="str">
        <x:f>'Evaluation Plan'!Q84</x:f>
        <x:v>Primary held-out relation × candidate-category composition — Put</x:v>
      </x:c>
      <x:c r="R84" s="42" t="n">
        <x:f>'Evaluation Plan'!R84</x:f>
        <x:v>4</x:v>
      </x:c>
      <x:c r="S84" s="41" t="str">
        <x:f>'Evaluation Plan'!S84</x:f>
        <x:v>Build the listed relation scene with the bowl empty.</x:v>
      </x:c>
      <x:c r="T84" s="41" t="str">
        <x:f>'Evaluation Plan'!T84</x:f>
        <x:v>Both candidates are present. The held-out relation is the only information that identifies the target.</x:v>
      </x:c>
      <x:c r="U84" s="41" t="n">
        <x:f>'Evaluation Plan'!U84</x:f>
        <x:v>0</x:v>
      </x:c>
    </x:row>
    <x:row r="85" ht="51" customHeight="1">
      <x:c r="A85" s="44" t="str">
        <x:v>Not collected</x:v>
      </x:c>
      <x:c r="B85" s="45" t="n">
        <x:f>'Evaluation Plan'!B85</x:f>
        <x:v>83</x:v>
      </x:c>
      <x:c r="C85" s="44" t="str">
        <x:f>'Evaluation Plan'!C85</x:f>
        <x:v>Put the pencil sharpener between the airplane toy with propellers and the yellow pen in the bowl.</x:v>
      </x:c>
      <x:c r="D85" s="44" t="str">
        <x:f>'Evaluation Plan'!D85</x:f>
        <x:v>Reference A: airplane toy with propellers at 14 cm toward robot-right from table centre; Reference B: yellow pen at 14 cm away toward robot-left from table centre; red pencil sharpener: at table centre on the straight Reference A–B segment; green pencil sharpener: 12 cm toward robot-left from table centre, off the Reference A–B segment; Bowl: empty</x:v>
      </x:c>
      <x:c r="E85" s="45" t="str">
        <x:f>'Evaluation Plan'!E85</x:f>
      </x:c>
      <x:c r="F85" s="45" t="str">
        <x:f>'Evaluation Plan'!F85</x:f>
        <x:v>486</x:v>
      </x:c>
      <x:c r="G85" s="44" t="str">
        <x:f>'Evaluation Plan'!G85</x:f>
        <x:v>Masked source trajectory: the target identity and physical manipulation are trained under a direct-name prompt, while this relation × candidate-category composition is intentionally absent.</x:v>
      </x:c>
      <x:c r="H85" s="44" t="str">
        <x:f>'Evaluation Plan'!H85</x:f>
        <x:v>red pencil sharpener</x:v>
      </x:c>
      <x:c r="I85" s="44" t="str"/>
      <x:c r="J85" s="46" t="str">
        <x:f>'Evaluation Plan'!J85</x:f>
        <x:v>Concept/compositional transfer</x:v>
      </x:c>
      <x:c r="K85" s="45" t="str">
        <x:f>'Evaluation Plan'!K85</x:f>
        <x:v>RD-CT24</x:v>
      </x:c>
      <x:c r="L85" s="45" t="str">
        <x:f>'Evaluation Plan'!L85</x:f>
        <x:v>between</x:v>
      </x:c>
      <x:c r="M85" s="45" t="str">
        <x:f>'Evaluation Plan'!M85</x:f>
        <x:v>pencil sharpener</x:v>
      </x:c>
      <x:c r="N85" s="45" t="n">
        <x:f>'Evaluation Plan'!N85</x:f>
        <x:v>4</x:v>
      </x:c>
      <x:c r="O85" s="45" t="n">
        <x:f>'Evaluation Plan'!O85</x:f>
        <x:v>1</x:v>
      </x:c>
      <x:c r="P85" s="45" t="str">
        <x:f>'Evaluation Plan'!P85</x:f>
        <x:v>Empty</x:v>
      </x:c>
      <x:c r="Q85" s="44" t="str">
        <x:f>'Evaluation Plan'!Q85</x:f>
        <x:v>Primary held-out relation × candidate-category composition — Put</x:v>
      </x:c>
      <x:c r="R85" s="45" t="n">
        <x:f>'Evaluation Plan'!R85</x:f>
        <x:v>4</x:v>
      </x:c>
      <x:c r="S85" s="44" t="str">
        <x:f>'Evaluation Plan'!S85</x:f>
        <x:v>Build the listed relation scene with the bowl empty.</x:v>
      </x:c>
      <x:c r="T85" s="44" t="str">
        <x:f>'Evaluation Plan'!T85</x:f>
        <x:v>Both candidates are present. The held-out relation is the only information that identifies the target.</x:v>
      </x:c>
      <x:c r="U85" s="44" t="n">
        <x:f>'Evaluation Plan'!U85</x:f>
        <x:v>0</x:v>
      </x:c>
    </x:row>
    <x:row r="86" ht="51" customHeight="1">
      <x:c r="A86" s="41" t="str">
        <x:v>Not collected</x:v>
      </x:c>
      <x:c r="B86" s="42" t="n">
        <x:f>'Evaluation Plan'!B86</x:f>
        <x:v>84</x:v>
      </x:c>
      <x:c r="C86" s="41" t="str">
        <x:f>'Evaluation Plan'!C86</x:f>
        <x:v>Move the airplane toy furthest from the green pencil sharpener into the bowl.</x:v>
      </x:c>
      <x:c r="D86" s="41" t="str">
        <x:f>'Evaluation Plan'!D86</x:f>
        <x:v>Reference: green pencil sharpener at table centre; airplane toy without propellers: 10 cm toward the robot from the reference; airplane toy with propellers: 24 cm away from the robot from the reference; yellow pen: at the far robot-left corner, outside the distance comparison; Bowl: empty</x:v>
      </x:c>
      <x:c r="E86" s="42" t="str">
        <x:f>'Evaluation Plan'!E86</x:f>
      </x:c>
      <x:c r="F86" s="42" t="str">
        <x:f>'Evaluation Plan'!F86</x:f>
        <x:v>574</x:v>
      </x:c>
      <x:c r="G86" s="41" t="str">
        <x:f>'Evaluation Plan'!G86</x:f>
        <x:v>Masked source trajectory: the target identity and physical manipulation are trained under a direct-name prompt, while this relation × candidate-category composition is intentionally absent.</x:v>
      </x:c>
      <x:c r="H86" s="41" t="str">
        <x:f>'Evaluation Plan'!H86</x:f>
        <x:v>airplane toy with propellers</x:v>
      </x:c>
      <x:c r="I86" s="41" t="str"/>
      <x:c r="J86" s="46" t="str">
        <x:f>'Evaluation Plan'!J86</x:f>
        <x:v>Concept/compositional transfer</x:v>
      </x:c>
      <x:c r="K86" s="42" t="str">
        <x:f>'Evaluation Plan'!K86</x:f>
        <x:v>RD-CT25</x:v>
      </x:c>
      <x:c r="L86" s="42" t="str">
        <x:f>'Evaluation Plan'!L86</x:f>
        <x:v>furthest</x:v>
      </x:c>
      <x:c r="M86" s="42" t="str">
        <x:f>'Evaluation Plan'!M86</x:f>
        <x:v>airplane toy</x:v>
      </x:c>
      <x:c r="N86" s="42" t="n">
        <x:f>'Evaluation Plan'!N86</x:f>
        <x:v>4</x:v>
      </x:c>
      <x:c r="O86" s="42" t="n">
        <x:f>'Evaluation Plan'!O86</x:f>
        <x:v>1</x:v>
      </x:c>
      <x:c r="P86" s="42" t="str">
        <x:f>'Evaluation Plan'!P86</x:f>
        <x:v>Empty</x:v>
      </x:c>
      <x:c r="Q86" s="41" t="str">
        <x:f>'Evaluation Plan'!Q86</x:f>
        <x:v>Primary held-out relation × candidate-category composition — Move</x:v>
      </x:c>
      <x:c r="R86" s="42" t="n">
        <x:f>'Evaluation Plan'!R86</x:f>
        <x:v>4</x:v>
      </x:c>
      <x:c r="S86" s="41" t="str">
        <x:f>'Evaluation Plan'!S86</x:f>
        <x:v>Build the listed relation scene with the bowl empty.</x:v>
      </x:c>
      <x:c r="T86" s="41" t="str">
        <x:f>'Evaluation Plan'!T86</x:f>
        <x:v>Both candidates are present. The held-out relation is the only information that identifies the target.</x:v>
      </x:c>
      <x:c r="U86" s="41" t="n">
        <x:f>'Evaluation Plan'!U86</x:f>
        <x:v>0</x:v>
      </x:c>
    </x:row>
    <x:row r="87" ht="51" customHeight="1">
      <x:c r="A87" s="44" t="str">
        <x:v>Not collected</x:v>
      </x:c>
      <x:c r="B87" s="45" t="n">
        <x:f>'Evaluation Plan'!B87</x:f>
        <x:v>85</x:v>
      </x:c>
      <x:c r="C87" s="44" t="str">
        <x:f>'Evaluation Plan'!C87</x:f>
        <x:v>Move the crushed soda can closest to the green pencil sharpener into the bowl.</x:v>
      </x:c>
      <x:c r="D87" s="44" t="str">
        <x:f>'Evaluation Plan'!D87</x:f>
        <x:v>Reference: green pencil sharpener at table centre; crushed Coke can: 10 cm toward the robot from the reference; crushed Pepsi can: 24 cm away from the robot from the reference; green pen: at the far robot-left corner, outside the distance comparison; Bowl: empty</x:v>
      </x:c>
      <x:c r="E87" s="45" t="str">
        <x:f>'Evaluation Plan'!E87</x:f>
      </x:c>
      <x:c r="F87" s="45" t="str">
        <x:f>'Evaluation Plan'!F87</x:f>
        <x:v>408</x:v>
      </x:c>
      <x:c r="G87" s="44" t="str">
        <x:f>'Evaluation Plan'!G87</x:f>
        <x:v>Masked source trajectory: the target identity and physical manipulation are trained under a direct-name prompt, while this relation × candidate-category composition is intentionally absent.</x:v>
      </x:c>
      <x:c r="H87" s="44" t="str">
        <x:f>'Evaluation Plan'!H87</x:f>
        <x:v>crushed Coke can</x:v>
      </x:c>
      <x:c r="I87" s="44" t="str"/>
      <x:c r="J87" s="46" t="str">
        <x:f>'Evaluation Plan'!J87</x:f>
        <x:v>Concept/compositional transfer</x:v>
      </x:c>
      <x:c r="K87" s="45" t="str">
        <x:f>'Evaluation Plan'!K87</x:f>
        <x:v>RD-CT26</x:v>
      </x:c>
      <x:c r="L87" s="45" t="str">
        <x:f>'Evaluation Plan'!L87</x:f>
        <x:v>closest</x:v>
      </x:c>
      <x:c r="M87" s="45" t="str">
        <x:f>'Evaluation Plan'!M87</x:f>
        <x:v>crushed soda can</x:v>
      </x:c>
      <x:c r="N87" s="45" t="n">
        <x:f>'Evaluation Plan'!N87</x:f>
        <x:v>4</x:v>
      </x:c>
      <x:c r="O87" s="45" t="n">
        <x:f>'Evaluation Plan'!O87</x:f>
        <x:v>1</x:v>
      </x:c>
      <x:c r="P87" s="45" t="str">
        <x:f>'Evaluation Plan'!P87</x:f>
        <x:v>Empty</x:v>
      </x:c>
      <x:c r="Q87" s="44" t="str">
        <x:f>'Evaluation Plan'!Q87</x:f>
        <x:v>Primary held-out relation × candidate-category composition — Move</x:v>
      </x:c>
      <x:c r="R87" s="45" t="n">
        <x:f>'Evaluation Plan'!R87</x:f>
        <x:v>4</x:v>
      </x:c>
      <x:c r="S87" s="44" t="str">
        <x:f>'Evaluation Plan'!S87</x:f>
        <x:v>Build the listed relation scene with the bowl empty.</x:v>
      </x:c>
      <x:c r="T87" s="44" t="str">
        <x:f>'Evaluation Plan'!T87</x:f>
        <x:v>Both candidates are present. The held-out relation is the only information that identifies the target.</x:v>
      </x:c>
      <x:c r="U87" s="44" t="n">
        <x:f>'Evaluation Plan'!U87</x:f>
        <x:v>0</x:v>
      </x:c>
    </x:row>
    <x:row r="88" ht="51" customHeight="1">
      <x:c r="A88" s="41" t="str">
        <x:v>Not collected</x:v>
      </x:c>
      <x:c r="B88" s="42" t="n">
        <x:f>'Evaluation Plan'!B88</x:f>
        <x:v>86</x:v>
      </x:c>
      <x:c r="C88" s="41" t="str">
        <x:f>'Evaluation Plan'!C88</x:f>
        <x:v>Move the pencil sharpener between the crushed Pepsi can and the airplane toy without propellers into the bowl.</x:v>
      </x:c>
      <x:c r="D88" s="41" t="str">
        <x:f>'Evaluation Plan'!D88</x:f>
        <x:v>Reference A: crushed Pepsi can at 14 cm to robot-left of table centre; Reference B: airplane toy without propellers at 14 cm to robot-right of table centre; green pencil sharpener: at table centre on the straight Reference A–B segment; red pencil sharpener: 12 cm toward the robot from table centre, off the Reference A–B segment; crushed Coke can: at the far robot-left corner, outside the distance comparison; Bowl: empty</x:v>
      </x:c>
      <x:c r="E88" s="42" t="str">
        <x:f>'Evaluation Plan'!E88</x:f>
      </x:c>
      <x:c r="F88" s="42" t="str">
        <x:f>'Evaluation Plan'!F88</x:f>
        <x:v>489</x:v>
      </x:c>
      <x:c r="G88" s="41" t="str">
        <x:f>'Evaluation Plan'!G88</x:f>
        <x:v>Masked source trajectory: the target identity and physical manipulation are trained under a direct-name prompt, while this relation × candidate-category composition is intentionally absent.</x:v>
      </x:c>
      <x:c r="H88" s="41" t="str">
        <x:f>'Evaluation Plan'!H88</x:f>
        <x:v>green pencil sharpener</x:v>
      </x:c>
      <x:c r="I88" s="41" t="str"/>
      <x:c r="J88" s="46" t="str">
        <x:f>'Evaluation Plan'!J88</x:f>
        <x:v>Concept/compositional transfer</x:v>
      </x:c>
      <x:c r="K88" s="42" t="str">
        <x:f>'Evaluation Plan'!K88</x:f>
        <x:v>RD-CT27</x:v>
      </x:c>
      <x:c r="L88" s="42" t="str">
        <x:f>'Evaluation Plan'!L88</x:f>
        <x:v>between</x:v>
      </x:c>
      <x:c r="M88" s="42" t="str">
        <x:f>'Evaluation Plan'!M88</x:f>
        <x:v>pencil sharpener</x:v>
      </x:c>
      <x:c r="N88" s="42" t="n">
        <x:f>'Evaluation Plan'!N88</x:f>
        <x:v>5</x:v>
      </x:c>
      <x:c r="O88" s="42" t="n">
        <x:f>'Evaluation Plan'!O88</x:f>
        <x:v>1</x:v>
      </x:c>
      <x:c r="P88" s="42" t="str">
        <x:f>'Evaluation Plan'!P88</x:f>
        <x:v>Empty</x:v>
      </x:c>
      <x:c r="Q88" s="41" t="str">
        <x:f>'Evaluation Plan'!Q88</x:f>
        <x:v>Primary held-out relation × candidate-category composition — Move</x:v>
      </x:c>
      <x:c r="R88" s="42" t="n">
        <x:f>'Evaluation Plan'!R88</x:f>
        <x:v>4</x:v>
      </x:c>
      <x:c r="S88" s="41" t="str">
        <x:f>'Evaluation Plan'!S88</x:f>
        <x:v>Build the listed relation scene with the bowl empty.</x:v>
      </x:c>
      <x:c r="T88" s="41" t="str">
        <x:f>'Evaluation Plan'!T88</x:f>
        <x:v>Both candidates are present. The held-out relation is the only information that identifies the target.</x:v>
      </x:c>
      <x:c r="U88" s="41" t="n">
        <x:f>'Evaluation Plan'!U88</x:f>
        <x:v>0</x:v>
      </x:c>
    </x:row>
    <x:row r="89" ht="51" customHeight="1">
      <x:c r="A89" s="44" t="str">
        <x:v>Not collected</x:v>
      </x:c>
      <x:c r="B89" s="45" t="n">
        <x:f>'Evaluation Plan'!B89</x:f>
        <x:v>87</x:v>
      </x:c>
      <x:c r="C89" s="44" t="str">
        <x:f>'Evaluation Plan'!C89</x:f>
        <x:v>Pick up the airplane toy furthest from the yellow pen and place it in the bowl.</x:v>
      </x:c>
      <x:c r="D89" s="44" t="str">
        <x:f>'Evaluation Plan'!D89</x:f>
        <x:v>Reference: yellow pen at table centre; airplane toy without propellers: 10 cm away from the robot from the reference; airplane toy with propellers: 24 cm toward the robot from the reference; green pencil sharpener: at the far robot-left corner, outside the distance comparison; red pencil sharpener: at the far robot-right corner, outside the distance comparison; Bowl: empty</x:v>
      </x:c>
      <x:c r="E89" s="45" t="str">
        <x:f>'Evaluation Plan'!E89</x:f>
      </x:c>
      <x:c r="F89" s="45" t="str">
        <x:f>'Evaluation Plan'!F89</x:f>
        <x:v>576</x:v>
      </x:c>
      <x:c r="G89" s="44" t="str">
        <x:f>'Evaluation Plan'!G89</x:f>
        <x:v>Masked source trajectory: the target identity and physical manipulation are trained under a direct-name prompt, while this relation × candidate-category composition is intentionally absent.</x:v>
      </x:c>
      <x:c r="H89" s="44" t="str">
        <x:f>'Evaluation Plan'!H89</x:f>
        <x:v>airplane toy with propellers</x:v>
      </x:c>
      <x:c r="I89" s="44" t="str"/>
      <x:c r="J89" s="46" t="str">
        <x:f>'Evaluation Plan'!J89</x:f>
        <x:v>Concept/compositional transfer</x:v>
      </x:c>
      <x:c r="K89" s="45" t="str">
        <x:f>'Evaluation Plan'!K89</x:f>
        <x:v>RD-CT28</x:v>
      </x:c>
      <x:c r="L89" s="45" t="str">
        <x:f>'Evaluation Plan'!L89</x:f>
        <x:v>furthest</x:v>
      </x:c>
      <x:c r="M89" s="45" t="str">
        <x:f>'Evaluation Plan'!M89</x:f>
        <x:v>airplane toy</x:v>
      </x:c>
      <x:c r="N89" s="45" t="n">
        <x:f>'Evaluation Plan'!N89</x:f>
        <x:v>5</x:v>
      </x:c>
      <x:c r="O89" s="45" t="n">
        <x:f>'Evaluation Plan'!O89</x:f>
        <x:v>1</x:v>
      </x:c>
      <x:c r="P89" s="45" t="str">
        <x:f>'Evaluation Plan'!P89</x:f>
        <x:v>Empty</x:v>
      </x:c>
      <x:c r="Q89" s="44" t="str">
        <x:f>'Evaluation Plan'!Q89</x:f>
        <x:v>Primary held-out relation × candidate-category composition — Pick up</x:v>
      </x:c>
      <x:c r="R89" s="45" t="n">
        <x:f>'Evaluation Plan'!R89</x:f>
        <x:v>4</x:v>
      </x:c>
      <x:c r="S89" s="44" t="str">
        <x:f>'Evaluation Plan'!S89</x:f>
        <x:v>Build the listed relation scene with the bowl empty.</x:v>
      </x:c>
      <x:c r="T89" s="44" t="str">
        <x:f>'Evaluation Plan'!T89</x:f>
        <x:v>Both candidates are present. The held-out relation is the only information that identifies the target.</x:v>
      </x:c>
      <x:c r="U89" s="44" t="n">
        <x:f>'Evaluation Plan'!U89</x:f>
        <x:v>0</x:v>
      </x:c>
    </x:row>
    <x:row r="90" ht="51" customHeight="1">
      <x:c r="A90" s="41" t="str">
        <x:v>Not collected</x:v>
      </x:c>
      <x:c r="B90" s="42" t="n">
        <x:f>'Evaluation Plan'!B90</x:f>
        <x:v>88</x:v>
      </x:c>
      <x:c r="C90" s="41" t="str">
        <x:f>'Evaluation Plan'!C90</x:f>
        <x:v>Pick up the crushed soda can closest to the yellow pen and place it in the bowl.</x:v>
      </x:c>
      <x:c r="D90" s="41" t="str">
        <x:f>'Evaluation Plan'!D90</x:f>
        <x:v>Reference: yellow pen at table centre; crushed Coke can: 10 cm away from the robot from the reference; crushed Pepsi can: 24 cm toward the robot from the reference; airplane toy without propellers: at the far robot-left corner, outside the distance comparison; green pencil sharpener: at the far robot-right corner, outside the distance comparison; Bowl: empty</x:v>
      </x:c>
      <x:c r="E90" s="42" t="str">
        <x:f>'Evaluation Plan'!E90</x:f>
      </x:c>
      <x:c r="F90" s="42" t="str">
        <x:f>'Evaluation Plan'!F90</x:f>
        <x:v>410</x:v>
      </x:c>
      <x:c r="G90" s="41" t="str">
        <x:f>'Evaluation Plan'!G90</x:f>
        <x:v>Masked source trajectory: the target identity and physical manipulation are trained under a direct-name prompt, while this relation × candidate-category composition is intentionally absent.</x:v>
      </x:c>
      <x:c r="H90" s="41" t="str">
        <x:f>'Evaluation Plan'!H90</x:f>
        <x:v>crushed Coke can</x:v>
      </x:c>
      <x:c r="I90" s="41" t="str"/>
      <x:c r="J90" s="46" t="str">
        <x:f>'Evaluation Plan'!J90</x:f>
        <x:v>Concept/compositional transfer</x:v>
      </x:c>
      <x:c r="K90" s="42" t="str">
        <x:f>'Evaluation Plan'!K90</x:f>
        <x:v>RD-CT29</x:v>
      </x:c>
      <x:c r="L90" s="42" t="str">
        <x:f>'Evaluation Plan'!L90</x:f>
        <x:v>closest</x:v>
      </x:c>
      <x:c r="M90" s="42" t="str">
        <x:f>'Evaluation Plan'!M90</x:f>
        <x:v>crushed soda can</x:v>
      </x:c>
      <x:c r="N90" s="42" t="n">
        <x:f>'Evaluation Plan'!N90</x:f>
        <x:v>5</x:v>
      </x:c>
      <x:c r="O90" s="42" t="n">
        <x:f>'Evaluation Plan'!O90</x:f>
        <x:v>1</x:v>
      </x:c>
      <x:c r="P90" s="42" t="str">
        <x:f>'Evaluation Plan'!P90</x:f>
        <x:v>Empty</x:v>
      </x:c>
      <x:c r="Q90" s="41" t="str">
        <x:f>'Evaluation Plan'!Q90</x:f>
        <x:v>Primary held-out relation × candidate-category composition — Pick up</x:v>
      </x:c>
      <x:c r="R90" s="42" t="n">
        <x:f>'Evaluation Plan'!R90</x:f>
        <x:v>4</x:v>
      </x:c>
      <x:c r="S90" s="41" t="str">
        <x:f>'Evaluation Plan'!S90</x:f>
        <x:v>Build the listed relation scene with the bowl empty.</x:v>
      </x:c>
      <x:c r="T90" s="41" t="str">
        <x:f>'Evaluation Plan'!T90</x:f>
        <x:v>Both candidates are present. The held-out relation is the only information that identifies the target.</x:v>
      </x:c>
      <x:c r="U90" s="41" t="n">
        <x:f>'Evaluation Plan'!U90</x:f>
        <x:v>0</x:v>
      </x:c>
    </x:row>
    <x:row r="91" ht="51" customHeight="1">
      <x:c r="A91" s="44" t="str">
        <x:v>Not collected</x:v>
      </x:c>
      <x:c r="B91" s="45" t="n">
        <x:f>'Evaluation Plan'!B91</x:f>
        <x:v>89</x:v>
      </x:c>
      <x:c r="C91" s="44" t="str">
        <x:f>'Evaluation Plan'!C91</x:f>
        <x:v>Pick up the pencil sharpener between the green pen and the crushed Coke can and place it in the bowl.</x:v>
      </x:c>
      <x:c r="D91" s="44" t="str">
        <x:f>'Evaluation Plan'!D91</x:f>
        <x:v>Reference A: green pen at 14 cm toward the robot from table centre; Reference B: crushed Coke can at 14 cm away from the robot from table centre; green pencil sharpener: at table centre on the straight Reference A–B segment; red pencil sharpener: 12 cm to robot-right of table centre, off the Reference A–B segment; airplane toy without propellers: at the far robot-left corner, outside the distance comparison; Bowl: empty</x:v>
      </x:c>
      <x:c r="E91" s="45" t="str">
        <x:f>'Evaluation Plan'!E91</x:f>
      </x:c>
      <x:c r="F91" s="45" t="str">
        <x:f>'Evaluation Plan'!F91</x:f>
        <x:v>490</x:v>
      </x:c>
      <x:c r="G91" s="44" t="str">
        <x:f>'Evaluation Plan'!G91</x:f>
        <x:v>Masked source trajectory: the target identity and physical manipulation are trained under a direct-name prompt, while this relation × candidate-category composition is intentionally absent.</x:v>
      </x:c>
      <x:c r="H91" s="44" t="str">
        <x:f>'Evaluation Plan'!H91</x:f>
        <x:v>green pencil sharpener</x:v>
      </x:c>
      <x:c r="I91" s="44" t="str"/>
      <x:c r="J91" s="46" t="str">
        <x:f>'Evaluation Plan'!J91</x:f>
        <x:v>Concept/compositional transfer</x:v>
      </x:c>
      <x:c r="K91" s="45" t="str">
        <x:f>'Evaluation Plan'!K91</x:f>
        <x:v>RD-CT30</x:v>
      </x:c>
      <x:c r="L91" s="45" t="str">
        <x:f>'Evaluation Plan'!L91</x:f>
        <x:v>between</x:v>
      </x:c>
      <x:c r="M91" s="45" t="str">
        <x:f>'Evaluation Plan'!M91</x:f>
        <x:v>pencil sharpener</x:v>
      </x:c>
      <x:c r="N91" s="45" t="n">
        <x:f>'Evaluation Plan'!N91</x:f>
        <x:v>5</x:v>
      </x:c>
      <x:c r="O91" s="45" t="n">
        <x:f>'Evaluation Plan'!O91</x:f>
        <x:v>1</x:v>
      </x:c>
      <x:c r="P91" s="45" t="str">
        <x:f>'Evaluation Plan'!P91</x:f>
        <x:v>Empty</x:v>
      </x:c>
      <x:c r="Q91" s="44" t="str">
        <x:f>'Evaluation Plan'!Q91</x:f>
        <x:v>Primary held-out relation × candidate-category composition — Pick up</x:v>
      </x:c>
      <x:c r="R91" s="45" t="n">
        <x:f>'Evaluation Plan'!R91</x:f>
        <x:v>4</x:v>
      </x:c>
      <x:c r="S91" s="44" t="str">
        <x:f>'Evaluation Plan'!S91</x:f>
        <x:v>Build the listed relation scene with the bowl empty.</x:v>
      </x:c>
      <x:c r="T91" s="44" t="str">
        <x:f>'Evaluation Plan'!T91</x:f>
        <x:v>Both candidates are present. The held-out relation is the only information that identifies the target.</x:v>
      </x:c>
      <x:c r="U91" s="44" t="n">
        <x:f>'Evaluation Plan'!U91</x:f>
        <x:v>0</x:v>
      </x:c>
    </x:row>
    <x:row r="92" ht="51" customHeight="1">
      <x:c r="A92" s="41" t="str">
        <x:v>Not collected</x:v>
      </x:c>
      <x:c r="B92" s="42" t="n">
        <x:f>'Evaluation Plan'!B92</x:f>
        <x:v>90</x:v>
      </x:c>
      <x:c r="C92" s="41" t="str">
        <x:f>'Evaluation Plan'!C92</x:f>
        <x:v>Put the airplane toy furthest from the crushed Pepsi can in the bowl.</x:v>
      </x:c>
      <x:c r="D92" s="41" t="str">
        <x:f>'Evaluation Plan'!D92</x:f>
        <x:v>Reference: crushed Pepsi can at table centre; airplane toy with propellers: 10 cm toward robot-left from the reference; airplane toy without propellers: 24 cm away toward robot-right from the reference; crushed Coke can: at the far robot-left corner, outside the distance comparison; green pencil sharpener: at the far robot-right corner, outside the distance comparison; Bowl: empty</x:v>
      </x:c>
      <x:c r="E92" s="42" t="str">
        <x:f>'Evaluation Plan'!E92</x:f>
      </x:c>
      <x:c r="F92" s="42" t="str">
        <x:f>'Evaluation Plan'!F92</x:f>
        <x:v>573</x:v>
      </x:c>
      <x:c r="G92" s="41" t="str">
        <x:f>'Evaluation Plan'!G92</x:f>
        <x:v>Masked source trajectory: the target identity and physical manipulation are trained under a direct-name prompt, while this relation × candidate-category composition is intentionally absent.</x:v>
      </x:c>
      <x:c r="H92" s="41" t="str">
        <x:f>'Evaluation Plan'!H92</x:f>
        <x:v>airplane toy without propellers</x:v>
      </x:c>
      <x:c r="I92" s="41" t="str"/>
      <x:c r="J92" s="46" t="str">
        <x:f>'Evaluation Plan'!J92</x:f>
        <x:v>Concept/compositional transfer</x:v>
      </x:c>
      <x:c r="K92" s="42" t="str">
        <x:f>'Evaluation Plan'!K92</x:f>
        <x:v>RD-CT31</x:v>
      </x:c>
      <x:c r="L92" s="42" t="str">
        <x:f>'Evaluation Plan'!L92</x:f>
        <x:v>furthest</x:v>
      </x:c>
      <x:c r="M92" s="42" t="str">
        <x:f>'Evaluation Plan'!M92</x:f>
        <x:v>airplane toy</x:v>
      </x:c>
      <x:c r="N92" s="42" t="n">
        <x:f>'Evaluation Plan'!N92</x:f>
        <x:v>5</x:v>
      </x:c>
      <x:c r="O92" s="42" t="n">
        <x:f>'Evaluation Plan'!O92</x:f>
        <x:v>1</x:v>
      </x:c>
      <x:c r="P92" s="42" t="str">
        <x:f>'Evaluation Plan'!P92</x:f>
        <x:v>Empty</x:v>
      </x:c>
      <x:c r="Q92" s="41" t="str">
        <x:f>'Evaluation Plan'!Q92</x:f>
        <x:v>Primary held-out relation × candidate-category composition — Put</x:v>
      </x:c>
      <x:c r="R92" s="42" t="n">
        <x:f>'Evaluation Plan'!R92</x:f>
        <x:v>4</x:v>
      </x:c>
      <x:c r="S92" s="41" t="str">
        <x:f>'Evaluation Plan'!S92</x:f>
        <x:v>Build the listed relation scene with the bowl empty.</x:v>
      </x:c>
      <x:c r="T92" s="41" t="str">
        <x:f>'Evaluation Plan'!T92</x:f>
        <x:v>Both candidates are present. The held-out relation is the only information that identifies the target.</x:v>
      </x:c>
      <x:c r="U92" s="41" t="n">
        <x:f>'Evaluation Plan'!U92</x:f>
        <x:v>0</x:v>
      </x:c>
    </x:row>
    <x:row r="93" ht="51" customHeight="1">
      <x:c r="A93" s="44" t="str">
        <x:v>Not collected</x:v>
      </x:c>
      <x:c r="B93" s="45" t="n">
        <x:f>'Evaluation Plan'!B93</x:f>
        <x:v>91</x:v>
      </x:c>
      <x:c r="C93" s="44" t="str">
        <x:f>'Evaluation Plan'!C93</x:f>
        <x:v>Put the crushed soda can closest to the airplane toy without propellers in the bowl.</x:v>
      </x:c>
      <x:c r="D93" s="44" t="str">
        <x:f>'Evaluation Plan'!D93</x:f>
        <x:v>Reference: airplane toy without propellers at table centre; crushed Pepsi can: 10 cm toward robot-left from the reference; crushed Coke can: 24 cm away toward robot-right from the reference; green pen: at the far robot-left corner, outside the distance comparison; yellow pen: at the far robot-right corner, outside the distance comparison; Bowl: empty</x:v>
      </x:c>
      <x:c r="E93" s="45" t="str">
        <x:f>'Evaluation Plan'!E93</x:f>
      </x:c>
      <x:c r="F93" s="45" t="str">
        <x:f>'Evaluation Plan'!F93</x:f>
        <x:v>409</x:v>
      </x:c>
      <x:c r="G93" s="44" t="str">
        <x:f>'Evaluation Plan'!G93</x:f>
        <x:v>Masked source trajectory: the target identity and physical manipulation are trained under a direct-name prompt, while this relation × candidate-category composition is intentionally absent.</x:v>
      </x:c>
      <x:c r="H93" s="44" t="str">
        <x:f>'Evaluation Plan'!H93</x:f>
        <x:v>crushed Pepsi can</x:v>
      </x:c>
      <x:c r="I93" s="44" t="str"/>
      <x:c r="J93" s="46" t="str">
        <x:f>'Evaluation Plan'!J93</x:f>
        <x:v>Concept/compositional transfer</x:v>
      </x:c>
      <x:c r="K93" s="45" t="str">
        <x:f>'Evaluation Plan'!K93</x:f>
        <x:v>RD-CT32</x:v>
      </x:c>
      <x:c r="L93" s="45" t="str">
        <x:f>'Evaluation Plan'!L93</x:f>
        <x:v>closest</x:v>
      </x:c>
      <x:c r="M93" s="45" t="str">
        <x:f>'Evaluation Plan'!M93</x:f>
        <x:v>crushed soda can</x:v>
      </x:c>
      <x:c r="N93" s="45" t="n">
        <x:f>'Evaluation Plan'!N93</x:f>
        <x:v>5</x:v>
      </x:c>
      <x:c r="O93" s="45" t="n">
        <x:f>'Evaluation Plan'!O93</x:f>
        <x:v>1</x:v>
      </x:c>
      <x:c r="P93" s="45" t="str">
        <x:f>'Evaluation Plan'!P93</x:f>
        <x:v>Empty</x:v>
      </x:c>
      <x:c r="Q93" s="44" t="str">
        <x:f>'Evaluation Plan'!Q93</x:f>
        <x:v>Primary held-out relation × candidate-category composition — Put</x:v>
      </x:c>
      <x:c r="R93" s="45" t="n">
        <x:f>'Evaluation Plan'!R93</x:f>
        <x:v>4</x:v>
      </x:c>
      <x:c r="S93" s="44" t="str">
        <x:f>'Evaluation Plan'!S93</x:f>
        <x:v>Build the listed relation scene with the bowl empty.</x:v>
      </x:c>
      <x:c r="T93" s="44" t="str">
        <x:f>'Evaluation Plan'!T93</x:f>
        <x:v>Both candidates are present. The held-out relation is the only information that identifies the target.</x:v>
      </x:c>
      <x:c r="U93" s="44" t="n">
        <x:f>'Evaluation Plan'!U93</x:f>
        <x:v>0</x:v>
      </x:c>
    </x:row>
    <x:row r="94" ht="51" customHeight="1">
      <x:c r="A94" s="41" t="str">
        <x:v>Not collected</x:v>
      </x:c>
      <x:c r="B94" s="42" t="n">
        <x:f>'Evaluation Plan'!B94</x:f>
        <x:v>92</x:v>
      </x:c>
      <x:c r="C94" s="41" t="str">
        <x:f>'Evaluation Plan'!C94</x:f>
        <x:v>Put the pencil sharpener between the airplane toy with propellers and the yellow pen in the bowl.</x:v>
      </x:c>
      <x:c r="D94" s="41" t="str">
        <x:f>'Evaluation Plan'!D94</x:f>
        <x:v>Reference A: airplane toy with propellers at 14 cm toward robot-left from table centre; Reference B: yellow pen at 14 cm away toward robot-right from table centre; red pencil sharpener: at table centre on the straight Reference A–B segment; green pencil sharpener: 12 cm toward robot-right from table centre, off the Reference A–B segment; green pen: at the far robot-left corner, outside the distance comparison; Bowl: empty</x:v>
      </x:c>
      <x:c r="E94" s="42" t="str">
        <x:f>'Evaluation Plan'!E94</x:f>
      </x:c>
      <x:c r="F94" s="42" t="str">
        <x:f>'Evaluation Plan'!F94</x:f>
        <x:v>488</x:v>
      </x:c>
      <x:c r="G94" s="41" t="str">
        <x:f>'Evaluation Plan'!G94</x:f>
        <x:v>Masked source trajectory: the target identity and physical manipulation are trained under a direct-name prompt, while this relation × candidate-category composition is intentionally absent.</x:v>
      </x:c>
      <x:c r="H94" s="41" t="str">
        <x:f>'Evaluation Plan'!H94</x:f>
        <x:v>red pencil sharpener</x:v>
      </x:c>
      <x:c r="I94" s="41" t="str"/>
      <x:c r="J94" s="46" t="str">
        <x:f>'Evaluation Plan'!J94</x:f>
        <x:v>Concept/compositional transfer</x:v>
      </x:c>
      <x:c r="K94" s="42" t="str">
        <x:f>'Evaluation Plan'!K94</x:f>
        <x:v>RD-CT33</x:v>
      </x:c>
      <x:c r="L94" s="42" t="str">
        <x:f>'Evaluation Plan'!L94</x:f>
        <x:v>between</x:v>
      </x:c>
      <x:c r="M94" s="42" t="str">
        <x:f>'Evaluation Plan'!M94</x:f>
        <x:v>pencil sharpener</x:v>
      </x:c>
      <x:c r="N94" s="42" t="n">
        <x:f>'Evaluation Plan'!N94</x:f>
        <x:v>5</x:v>
      </x:c>
      <x:c r="O94" s="42" t="n">
        <x:f>'Evaluation Plan'!O94</x:f>
        <x:v>1</x:v>
      </x:c>
      <x:c r="P94" s="42" t="str">
        <x:f>'Evaluation Plan'!P94</x:f>
        <x:v>Empty</x:v>
      </x:c>
      <x:c r="Q94" s="41" t="str">
        <x:f>'Evaluation Plan'!Q94</x:f>
        <x:v>Primary held-out relation × candidate-category composition — Put</x:v>
      </x:c>
      <x:c r="R94" s="42" t="n">
        <x:f>'Evaluation Plan'!R94</x:f>
        <x:v>4</x:v>
      </x:c>
      <x:c r="S94" s="41" t="str">
        <x:f>'Evaluation Plan'!S94</x:f>
        <x:v>Build the listed relation scene with the bowl empty.</x:v>
      </x:c>
      <x:c r="T94" s="41" t="str">
        <x:f>'Evaluation Plan'!T94</x:f>
        <x:v>Both candidates are present. The held-out relation is the only information that identifies the target.</x:v>
      </x:c>
      <x:c r="U94" s="41" t="n">
        <x:f>'Evaluation Plan'!U94</x:f>
        <x:v>0</x:v>
      </x:c>
    </x:row>
    <x:row r="95" ht="51" customHeight="1">
      <x:c r="A95" s="44" t="str">
        <x:v>Not collected</x:v>
      </x:c>
      <x:c r="B95" s="45" t="n">
        <x:f>'Evaluation Plan'!B95</x:f>
        <x:v>93</x:v>
      </x:c>
      <x:c r="C95" s="44" t="str">
        <x:f>'Evaluation Plan'!C95</x:f>
        <x:v>Move the airplane toy furthest from the red pencil sharpener into the bowl.</x:v>
      </x:c>
      <x:c r="D95" s="44" t="str">
        <x:f>'Evaluation Plan'!D95</x:f>
        <x:v>Reference: red pencil sharpener at table centre; airplane toy with propellers: 10 cm toward robot-right from the reference; airplane toy without propellers: 24 cm away toward robot-left from the reference; green pen: at the far robot-left corner, outside the distance comparison; yellow pen: at the far robot-right corner, outside the distance comparison; Bowl: empty</x:v>
      </x:c>
      <x:c r="E95" s="45" t="str">
        <x:f>'Evaluation Plan'!E95</x:f>
      </x:c>
      <x:c r="F95" s="45" t="str">
        <x:f>'Evaluation Plan'!F95</x:f>
        <x:v>575</x:v>
      </x:c>
      <x:c r="G95" s="44" t="str">
        <x:f>'Evaluation Plan'!G95</x:f>
        <x:v>Masked source trajectory: the target identity and physical manipulation are trained under a direct-name prompt, while this relation × candidate-category composition is intentionally absent.</x:v>
      </x:c>
      <x:c r="H95" s="44" t="str">
        <x:f>'Evaluation Plan'!H95</x:f>
        <x:v>airplane toy without propellers</x:v>
      </x:c>
      <x:c r="I95" s="44" t="str"/>
      <x:c r="J95" s="46" t="str">
        <x:f>'Evaluation Plan'!J95</x:f>
        <x:v>Concept/compositional transfer</x:v>
      </x:c>
      <x:c r="K95" s="45" t="str">
        <x:f>'Evaluation Plan'!K95</x:f>
        <x:v>RD-CT34</x:v>
      </x:c>
      <x:c r="L95" s="45" t="str">
        <x:f>'Evaluation Plan'!L95</x:f>
        <x:v>furthest</x:v>
      </x:c>
      <x:c r="M95" s="45" t="str">
        <x:f>'Evaluation Plan'!M95</x:f>
        <x:v>airplane toy</x:v>
      </x:c>
      <x:c r="N95" s="45" t="n">
        <x:f>'Evaluation Plan'!N95</x:f>
        <x:v>5</x:v>
      </x:c>
      <x:c r="O95" s="45" t="n">
        <x:f>'Evaluation Plan'!O95</x:f>
        <x:v>1</x:v>
      </x:c>
      <x:c r="P95" s="45" t="str">
        <x:f>'Evaluation Plan'!P95</x:f>
        <x:v>Empty</x:v>
      </x:c>
      <x:c r="Q95" s="44" t="str">
        <x:f>'Evaluation Plan'!Q95</x:f>
        <x:v>Primary held-out relation × candidate-category composition — Move</x:v>
      </x:c>
      <x:c r="R95" s="45" t="n">
        <x:f>'Evaluation Plan'!R95</x:f>
        <x:v>4</x:v>
      </x:c>
      <x:c r="S95" s="44" t="str">
        <x:f>'Evaluation Plan'!S95</x:f>
        <x:v>Build the listed relation scene with the bowl empty.</x:v>
      </x:c>
      <x:c r="T95" s="44" t="str">
        <x:f>'Evaluation Plan'!T95</x:f>
        <x:v>Both candidates are present. The held-out relation is the only information that identifies the target.</x:v>
      </x:c>
      <x:c r="U95" s="44" t="n">
        <x:f>'Evaluation Plan'!U95</x:f>
        <x:v>0</x:v>
      </x:c>
    </x:row>
    <x:row r="96" ht="51" customHeight="1">
      <x:c r="A96" s="41" t="str">
        <x:v>Not collected</x:v>
      </x:c>
      <x:c r="B96" s="42" t="n">
        <x:f>'Evaluation Plan'!B96</x:f>
        <x:v>94</x:v>
      </x:c>
      <x:c r="C96" s="41" t="str">
        <x:f>'Evaluation Plan'!C96</x:f>
        <x:v>Move the crushed soda can closest to the red pencil sharpener into the bowl.</x:v>
      </x:c>
      <x:c r="D96" s="41" t="str">
        <x:f>'Evaluation Plan'!D96</x:f>
        <x:v>Reference: red pencil sharpener at table centre; crushed Pepsi can: 10 cm toward robot-right from the reference; crushed Coke can: 24 cm away toward robot-left from the reference; green pencil sharpener: at the far robot-left corner, outside the distance comparison; green pen: at the far robot-right corner, outside the distance comparison; Bowl: empty</x:v>
      </x:c>
      <x:c r="E96" s="42" t="str">
        <x:f>'Evaluation Plan'!E96</x:f>
      </x:c>
      <x:c r="F96" s="42" t="str">
        <x:f>'Evaluation Plan'!F96</x:f>
        <x:v>411</x:v>
      </x:c>
      <x:c r="G96" s="41" t="str">
        <x:f>'Evaluation Plan'!G96</x:f>
        <x:v>Masked source trajectory: the target identity and physical manipulation are trained under a direct-name prompt, while this relation × candidate-category composition is intentionally absent.</x:v>
      </x:c>
      <x:c r="H96" s="41" t="str">
        <x:f>'Evaluation Plan'!H96</x:f>
        <x:v>crushed Pepsi can</x:v>
      </x:c>
      <x:c r="I96" s="41" t="str"/>
      <x:c r="J96" s="46" t="str">
        <x:f>'Evaluation Plan'!J96</x:f>
        <x:v>Concept/compositional transfer</x:v>
      </x:c>
      <x:c r="K96" s="42" t="str">
        <x:f>'Evaluation Plan'!K96</x:f>
        <x:v>RD-CT35</x:v>
      </x:c>
      <x:c r="L96" s="42" t="str">
        <x:f>'Evaluation Plan'!L96</x:f>
        <x:v>closest</x:v>
      </x:c>
      <x:c r="M96" s="42" t="str">
        <x:f>'Evaluation Plan'!M96</x:f>
        <x:v>crushed soda can</x:v>
      </x:c>
      <x:c r="N96" s="42" t="n">
        <x:f>'Evaluation Plan'!N96</x:f>
        <x:v>5</x:v>
      </x:c>
      <x:c r="O96" s="42" t="n">
        <x:f>'Evaluation Plan'!O96</x:f>
        <x:v>1</x:v>
      </x:c>
      <x:c r="P96" s="42" t="str">
        <x:f>'Evaluation Plan'!P96</x:f>
        <x:v>Empty</x:v>
      </x:c>
      <x:c r="Q96" s="41" t="str">
        <x:f>'Evaluation Plan'!Q96</x:f>
        <x:v>Primary held-out relation × candidate-category composition — Move</x:v>
      </x:c>
      <x:c r="R96" s="42" t="n">
        <x:f>'Evaluation Plan'!R96</x:f>
        <x:v>4</x:v>
      </x:c>
      <x:c r="S96" s="41" t="str">
        <x:f>'Evaluation Plan'!S96</x:f>
        <x:v>Build the listed relation scene with the bowl empty.</x:v>
      </x:c>
      <x:c r="T96" s="41" t="str">
        <x:f>'Evaluation Plan'!T96</x:f>
        <x:v>Both candidates are present. The held-out relation is the only information that identifies the target.</x:v>
      </x:c>
      <x:c r="U96" s="41" t="n">
        <x:f>'Evaluation Plan'!U96</x:f>
        <x:v>0</x:v>
      </x:c>
    </x:row>
    <x:row r="97" ht="51" customHeight="1">
      <x:c r="A97" s="44" t="str">
        <x:v>Not collected</x:v>
      </x:c>
      <x:c r="B97" s="45" t="n">
        <x:f>'Evaluation Plan'!B97</x:f>
        <x:v>95</x:v>
      </x:c>
      <x:c r="C97" s="44" t="str">
        <x:f>'Evaluation Plan'!C97</x:f>
        <x:v>Move the pencil sharpener between the crushed Pepsi can and the airplane toy without propellers into the bowl.</x:v>
      </x:c>
      <x:c r="D97" s="44" t="str">
        <x:f>'Evaluation Plan'!D97</x:f>
        <x:v>Reference A: crushed Pepsi can at 14 cm toward robot-right from table centre; Reference B: airplane toy without propellers at 14 cm away toward robot-left from table centre; red pencil sharpener: at table centre on the straight Reference A–B segment; green pencil sharpener: 12 cm toward robot-left from table centre, off the Reference A–B segment; green pen: at the far robot-left corner, outside the distance comparison; Bowl: empty</x:v>
      </x:c>
      <x:c r="E97" s="45" t="str">
        <x:f>'Evaluation Plan'!E97</x:f>
      </x:c>
      <x:c r="F97" s="45" t="str">
        <x:f>'Evaluation Plan'!F97</x:f>
        <x:v>491</x:v>
      </x:c>
      <x:c r="G97" s="44" t="str">
        <x:f>'Evaluation Plan'!G97</x:f>
        <x:v>Masked source trajectory: the target identity and physical manipulation are trained under a direct-name prompt, while this relation × candidate-category composition is intentionally absent.</x:v>
      </x:c>
      <x:c r="H97" s="44" t="str">
        <x:f>'Evaluation Plan'!H97</x:f>
        <x:v>red pencil sharpener</x:v>
      </x:c>
      <x:c r="I97" s="44" t="str"/>
      <x:c r="J97" s="46" t="str">
        <x:f>'Evaluation Plan'!J97</x:f>
        <x:v>Concept/compositional transfer</x:v>
      </x:c>
      <x:c r="K97" s="45" t="str">
        <x:f>'Evaluation Plan'!K97</x:f>
        <x:v>RD-CT36</x:v>
      </x:c>
      <x:c r="L97" s="45" t="str">
        <x:f>'Evaluation Plan'!L97</x:f>
        <x:v>between</x:v>
      </x:c>
      <x:c r="M97" s="45" t="str">
        <x:f>'Evaluation Plan'!M97</x:f>
        <x:v>pencil sharpener</x:v>
      </x:c>
      <x:c r="N97" s="45" t="n">
        <x:f>'Evaluation Plan'!N97</x:f>
        <x:v>5</x:v>
      </x:c>
      <x:c r="O97" s="45" t="n">
        <x:f>'Evaluation Plan'!O97</x:f>
        <x:v>1</x:v>
      </x:c>
      <x:c r="P97" s="45" t="str">
        <x:f>'Evaluation Plan'!P97</x:f>
        <x:v>Empty</x:v>
      </x:c>
      <x:c r="Q97" s="44" t="str">
        <x:f>'Evaluation Plan'!Q97</x:f>
        <x:v>Primary held-out relation × candidate-category composition — Move</x:v>
      </x:c>
      <x:c r="R97" s="45" t="n">
        <x:f>'Evaluation Plan'!R97</x:f>
        <x:v>4</x:v>
      </x:c>
      <x:c r="S97" s="44" t="str">
        <x:f>'Evaluation Plan'!S97</x:f>
        <x:v>Build the listed relation scene with the bowl empty.</x:v>
      </x:c>
      <x:c r="T97" s="44" t="str">
        <x:f>'Evaluation Plan'!T97</x:f>
        <x:v>Both candidates are present. The held-out relation is the only information that identifies the target.</x:v>
      </x:c>
      <x:c r="U97" s="44" t="n">
        <x:f>'Evaluation Plan'!U97</x:f>
        <x:v>0</x:v>
      </x:c>
    </x:row>
    <x:row r="98" ht="51" customHeight="1">
      <x:c r="A98" s="41" t="str">
        <x:v>Not collected</x:v>
      </x:c>
      <x:c r="B98" s="42" t="n">
        <x:f>'Evaluation Plan'!B98</x:f>
        <x:v>96</x:v>
      </x:c>
      <x:c r="C98" s="41" t="str">
        <x:f>'Evaluation Plan'!C98</x:f>
        <x:v>Pick up the airplane toy furthest from the green pen and place it in the bowl.</x:v>
      </x:c>
      <x:c r="D98" s="41" t="str">
        <x:f>'Evaluation Plan'!D98</x:f>
        <x:v>Reference: green pen at table centre; airplane toy without propellers: 10 cm to robot-left of the reference; airplane toy with propellers: 24 cm to robot-right of the reference; crushed Pepsi can: at the far robot-left corner, outside the distance comparison; green pencil sharpener: at the far robot-right corner, outside the distance comparison; Bowl: empty</x:v>
      </x:c>
      <x:c r="E98" s="42" t="str">
        <x:f>'Evaluation Plan'!E98</x:f>
      </x:c>
      <x:c r="F98" s="42" t="str">
        <x:f>'Evaluation Plan'!F98</x:f>
        <x:v>578</x:v>
      </x:c>
      <x:c r="G98" s="41" t="str">
        <x:f>'Evaluation Plan'!G98</x:f>
        <x:v>Masked source trajectory: the target identity and physical manipulation are trained under a direct-name prompt, while this relation × candidate-category composition is intentionally absent.</x:v>
      </x:c>
      <x:c r="H98" s="41" t="str">
        <x:f>'Evaluation Plan'!H98</x:f>
        <x:v>airplane toy with propellers</x:v>
      </x:c>
      <x:c r="I98" s="41" t="str"/>
      <x:c r="J98" s="46" t="str">
        <x:f>'Evaluation Plan'!J98</x:f>
        <x:v>Concept/compositional transfer</x:v>
      </x:c>
      <x:c r="K98" s="42" t="str">
        <x:f>'Evaluation Plan'!K98</x:f>
        <x:v>RD-CT37</x:v>
      </x:c>
      <x:c r="L98" s="42" t="str">
        <x:f>'Evaluation Plan'!L98</x:f>
        <x:v>furthest</x:v>
      </x:c>
      <x:c r="M98" s="42" t="str">
        <x:f>'Evaluation Plan'!M98</x:f>
        <x:v>airplane toy</x:v>
      </x:c>
      <x:c r="N98" s="42" t="n">
        <x:f>'Evaluation Plan'!N98</x:f>
        <x:v>5</x:v>
      </x:c>
      <x:c r="O98" s="42" t="n">
        <x:f>'Evaluation Plan'!O98</x:f>
        <x:v>1</x:v>
      </x:c>
      <x:c r="P98" s="42" t="str">
        <x:f>'Evaluation Plan'!P98</x:f>
        <x:v>Empty</x:v>
      </x:c>
      <x:c r="Q98" s="41" t="str">
        <x:f>'Evaluation Plan'!Q98</x:f>
        <x:v>Primary held-out relation × candidate-category composition — Pick up</x:v>
      </x:c>
      <x:c r="R98" s="42" t="n">
        <x:f>'Evaluation Plan'!R98</x:f>
        <x:v>4</x:v>
      </x:c>
      <x:c r="S98" s="41" t="str">
        <x:f>'Evaluation Plan'!S98</x:f>
        <x:v>Build the listed relation scene with the bowl empty.</x:v>
      </x:c>
      <x:c r="T98" s="41" t="str">
        <x:f>'Evaluation Plan'!T98</x:f>
        <x:v>Both candidates are present. The held-out relation is the only information that identifies the target.</x:v>
      </x:c>
      <x:c r="U98" s="41" t="n">
        <x:f>'Evaluation Plan'!U98</x:f>
        <x:v>0</x:v>
      </x:c>
    </x:row>
    <x:row r="99" ht="51" customHeight="1">
      <x:c r="A99" s="44" t="str">
        <x:v>Not collected</x:v>
      </x:c>
      <x:c r="B99" s="45" t="n">
        <x:f>'Evaluation Plan'!B99</x:f>
        <x:v>97</x:v>
      </x:c>
      <x:c r="C99" s="44" t="str">
        <x:f>'Evaluation Plan'!C99</x:f>
        <x:v>Pick up the crushed soda can closest to the green pen and place it in the bowl.</x:v>
      </x:c>
      <x:c r="D99" s="44" t="str">
        <x:f>'Evaluation Plan'!D99</x:f>
        <x:v>Reference: green pen at table centre; crushed Coke can: 10 cm to robot-left of the reference; crushed Pepsi can: 24 cm to robot-right of the reference; airplane toy with propellers: at the far robot-left corner, outside the distance comparison; airplane toy without propellers: at the far robot-right corner, outside the distance comparison; Bowl: empty</x:v>
      </x:c>
      <x:c r="E99" s="45" t="str">
        <x:f>'Evaluation Plan'!E99</x:f>
      </x:c>
      <x:c r="F99" s="45" t="str">
        <x:f>'Evaluation Plan'!F99</x:f>
        <x:v>412</x:v>
      </x:c>
      <x:c r="G99" s="44" t="str">
        <x:f>'Evaluation Plan'!G99</x:f>
        <x:v>Masked source trajectory: the target identity and physical manipulation are trained under a direct-name prompt, while this relation × candidate-category composition is intentionally absent.</x:v>
      </x:c>
      <x:c r="H99" s="44" t="str">
        <x:f>'Evaluation Plan'!H99</x:f>
        <x:v>crushed Coke can</x:v>
      </x:c>
      <x:c r="I99" s="44" t="str"/>
      <x:c r="J99" s="46" t="str">
        <x:f>'Evaluation Plan'!J99</x:f>
        <x:v>Concept/compositional transfer</x:v>
      </x:c>
      <x:c r="K99" s="45" t="str">
        <x:f>'Evaluation Plan'!K99</x:f>
        <x:v>RD-CT38</x:v>
      </x:c>
      <x:c r="L99" s="45" t="str">
        <x:f>'Evaluation Plan'!L99</x:f>
        <x:v>closest</x:v>
      </x:c>
      <x:c r="M99" s="45" t="str">
        <x:f>'Evaluation Plan'!M99</x:f>
        <x:v>crushed soda can</x:v>
      </x:c>
      <x:c r="N99" s="45" t="n">
        <x:f>'Evaluation Plan'!N99</x:f>
        <x:v>5</x:v>
      </x:c>
      <x:c r="O99" s="45" t="n">
        <x:f>'Evaluation Plan'!O99</x:f>
        <x:v>1</x:v>
      </x:c>
      <x:c r="P99" s="45" t="str">
        <x:f>'Evaluation Plan'!P99</x:f>
        <x:v>Empty</x:v>
      </x:c>
      <x:c r="Q99" s="44" t="str">
        <x:f>'Evaluation Plan'!Q99</x:f>
        <x:v>Primary held-out relation × candidate-category composition — Pick up</x:v>
      </x:c>
      <x:c r="R99" s="45" t="n">
        <x:f>'Evaluation Plan'!R99</x:f>
        <x:v>4</x:v>
      </x:c>
      <x:c r="S99" s="44" t="str">
        <x:f>'Evaluation Plan'!S99</x:f>
        <x:v>Build the listed relation scene with the bowl empty.</x:v>
      </x:c>
      <x:c r="T99" s="44" t="str">
        <x:f>'Evaluation Plan'!T99</x:f>
        <x:v>Both candidates are present. The held-out relation is the only information that identifies the target.</x:v>
      </x:c>
      <x:c r="U99" s="44" t="n">
        <x:f>'Evaluation Plan'!U99</x:f>
        <x:v>0</x:v>
      </x:c>
    </x:row>
    <x:row r="100" ht="51" customHeight="1">
      <x:c r="A100" s="41" t="str">
        <x:v>Not collected</x:v>
      </x:c>
      <x:c r="B100" s="42" t="n">
        <x:f>'Evaluation Plan'!B100</x:f>
        <x:v>98</x:v>
      </x:c>
      <x:c r="C100" s="41" t="str">
        <x:f>'Evaluation Plan'!C100</x:f>
        <x:v>Pick up the pencil sharpener between the green pen and the crushed Coke can and place it in the bowl.</x:v>
      </x:c>
      <x:c r="D100" s="41" t="str">
        <x:f>'Evaluation Plan'!D100</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crushed Pepsi can: at the far robot-left corner, outside the distance comparison; Bowl: empty</x:v>
      </x:c>
      <x:c r="E100" s="42" t="str">
        <x:f>'Evaluation Plan'!E100</x:f>
      </x:c>
      <x:c r="F100" s="42" t="str">
        <x:f>'Evaluation Plan'!F100</x:f>
        <x:v>492</x:v>
      </x:c>
      <x:c r="G100" s="41" t="str">
        <x:f>'Evaluation Plan'!G100</x:f>
        <x:v>Masked source trajectory: the target identity and physical manipulation are trained under a direct-name prompt, while this relation × candidate-category composition is intentionally absent.</x:v>
      </x:c>
      <x:c r="H100" s="41" t="str">
        <x:f>'Evaluation Plan'!H100</x:f>
        <x:v>green pencil sharpener</x:v>
      </x:c>
      <x:c r="I100" s="41" t="str"/>
      <x:c r="J100" s="46" t="str">
        <x:f>'Evaluation Plan'!J100</x:f>
        <x:v>Concept/compositional transfer</x:v>
      </x:c>
      <x:c r="K100" s="42" t="str">
        <x:f>'Evaluation Plan'!K100</x:f>
        <x:v>RD-CT39</x:v>
      </x:c>
      <x:c r="L100" s="42" t="str">
        <x:f>'Evaluation Plan'!L100</x:f>
        <x:v>between</x:v>
      </x:c>
      <x:c r="M100" s="42" t="str">
        <x:f>'Evaluation Plan'!M100</x:f>
        <x:v>pencil sharpener</x:v>
      </x:c>
      <x:c r="N100" s="42" t="n">
        <x:f>'Evaluation Plan'!N100</x:f>
        <x:v>5</x:v>
      </x:c>
      <x:c r="O100" s="42" t="n">
        <x:f>'Evaluation Plan'!O100</x:f>
        <x:v>1</x:v>
      </x:c>
      <x:c r="P100" s="42" t="str">
        <x:f>'Evaluation Plan'!P100</x:f>
        <x:v>Empty</x:v>
      </x:c>
      <x:c r="Q100" s="41" t="str">
        <x:f>'Evaluation Plan'!Q100</x:f>
        <x:v>Primary held-out relation × candidate-category composition — Pick up</x:v>
      </x:c>
      <x:c r="R100" s="42" t="n">
        <x:f>'Evaluation Plan'!R100</x:f>
        <x:v>4</x:v>
      </x:c>
      <x:c r="S100" s="41" t="str">
        <x:f>'Evaluation Plan'!S100</x:f>
        <x:v>Build the listed relation scene with the bowl empty.</x:v>
      </x:c>
      <x:c r="T100" s="41" t="str">
        <x:f>'Evaluation Plan'!T100</x:f>
        <x:v>Both candidates are present. The held-out relation is the only information that identifies the target.</x:v>
      </x:c>
      <x:c r="U100" s="41" t="n">
        <x:f>'Evaluation Plan'!U100</x:f>
        <x:v>0</x:v>
      </x:c>
    </x:row>
    <x:row r="101" ht="51" customHeight="1">
      <x:c r="A101" s="44" t="str">
        <x:v>Not collected</x:v>
      </x:c>
      <x:c r="B101" s="45" t="n">
        <x:f>'Evaluation Plan'!B101</x:f>
        <x:v>99</x:v>
      </x:c>
      <x:c r="C101" s="44" t="str">
        <x:f>'Evaluation Plan'!C101</x:f>
        <x:v>Put the airplane toy furthest from the crushed Coke can in the bowl.</x:v>
      </x:c>
      <x:c r="D101" s="44" t="str">
        <x:f>'Evaluation Plan'!D101</x:f>
        <x:v>Reference: crushed Coke can at table centre; airplane toy without propellers: 10 cm to robot-right of the reference; airplane toy with propellers: 24 cm to robot-left of the reference; yellow pen: at the far robot-left corner, outside the distance comparison; crushed Pepsi can: at the far robot-right corner, outside the distance comparison; Bowl: empty</x:v>
      </x:c>
      <x:c r="E101" s="45" t="str">
        <x:f>'Evaluation Plan'!E101</x:f>
      </x:c>
      <x:c r="F101" s="45" t="str">
        <x:f>'Evaluation Plan'!F101</x:f>
        <x:v>566</x:v>
      </x:c>
      <x:c r="G101" s="44" t="str">
        <x:f>'Evaluation Plan'!G101</x:f>
        <x:v>Masked source trajectory: the target identity and physical manipulation are trained under a direct-name prompt, while this relation × candidate-category composition is intentionally absent.</x:v>
      </x:c>
      <x:c r="H101" s="44" t="str">
        <x:f>'Evaluation Plan'!H101</x:f>
        <x:v>airplane toy with propellers</x:v>
      </x:c>
      <x:c r="I101" s="44" t="str"/>
      <x:c r="J101" s="46" t="str">
        <x:f>'Evaluation Plan'!J101</x:f>
        <x:v>Concept/compositional transfer</x:v>
      </x:c>
      <x:c r="K101" s="45" t="str">
        <x:f>'Evaluation Plan'!K101</x:f>
        <x:v>RD-CT40</x:v>
      </x:c>
      <x:c r="L101" s="45" t="str">
        <x:f>'Evaluation Plan'!L101</x:f>
        <x:v>furthest</x:v>
      </x:c>
      <x:c r="M101" s="45" t="str">
        <x:f>'Evaluation Plan'!M101</x:f>
        <x:v>airplane toy</x:v>
      </x:c>
      <x:c r="N101" s="45" t="n">
        <x:f>'Evaluation Plan'!N101</x:f>
        <x:v>5</x:v>
      </x:c>
      <x:c r="O101" s="45" t="n">
        <x:f>'Evaluation Plan'!O101</x:f>
        <x:v>1</x:v>
      </x:c>
      <x:c r="P101" s="45" t="str">
        <x:f>'Evaluation Plan'!P101</x:f>
        <x:v>Empty</x:v>
      </x:c>
      <x:c r="Q101" s="44" t="str">
        <x:f>'Evaluation Plan'!Q101</x:f>
        <x:v>Primary held-out relation × candidate-category composition — Put</x:v>
      </x:c>
      <x:c r="R101" s="45" t="n">
        <x:f>'Evaluation Plan'!R101</x:f>
        <x:v>4</x:v>
      </x:c>
      <x:c r="S101" s="44" t="str">
        <x:f>'Evaluation Plan'!S101</x:f>
        <x:v>Build the listed relation scene with the bowl empty.</x:v>
      </x:c>
      <x:c r="T101" s="44" t="str">
        <x:f>'Evaluation Plan'!T101</x:f>
        <x:v>Both candidates are present. The held-out relation is the only information that identifies the target.</x:v>
      </x:c>
      <x:c r="U101" s="44" t="n">
        <x:f>'Evaluation Plan'!U101</x:f>
        <x:v>0</x:v>
      </x:c>
    </x:row>
    <x:row r="102" ht="51" customHeight="1">
      <x:c r="A102" s="41" t="str">
        <x:v>Not collected</x:v>
      </x:c>
      <x:c r="B102" s="42" t="n">
        <x:f>'Evaluation Plan'!B102</x:f>
        <x:v>100</x:v>
      </x:c>
      <x:c r="C102" s="41" t="str">
        <x:f>'Evaluation Plan'!C102</x:f>
        <x:v>Put the crushed soda can closest to the airplane toy with propellers in the bowl.</x:v>
      </x:c>
      <x:c r="D102" s="41" t="str">
        <x:f>'Evaluation Plan'!D102</x:f>
        <x:v>Reference: airplane toy with propellers at table centre; crushed Coke can: 10 cm to robot-right of the reference; crushed Pepsi can: 24 cm to robot-left of the reference; red pencil sharpener: at the far robot-left corner, outside the distance comparison; green pen: at the far robot-right corner, outside the distance comparison; Bowl: empty</x:v>
      </x:c>
      <x:c r="E102" s="42" t="str">
        <x:f>'Evaluation Plan'!E102</x:f>
      </x:c>
      <x:c r="F102" s="42" t="str">
        <x:f>'Evaluation Plan'!F102</x:f>
        <x:v>414</x:v>
      </x:c>
      <x:c r="G102" s="41" t="str">
        <x:f>'Evaluation Plan'!G102</x:f>
        <x:v>Masked source trajectory: the target identity and physical manipulation are trained under a direct-name prompt, while this relation × candidate-category composition is intentionally absent.</x:v>
      </x:c>
      <x:c r="H102" s="41" t="str">
        <x:f>'Evaluation Plan'!H102</x:f>
        <x:v>crushed Coke can</x:v>
      </x:c>
      <x:c r="I102" s="41" t="str"/>
      <x:c r="J102" s="46" t="str">
        <x:f>'Evaluation Plan'!J102</x:f>
        <x:v>Concept/compositional transfer</x:v>
      </x:c>
      <x:c r="K102" s="42" t="str">
        <x:f>'Evaluation Plan'!K102</x:f>
        <x:v>RD-CT41</x:v>
      </x:c>
      <x:c r="L102" s="42" t="str">
        <x:f>'Evaluation Plan'!L102</x:f>
        <x:v>closest</x:v>
      </x:c>
      <x:c r="M102" s="42" t="str">
        <x:f>'Evaluation Plan'!M102</x:f>
        <x:v>crushed soda can</x:v>
      </x:c>
      <x:c r="N102" s="42" t="n">
        <x:f>'Evaluation Plan'!N102</x:f>
        <x:v>5</x:v>
      </x:c>
      <x:c r="O102" s="42" t="n">
        <x:f>'Evaluation Plan'!O102</x:f>
        <x:v>1</x:v>
      </x:c>
      <x:c r="P102" s="42" t="str">
        <x:f>'Evaluation Plan'!P102</x:f>
        <x:v>Empty</x:v>
      </x:c>
      <x:c r="Q102" s="41" t="str">
        <x:f>'Evaluation Plan'!Q102</x:f>
        <x:v>Primary held-out relation × candidate-category composition — Put</x:v>
      </x:c>
      <x:c r="R102" s="42" t="n">
        <x:f>'Evaluation Plan'!R102</x:f>
        <x:v>4</x:v>
      </x:c>
      <x:c r="S102" s="41" t="str">
        <x:f>'Evaluation Plan'!S102</x:f>
        <x:v>Build the listed relation scene with the bowl empty.</x:v>
      </x:c>
      <x:c r="T102" s="41" t="str">
        <x:f>'Evaluation Plan'!T102</x:f>
        <x:v>Both candidates are present. The held-out relation is the only information that identifies the target.</x:v>
      </x:c>
      <x:c r="U102" s="41" t="n">
        <x:f>'Evaluation Plan'!U102</x:f>
        <x:v>0</x:v>
      </x:c>
    </x:row>
    <x:row r="103" ht="51" customHeight="1">
      <x:c r="A103" s="44" t="str">
        <x:v>Not collected</x:v>
      </x:c>
      <x:c r="B103" s="45" t="n">
        <x:f>'Evaluation Plan'!B103</x:f>
        <x:v>101</x:v>
      </x:c>
      <x:c r="C103" s="44" t="str">
        <x:f>'Evaluation Plan'!C103</x:f>
        <x:v>Put the pencil sharpener between the airplane toy with propellers and the yellow pen in the bowl.</x:v>
      </x:c>
      <x:c r="D103" s="44" t="str">
        <x:f>'Evaluation Plan'!D103</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airplane toy without propellers: at the far robot-left corner, outside the distance comparison; Bowl: empty</x:v>
      </x:c>
      <x:c r="E103" s="45" t="str">
        <x:f>'Evaluation Plan'!E103</x:f>
      </x:c>
      <x:c r="F103" s="45" t="str">
        <x:f>'Evaluation Plan'!F103</x:f>
        <x:v>495</x:v>
      </x:c>
      <x:c r="G103" s="44" t="str">
        <x:f>'Evaluation Plan'!G103</x:f>
        <x:v>Masked source trajectory: the target identity and physical manipulation are trained under a direct-name prompt, while this relation × candidate-category composition is intentionally absent.</x:v>
      </x:c>
      <x:c r="H103" s="44" t="str">
        <x:f>'Evaluation Plan'!H103</x:f>
        <x:v>green pencil sharpener</x:v>
      </x:c>
      <x:c r="I103" s="44" t="str"/>
      <x:c r="J103" s="46" t="str">
        <x:f>'Evaluation Plan'!J103</x:f>
        <x:v>Concept/compositional transfer</x:v>
      </x:c>
      <x:c r="K103" s="45" t="str">
        <x:f>'Evaluation Plan'!K103</x:f>
        <x:v>RD-CT42</x:v>
      </x:c>
      <x:c r="L103" s="45" t="str">
        <x:f>'Evaluation Plan'!L103</x:f>
        <x:v>between</x:v>
      </x:c>
      <x:c r="M103" s="45" t="str">
        <x:f>'Evaluation Plan'!M103</x:f>
        <x:v>pencil sharpener</x:v>
      </x:c>
      <x:c r="N103" s="45" t="n">
        <x:f>'Evaluation Plan'!N103</x:f>
        <x:v>5</x:v>
      </x:c>
      <x:c r="O103" s="45" t="n">
        <x:f>'Evaluation Plan'!O103</x:f>
        <x:v>1</x:v>
      </x:c>
      <x:c r="P103" s="45" t="str">
        <x:f>'Evaluation Plan'!P103</x:f>
        <x:v>Empty</x:v>
      </x:c>
      <x:c r="Q103" s="44" t="str">
        <x:f>'Evaluation Plan'!Q103</x:f>
        <x:v>Primary held-out relation × candidate-category composition — Put</x:v>
      </x:c>
      <x:c r="R103" s="45" t="n">
        <x:f>'Evaluation Plan'!R103</x:f>
        <x:v>4</x:v>
      </x:c>
      <x:c r="S103" s="44" t="str">
        <x:f>'Evaluation Plan'!S103</x:f>
        <x:v>Build the listed relation scene with the bowl empty.</x:v>
      </x:c>
      <x:c r="T103" s="44" t="str">
        <x:f>'Evaluation Plan'!T103</x:f>
        <x:v>Both candidates are present. The held-out relation is the only information that identifies the target.</x:v>
      </x:c>
      <x:c r="U103" s="44" t="n">
        <x:f>'Evaluation Plan'!U103</x:f>
        <x:v>0</x:v>
      </x:c>
    </x:row>
    <x:row r="104" ht="51" customHeight="1">
      <x:c r="A104" s="41" t="str">
        <x:v>Not collected</x:v>
      </x:c>
      <x:c r="B104" s="42" t="n">
        <x:f>'Evaluation Plan'!B104</x:f>
        <x:v>102</x:v>
      </x:c>
      <x:c r="C104" s="41" t="str">
        <x:f>'Evaluation Plan'!C104</x:f>
        <x:v>Move the airplane toy furthest from the green pencil sharpener into the bowl.</x:v>
      </x:c>
      <x:c r="D104" s="41" t="str">
        <x:f>'Evaluation Plan'!D104</x:f>
        <x:v>Reference: green pencil sharpener at table centre; airplane toy with propellers: 10 cm toward the robot from the reference; airplane toy without propellers: 24 cm away from the robot from the reference; red pencil sharpener: at the far robot-left corner, outside the distance comparison; green pen: at the far robot-right corner, outside the distance comparison; Bowl: empty</x:v>
      </x:c>
      <x:c r="E104" s="42" t="str">
        <x:f>'Evaluation Plan'!E104</x:f>
      </x:c>
      <x:c r="F104" s="42" t="str">
        <x:f>'Evaluation Plan'!F104</x:f>
        <x:v>577</x:v>
      </x:c>
      <x:c r="G104" s="41" t="str">
        <x:f>'Evaluation Plan'!G104</x:f>
        <x:v>Masked source trajectory: the target identity and physical manipulation are trained under a direct-name prompt, while this relation × candidate-category composition is intentionally absent.</x:v>
      </x:c>
      <x:c r="H104" s="41" t="str">
        <x:f>'Evaluation Plan'!H104</x:f>
        <x:v>airplane toy without propellers</x:v>
      </x:c>
      <x:c r="I104" s="41" t="str"/>
      <x:c r="J104" s="46" t="str">
        <x:f>'Evaluation Plan'!J104</x:f>
        <x:v>Concept/compositional transfer</x:v>
      </x:c>
      <x:c r="K104" s="42" t="str">
        <x:f>'Evaluation Plan'!K104</x:f>
        <x:v>RD-CT43</x:v>
      </x:c>
      <x:c r="L104" s="42" t="str">
        <x:f>'Evaluation Plan'!L104</x:f>
        <x:v>furthest</x:v>
      </x:c>
      <x:c r="M104" s="42" t="str">
        <x:f>'Evaluation Plan'!M104</x:f>
        <x:v>airplane toy</x:v>
      </x:c>
      <x:c r="N104" s="42" t="n">
        <x:f>'Evaluation Plan'!N104</x:f>
        <x:v>5</x:v>
      </x:c>
      <x:c r="O104" s="42" t="n">
        <x:f>'Evaluation Plan'!O104</x:f>
        <x:v>1</x:v>
      </x:c>
      <x:c r="P104" s="42" t="str">
        <x:f>'Evaluation Plan'!P104</x:f>
        <x:v>Empty</x:v>
      </x:c>
      <x:c r="Q104" s="41" t="str">
        <x:f>'Evaluation Plan'!Q104</x:f>
        <x:v>Primary held-out relation × candidate-category composition — Move</x:v>
      </x:c>
      <x:c r="R104" s="42" t="n">
        <x:f>'Evaluation Plan'!R104</x:f>
        <x:v>4</x:v>
      </x:c>
      <x:c r="S104" s="41" t="str">
        <x:f>'Evaluation Plan'!S104</x:f>
        <x:v>Build the listed relation scene with the bowl empty.</x:v>
      </x:c>
      <x:c r="T104" s="41" t="str">
        <x:f>'Evaluation Plan'!T104</x:f>
        <x:v>Both candidates are present. The held-out relation is the only information that identifies the target.</x:v>
      </x:c>
      <x:c r="U104" s="41" t="n">
        <x:f>'Evaluation Plan'!U104</x:f>
        <x:v>0</x:v>
      </x:c>
    </x:row>
    <x:row r="105" ht="51" customHeight="1">
      <x:c r="A105" s="44" t="str">
        <x:v>Not collected</x:v>
      </x:c>
      <x:c r="B105" s="45" t="n">
        <x:f>'Evaluation Plan'!B105</x:f>
        <x:v>103</x:v>
      </x:c>
      <x:c r="C105" s="44" t="str">
        <x:f>'Evaluation Plan'!C105</x:f>
        <x:v>Move the crushed soda can closest to the green pencil sharpener into the bowl.</x:v>
      </x:c>
      <x:c r="D105" s="44" t="str">
        <x:f>'Evaluation Plan'!D105</x:f>
        <x:v>Reference: green pencil sharpener at table centre; crushed Pepsi can: 10 cm toward the robot from the reference; crushed Coke can: 24 cm away from the robot from the reference; airplane toy without propellers: at the far robot-left corner, outside the distance comparison; red pencil sharpener: at the far robot-right corner, outside the distance comparison; Bowl: empty</x:v>
      </x:c>
      <x:c r="E105" s="45" t="str">
        <x:f>'Evaluation Plan'!E105</x:f>
      </x:c>
      <x:c r="F105" s="45" t="str">
        <x:f>'Evaluation Plan'!F105</x:f>
        <x:v>413</x:v>
      </x:c>
      <x:c r="G105" s="44" t="str">
        <x:f>'Evaluation Plan'!G105</x:f>
        <x:v>Masked source trajectory: the target identity and physical manipulation are trained under a direct-name prompt, while this relation × candidate-category composition is intentionally absent.</x:v>
      </x:c>
      <x:c r="H105" s="44" t="str">
        <x:f>'Evaluation Plan'!H105</x:f>
        <x:v>crushed Pepsi can</x:v>
      </x:c>
      <x:c r="I105" s="44" t="str"/>
      <x:c r="J105" s="46" t="str">
        <x:f>'Evaluation Plan'!J105</x:f>
        <x:v>Concept/compositional transfer</x:v>
      </x:c>
      <x:c r="K105" s="45" t="str">
        <x:f>'Evaluation Plan'!K105</x:f>
        <x:v>RD-CT44</x:v>
      </x:c>
      <x:c r="L105" s="45" t="str">
        <x:f>'Evaluation Plan'!L105</x:f>
        <x:v>closest</x:v>
      </x:c>
      <x:c r="M105" s="45" t="str">
        <x:f>'Evaluation Plan'!M105</x:f>
        <x:v>crushed soda can</x:v>
      </x:c>
      <x:c r="N105" s="45" t="n">
        <x:f>'Evaluation Plan'!N105</x:f>
        <x:v>5</x:v>
      </x:c>
      <x:c r="O105" s="45" t="n">
        <x:f>'Evaluation Plan'!O105</x:f>
        <x:v>1</x:v>
      </x:c>
      <x:c r="P105" s="45" t="str">
        <x:f>'Evaluation Plan'!P105</x:f>
        <x:v>Empty</x:v>
      </x:c>
      <x:c r="Q105" s="44" t="str">
        <x:f>'Evaluation Plan'!Q105</x:f>
        <x:v>Primary held-out relation × candidate-category composition — Move</x:v>
      </x:c>
      <x:c r="R105" s="45" t="n">
        <x:f>'Evaluation Plan'!R105</x:f>
        <x:v>4</x:v>
      </x:c>
      <x:c r="S105" s="44" t="str">
        <x:f>'Evaluation Plan'!S105</x:f>
        <x:v>Build the listed relation scene with the bowl empty.</x:v>
      </x:c>
      <x:c r="T105" s="44" t="str">
        <x:f>'Evaluation Plan'!T105</x:f>
        <x:v>Both candidates are present. The held-out relation is the only information that identifies the target.</x:v>
      </x:c>
      <x:c r="U105" s="44" t="n">
        <x:f>'Evaluation Plan'!U105</x:f>
        <x:v>0</x:v>
      </x:c>
    </x:row>
    <x:row r="106" ht="51" customHeight="1">
      <x:c r="A106" s="41" t="str">
        <x:v>Not collected</x:v>
      </x:c>
      <x:c r="B106" s="42" t="n">
        <x:f>'Evaluation Plan'!B106</x:f>
        <x:v>104</x:v>
      </x:c>
      <x:c r="C106" s="41" t="str">
        <x:f>'Evaluation Plan'!C106</x:f>
        <x:v>Move the pencil sharpener between the crushed Pepsi can and the airplane toy without propellers into the bowl.</x:v>
      </x:c>
      <x:c r="D106" s="41" t="str">
        <x:f>'Evaluation Plan'!D106</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yellow pen: at the far robot-left corner, outside the distance comparison; Bowl: empty</x:v>
      </x:c>
      <x:c r="E106" s="42" t="str">
        <x:f>'Evaluation Plan'!E106</x:f>
      </x:c>
      <x:c r="F106" s="42" t="str">
        <x:f>'Evaluation Plan'!F106</x:f>
        <x:v>493</x:v>
      </x:c>
      <x:c r="G106" s="41" t="str">
        <x:f>'Evaluation Plan'!G106</x:f>
        <x:v>Masked source trajectory: the target identity and physical manipulation are trained under a direct-name prompt, while this relation × candidate-category composition is intentionally absent.</x:v>
      </x:c>
      <x:c r="H106" s="41" t="str">
        <x:f>'Evaluation Plan'!H106</x:f>
        <x:v>red pencil sharpener</x:v>
      </x:c>
      <x:c r="I106" s="41" t="str"/>
      <x:c r="J106" s="46" t="str">
        <x:f>'Evaluation Plan'!J106</x:f>
        <x:v>Concept/compositional transfer</x:v>
      </x:c>
      <x:c r="K106" s="42" t="str">
        <x:f>'Evaluation Plan'!K106</x:f>
        <x:v>RD-CT45</x:v>
      </x:c>
      <x:c r="L106" s="42" t="str">
        <x:f>'Evaluation Plan'!L106</x:f>
        <x:v>between</x:v>
      </x:c>
      <x:c r="M106" s="42" t="str">
        <x:f>'Evaluation Plan'!M106</x:f>
        <x:v>pencil sharpener</x:v>
      </x:c>
      <x:c r="N106" s="42" t="n">
        <x:f>'Evaluation Plan'!N106</x:f>
        <x:v>5</x:v>
      </x:c>
      <x:c r="O106" s="42" t="n">
        <x:f>'Evaluation Plan'!O106</x:f>
        <x:v>1</x:v>
      </x:c>
      <x:c r="P106" s="42" t="str">
        <x:f>'Evaluation Plan'!P106</x:f>
        <x:v>Empty</x:v>
      </x:c>
      <x:c r="Q106" s="41" t="str">
        <x:f>'Evaluation Plan'!Q106</x:f>
        <x:v>Primary held-out relation × candidate-category composition — Move</x:v>
      </x:c>
      <x:c r="R106" s="42" t="n">
        <x:f>'Evaluation Plan'!R106</x:f>
        <x:v>4</x:v>
      </x:c>
      <x:c r="S106" s="41" t="str">
        <x:f>'Evaluation Plan'!S106</x:f>
        <x:v>Build the listed relation scene with the bowl empty.</x:v>
      </x:c>
      <x:c r="T106" s="41" t="str">
        <x:f>'Evaluation Plan'!T106</x:f>
        <x:v>Both candidates are present. The held-out relation is the only information that identifies the target.</x:v>
      </x:c>
      <x:c r="U106" s="41" t="n">
        <x:f>'Evaluation Plan'!U106</x:f>
        <x:v>0</x:v>
      </x:c>
    </x:row>
    <x:row r="107" ht="51" customHeight="1">
      <x:c r="A107" s="44" t="str">
        <x:v>Not collected</x:v>
      </x:c>
      <x:c r="B107" s="45" t="n">
        <x:f>'Evaluation Plan'!B107</x:f>
        <x:v>105</x:v>
      </x:c>
      <x:c r="C107" s="44" t="str">
        <x:f>'Evaluation Plan'!C107</x:f>
        <x:v>Pick up the airplane toy furthest from the yellow pen and place it in the bowl.</x:v>
      </x:c>
      <x:c r="D107" s="44" t="str">
        <x:f>'Evaluation Plan'!D107</x:f>
        <x:v>Reference: yellow pen at table centre; airplane toy with propellers: 10 cm away from the robot from the reference; airplane toy without propellers: 24 cm toward the robot from the reference; crushed Coke can: at the far robot-left corner, outside the distance comparison; crushed Pepsi can: at the far robot-right corner, outside the distance comparison; Bowl: empty</x:v>
      </x:c>
      <x:c r="E107" s="45" t="str">
        <x:f>'Evaluation Plan'!E107</x:f>
      </x:c>
      <x:c r="F107" s="45" t="str">
        <x:f>'Evaluation Plan'!F107</x:f>
        <x:v>579</x:v>
      </x:c>
      <x:c r="G107" s="44" t="str">
        <x:f>'Evaluation Plan'!G107</x:f>
        <x:v>Masked source trajectory: the target identity and physical manipulation are trained under a direct-name prompt, while this relation × candidate-category composition is intentionally absent.</x:v>
      </x:c>
      <x:c r="H107" s="44" t="str">
        <x:f>'Evaluation Plan'!H107</x:f>
        <x:v>airplane toy without propellers</x:v>
      </x:c>
      <x:c r="I107" s="44" t="str"/>
      <x:c r="J107" s="46" t="str">
        <x:f>'Evaluation Plan'!J107</x:f>
        <x:v>Concept/compositional transfer</x:v>
      </x:c>
      <x:c r="K107" s="45" t="str">
        <x:f>'Evaluation Plan'!K107</x:f>
        <x:v>RD-CT46</x:v>
      </x:c>
      <x:c r="L107" s="45" t="str">
        <x:f>'Evaluation Plan'!L107</x:f>
        <x:v>furthest</x:v>
      </x:c>
      <x:c r="M107" s="45" t="str">
        <x:f>'Evaluation Plan'!M107</x:f>
        <x:v>airplane toy</x:v>
      </x:c>
      <x:c r="N107" s="45" t="n">
        <x:f>'Evaluation Plan'!N107</x:f>
        <x:v>5</x:v>
      </x:c>
      <x:c r="O107" s="45" t="n">
        <x:f>'Evaluation Plan'!O107</x:f>
        <x:v>1</x:v>
      </x:c>
      <x:c r="P107" s="45" t="str">
        <x:f>'Evaluation Plan'!P107</x:f>
        <x:v>Empty</x:v>
      </x:c>
      <x:c r="Q107" s="44" t="str">
        <x:f>'Evaluation Plan'!Q107</x:f>
        <x:v>Primary held-out relation × candidate-category composition — Pick up</x:v>
      </x:c>
      <x:c r="R107" s="45" t="n">
        <x:f>'Evaluation Plan'!R107</x:f>
        <x:v>4</x:v>
      </x:c>
      <x:c r="S107" s="44" t="str">
        <x:f>'Evaluation Plan'!S107</x:f>
        <x:v>Build the listed relation scene with the bowl empty.</x:v>
      </x:c>
      <x:c r="T107" s="44" t="str">
        <x:f>'Evaluation Plan'!T107</x:f>
        <x:v>Both candidates are present. The held-out relation is the only information that identifies the target.</x:v>
      </x:c>
      <x:c r="U107" s="44" t="n">
        <x:f>'Evaluation Plan'!U107</x:f>
        <x:v>0</x:v>
      </x:c>
    </x:row>
    <x:row r="108" ht="51" customHeight="1">
      <x:c r="A108" s="41" t="str">
        <x:v>Not collected</x:v>
      </x:c>
      <x:c r="B108" s="42" t="n">
        <x:f>'Evaluation Plan'!B108</x:f>
        <x:v>106</x:v>
      </x:c>
      <x:c r="C108" s="41" t="str">
        <x:f>'Evaluation Plan'!C108</x:f>
        <x:v>Pick up the crushed soda can closest to the yellow pen and place it in the bowl.</x:v>
      </x:c>
      <x:c r="D108" s="41" t="str">
        <x:f>'Evaluation Plan'!D108</x:f>
        <x:v>Reference: yellow pen at table centre; crushed Pepsi can: 10 cm away from the robot from the reference; crushed Coke can: 24 cm toward the robot from the reference; green pen: at the far robot-left corner, outside the distance comparison; airplane toy with propellers: at the far robot-right corner, outside the distance comparison; Bowl: empty</x:v>
      </x:c>
      <x:c r="E108" s="42" t="str">
        <x:f>'Evaluation Plan'!E108</x:f>
      </x:c>
      <x:c r="F108" s="42" t="str">
        <x:f>'Evaluation Plan'!F108</x:f>
        <x:v>401</x:v>
      </x:c>
      <x:c r="G108" s="41" t="str">
        <x:f>'Evaluation Plan'!G108</x:f>
        <x:v>Masked source trajectory: the target identity and physical manipulation are trained under a direct-name prompt, while this relation × candidate-category composition is intentionally absent.</x:v>
      </x:c>
      <x:c r="H108" s="41" t="str">
        <x:f>'Evaluation Plan'!H108</x:f>
        <x:v>crushed Pepsi can</x:v>
      </x:c>
      <x:c r="I108" s="41" t="str"/>
      <x:c r="J108" s="46" t="str">
        <x:f>'Evaluation Plan'!J108</x:f>
        <x:v>Concept/compositional transfer</x:v>
      </x:c>
      <x:c r="K108" s="42" t="str">
        <x:f>'Evaluation Plan'!K108</x:f>
        <x:v>RD-CT47</x:v>
      </x:c>
      <x:c r="L108" s="42" t="str">
        <x:f>'Evaluation Plan'!L108</x:f>
        <x:v>closest</x:v>
      </x:c>
      <x:c r="M108" s="42" t="str">
        <x:f>'Evaluation Plan'!M108</x:f>
        <x:v>crushed soda can</x:v>
      </x:c>
      <x:c r="N108" s="42" t="n">
        <x:f>'Evaluation Plan'!N108</x:f>
        <x:v>5</x:v>
      </x:c>
      <x:c r="O108" s="42" t="n">
        <x:f>'Evaluation Plan'!O108</x:f>
        <x:v>1</x:v>
      </x:c>
      <x:c r="P108" s="42" t="str">
        <x:f>'Evaluation Plan'!P108</x:f>
        <x:v>Empty</x:v>
      </x:c>
      <x:c r="Q108" s="41" t="str">
        <x:f>'Evaluation Plan'!Q108</x:f>
        <x:v>Primary held-out relation × candidate-category composition — Pick up</x:v>
      </x:c>
      <x:c r="R108" s="42" t="n">
        <x:f>'Evaluation Plan'!R108</x:f>
        <x:v>4</x:v>
      </x:c>
      <x:c r="S108" s="41" t="str">
        <x:f>'Evaluation Plan'!S108</x:f>
        <x:v>Build the listed relation scene with the bowl empty.</x:v>
      </x:c>
      <x:c r="T108" s="41" t="str">
        <x:f>'Evaluation Plan'!T108</x:f>
        <x:v>Both candidates are present. The held-out relation is the only information that identifies the target.</x:v>
      </x:c>
      <x:c r="U108" s="41" t="n">
        <x:f>'Evaluation Plan'!U108</x:f>
        <x:v>0</x:v>
      </x:c>
    </x:row>
    <x:row r="109" ht="51" customHeight="1">
      <x:c r="A109" s="44" t="str">
        <x:v>Not collected</x:v>
      </x:c>
      <x:c r="B109" s="45" t="n">
        <x:f>'Evaluation Plan'!B109</x:f>
        <x:v>107</x:v>
      </x:c>
      <x:c r="C109" s="44" t="str">
        <x:f>'Evaluation Plan'!C109</x:f>
        <x:v>Pick up the pencil sharpener between the green pen and the crushed Coke can and place it in the bowl.</x:v>
      </x:c>
      <x:c r="D109" s="44" t="str">
        <x:f>'Evaluation Plan'!D109</x:f>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yellow pen: at the far robot-left corner, outside the distance comparison; Bowl: empty</x:v>
      </x:c>
      <x:c r="E109" s="45" t="str">
        <x:f>'Evaluation Plan'!E109</x:f>
      </x:c>
      <x:c r="F109" s="45" t="str">
        <x:f>'Evaluation Plan'!F109</x:f>
        <x:v>494</x:v>
      </x:c>
      <x:c r="G109" s="44" t="str">
        <x:f>'Evaluation Plan'!G109</x:f>
        <x:v>Masked source trajectory: the target identity and physical manipulation are trained under a direct-name prompt, while this relation × candidate-category composition is intentionally absent.</x:v>
      </x:c>
      <x:c r="H109" s="44" t="str">
        <x:f>'Evaluation Plan'!H109</x:f>
        <x:v>red pencil sharpener</x:v>
      </x:c>
      <x:c r="I109" s="44" t="str"/>
      <x:c r="J109" s="46" t="str">
        <x:f>'Evaluation Plan'!J109</x:f>
        <x:v>Concept/compositional transfer</x:v>
      </x:c>
      <x:c r="K109" s="45" t="str">
        <x:f>'Evaluation Plan'!K109</x:f>
        <x:v>RD-CT48</x:v>
      </x:c>
      <x:c r="L109" s="45" t="str">
        <x:f>'Evaluation Plan'!L109</x:f>
        <x:v>between</x:v>
      </x:c>
      <x:c r="M109" s="45" t="str">
        <x:f>'Evaluation Plan'!M109</x:f>
        <x:v>pencil sharpener</x:v>
      </x:c>
      <x:c r="N109" s="45" t="n">
        <x:f>'Evaluation Plan'!N109</x:f>
        <x:v>5</x:v>
      </x:c>
      <x:c r="O109" s="45" t="n">
        <x:f>'Evaluation Plan'!O109</x:f>
        <x:v>1</x:v>
      </x:c>
      <x:c r="P109" s="45" t="str">
        <x:f>'Evaluation Plan'!P109</x:f>
        <x:v>Empty</x:v>
      </x:c>
      <x:c r="Q109" s="44" t="str">
        <x:f>'Evaluation Plan'!Q109</x:f>
        <x:v>Primary held-out relation × candidate-category composition — Pick up</x:v>
      </x:c>
      <x:c r="R109" s="45" t="n">
        <x:f>'Evaluation Plan'!R109</x:f>
        <x:v>4</x:v>
      </x:c>
      <x:c r="S109" s="44" t="str">
        <x:f>'Evaluation Plan'!S109</x:f>
        <x:v>Build the listed relation scene with the bowl empty.</x:v>
      </x:c>
      <x:c r="T109" s="44" t="str">
        <x:f>'Evaluation Plan'!T109</x:f>
        <x:v>Both candidates are present. The held-out relation is the only information that identifies the target.</x:v>
      </x:c>
      <x:c r="U109" s="44" t="n">
        <x:f>'Evaluation Plan'!U109</x:f>
        <x:v>0</x:v>
      </x:c>
    </x:row>
    <x:row r="110" ht="51" customHeight="1">
      <x:c r="A110" s="41" t="str">
        <x:v>Not collected</x:v>
      </x:c>
      <x:c r="B110" s="42" t="n">
        <x:f>'Evaluation Plan'!B110</x:f>
        <x:v>108</x:v>
      </x:c>
      <x:c r="C110" s="41" t="str">
        <x:f>'Evaluation Plan'!C110</x:f>
        <x:v>Put the airplane toy furthest from the crushed Pepsi can in the bowl.</x:v>
      </x:c>
      <x:c r="D110" s="41" t="str">
        <x:f>'Evaluation Plan'!D110</x:f>
        <x:v>Reference: crushed Pepsi can at table centre; airplane toy without propellers: 10 cm toward robot-left from the reference; airplane toy with propellers: 24 cm away toward robot-right from the reference; green pen: at the far robot-left corner, outside the distance comparison; yellow pen: at the far robot-right corner, outside the distance comparison; Bowl: empty</x:v>
      </x:c>
      <x:c r="E110" s="42" t="str">
        <x:f>'Evaluation Plan'!E110</x:f>
      </x:c>
      <x:c r="F110" s="42" t="str">
        <x:f>'Evaluation Plan'!F110</x:f>
        <x:v>568</x:v>
      </x:c>
      <x:c r="G110" s="41" t="str">
        <x:f>'Evaluation Plan'!G110</x:f>
        <x:v>Masked source trajectory: the target identity and physical manipulation are trained under a direct-name prompt, while this relation × candidate-category composition is intentionally absent.</x:v>
      </x:c>
      <x:c r="H110" s="41" t="str">
        <x:f>'Evaluation Plan'!H110</x:f>
        <x:v>airplane toy with propellers</x:v>
      </x:c>
      <x:c r="I110" s="41" t="str"/>
      <x:c r="J110" s="46" t="str">
        <x:f>'Evaluation Plan'!J110</x:f>
        <x:v>Concept/compositional transfer</x:v>
      </x:c>
      <x:c r="K110" s="42" t="str">
        <x:f>'Evaluation Plan'!K110</x:f>
        <x:v>RD-CT49</x:v>
      </x:c>
      <x:c r="L110" s="42" t="str">
        <x:f>'Evaluation Plan'!L110</x:f>
        <x:v>furthest</x:v>
      </x:c>
      <x:c r="M110" s="42" t="str">
        <x:f>'Evaluation Plan'!M110</x:f>
        <x:v>airplane toy</x:v>
      </x:c>
      <x:c r="N110" s="42" t="n">
        <x:f>'Evaluation Plan'!N110</x:f>
        <x:v>5</x:v>
      </x:c>
      <x:c r="O110" s="42" t="n">
        <x:f>'Evaluation Plan'!O110</x:f>
        <x:v>1</x:v>
      </x:c>
      <x:c r="P110" s="42" t="str">
        <x:f>'Evaluation Plan'!P110</x:f>
        <x:v>Empty</x:v>
      </x:c>
      <x:c r="Q110" s="41" t="str">
        <x:f>'Evaluation Plan'!Q110</x:f>
        <x:v>Primary held-out relation × candidate-category composition — Put</x:v>
      </x:c>
      <x:c r="R110" s="42" t="n">
        <x:f>'Evaluation Plan'!R110</x:f>
        <x:v>4</x:v>
      </x:c>
      <x:c r="S110" s="41" t="str">
        <x:f>'Evaluation Plan'!S110</x:f>
        <x:v>Build the listed relation scene with the bowl empty.</x:v>
      </x:c>
      <x:c r="T110" s="41" t="str">
        <x:f>'Evaluation Plan'!T110</x:f>
        <x:v>Both candidates are present. The held-out relation is the only information that identifies the target.</x:v>
      </x:c>
      <x:c r="U110" s="41" t="n">
        <x:f>'Evaluation Plan'!U110</x:f>
        <x:v>0</x:v>
      </x:c>
    </x:row>
    <x:row r="111" ht="51" customHeight="1">
      <x:c r="A111" s="44" t="str">
        <x:v>Not collected</x:v>
      </x:c>
      <x:c r="B111" s="45" t="n">
        <x:f>'Evaluation Plan'!B111</x:f>
        <x:v>109</x:v>
      </x:c>
      <x:c r="C111" s="44" t="str">
        <x:f>'Evaluation Plan'!C111</x:f>
        <x:v>Put the crushed soda can closest to the airplane toy without propellers in the bowl.</x:v>
      </x:c>
      <x:c r="D111" s="44" t="str">
        <x:f>'Evaluation Plan'!D111</x:f>
        <x:v>Reference: airplane toy without propellers at table centre; crushed Coke can: 10 cm toward robot-left from the reference; crushed Pepsi can: 24 cm away toward robot-right from the reference; green pencil sharpener: at the far robot-left corner, outside the distance comparison; red pencil sharpener: at the far robot-right corner, outside the distance comparison; Bowl: empty</x:v>
      </x:c>
      <x:c r="E111" s="45" t="str">
        <x:f>'Evaluation Plan'!E111</x:f>
      </x:c>
      <x:c r="F111" s="45" t="str">
        <x:f>'Evaluation Plan'!F111</x:f>
        <x:v>400</x:v>
      </x:c>
      <x:c r="G111" s="44" t="str">
        <x:f>'Evaluation Plan'!G111</x:f>
        <x:v>Masked source trajectory: the target identity and physical manipulation are trained under a direct-name prompt, while this relation × candidate-category composition is intentionally absent.</x:v>
      </x:c>
      <x:c r="H111" s="44" t="str">
        <x:f>'Evaluation Plan'!H111</x:f>
        <x:v>crushed Coke can</x:v>
      </x:c>
      <x:c r="I111" s="44" t="str"/>
      <x:c r="J111" s="46" t="str">
        <x:f>'Evaluation Plan'!J111</x:f>
        <x:v>Concept/compositional transfer</x:v>
      </x:c>
      <x:c r="K111" s="45" t="str">
        <x:f>'Evaluation Plan'!K111</x:f>
        <x:v>RD-CT50</x:v>
      </x:c>
      <x:c r="L111" s="45" t="str">
        <x:f>'Evaluation Plan'!L111</x:f>
        <x:v>closest</x:v>
      </x:c>
      <x:c r="M111" s="45" t="str">
        <x:f>'Evaluation Plan'!M111</x:f>
        <x:v>crushed soda can</x:v>
      </x:c>
      <x:c r="N111" s="45" t="n">
        <x:f>'Evaluation Plan'!N111</x:f>
        <x:v>5</x:v>
      </x:c>
      <x:c r="O111" s="45" t="n">
        <x:f>'Evaluation Plan'!O111</x:f>
        <x:v>1</x:v>
      </x:c>
      <x:c r="P111" s="45" t="str">
        <x:f>'Evaluation Plan'!P111</x:f>
        <x:v>Empty</x:v>
      </x:c>
      <x:c r="Q111" s="44" t="str">
        <x:f>'Evaluation Plan'!Q111</x:f>
        <x:v>Primary held-out relation × candidate-category composition — Put</x:v>
      </x:c>
      <x:c r="R111" s="45" t="n">
        <x:f>'Evaluation Plan'!R111</x:f>
        <x:v>4</x:v>
      </x:c>
      <x:c r="S111" s="44" t="str">
        <x:f>'Evaluation Plan'!S111</x:f>
        <x:v>Build the listed relation scene with the bowl empty.</x:v>
      </x:c>
      <x:c r="T111" s="44" t="str">
        <x:f>'Evaluation Plan'!T111</x:f>
        <x:v>Both candidates are present. The held-out relation is the only information that identifies the target.</x:v>
      </x:c>
      <x:c r="U111" s="44" t="n">
        <x:f>'Evaluation Plan'!U111</x:f>
        <x:v>0</x:v>
      </x:c>
    </x:row>
    <x:row r="112" ht="51" customHeight="1">
      <x:c r="A112" s="41" t="str">
        <x:v>Not collected</x:v>
      </x:c>
      <x:c r="B112" s="42" t="n">
        <x:f>'Evaluation Plan'!B112</x:f>
        <x:v>110</x:v>
      </x:c>
      <x:c r="C112" s="41" t="str">
        <x:f>'Evaluation Plan'!C112</x:f>
        <x:v>Pick up the block closest to the crushed Coke can and place it in the bowl.</x:v>
      </x:c>
      <x:c r="D112" s="41" t="str">
        <x:f>'Evaluation Plan'!D112</x:f>
        <x:v>Reference: crushed Coke can at table centre; green block: 10 cm toward the robot from the reference; blue block: 24 cm away from the robot from the reference; airplane toy with propellers: at the far robot-left corner, outside the distance comparison; Bowl: empty</x:v>
      </x:c>
      <x:c r="E112" s="42" t="str">
        <x:f>'Evaluation Plan'!E112</x:f>
      </x:c>
      <x:c r="F112" s="42" t="str">
        <x:f>'Evaluation Plan'!F112</x:f>
        <x:v>500; 1075; 350</x:v>
      </x:c>
      <x:c r="G112" s="41" t="str">
        <x:f>'Evaluation Plan'!G112</x:f>
        <x:v>Relation grounding is explicit in Referential Disambiguation, and both block identities are manipulated elsewhere in fine-tuning; block × referential-relation is absent.</x:v>
      </x:c>
      <x:c r="H112" s="41" t="str">
        <x:f>'Evaluation Plan'!H112</x:f>
        <x:v>green block</x:v>
      </x:c>
      <x:c r="I112" s="41" t="str"/>
      <x:c r="J112" s="47" t="str">
        <x:f>'Evaluation Plan'!J112</x:f>
        <x:v>Cross-task block reasoning</x:v>
      </x:c>
      <x:c r="K112" s="42" t="str">
        <x:f>'Evaluation Plan'!K112</x:f>
        <x:v>RD-BLOCK01</x:v>
      </x:c>
      <x:c r="L112" s="42" t="str">
        <x:f>'Evaluation Plan'!L112</x:f>
        <x:v>closest</x:v>
      </x:c>
      <x:c r="M112" s="42" t="str">
        <x:f>'Evaluation Plan'!M112</x:f>
        <x:v>block</x:v>
      </x:c>
      <x:c r="N112" s="42" t="n">
        <x:f>'Evaluation Plan'!N112</x:f>
        <x:v>4</x:v>
      </x:c>
      <x:c r="O112" s="42" t="n">
        <x:f>'Evaluation Plan'!O112</x:f>
        <x:v>1</x:v>
      </x:c>
      <x:c r="P112" s="42" t="str">
        <x:f>'Evaluation Plan'!P112</x:f>
        <x:v>Empty</x:v>
      </x:c>
      <x:c r="Q112" s="41" t="str">
        <x:f>'Evaluation Plan'!Q112</x:f>
        <x:v>Cross-task block candidate pair — closest</x:v>
      </x:c>
      <x:c r="R112" s="42" t="n">
        <x:f>'Evaluation Plan'!R112</x:f>
        <x:v>5</x:v>
      </x:c>
      <x:c r="S112" s="41" t="str">
        <x:f>'Evaluation Plan'!S112</x:f>
        <x:v>Build the listed four-object block scene with the bowl empty.</x:v>
      </x:c>
      <x:c r="T112" s="41" t="str">
        <x:f>'Evaluation Plan'!T112</x:f>
        <x:v>Reasoning-only cross-task diagnostic; no direct-name block control is included.</x:v>
      </x:c>
      <x:c r="U112" s="41" t="n">
        <x:f>'Evaluation Plan'!U112</x:f>
        <x:v>0</x:v>
      </x:c>
    </x:row>
    <x:row r="113" ht="51" customHeight="1">
      <x:c r="A113" s="32" t="str">
        <x:v>Not collected</x:v>
      </x:c>
      <x:c r="B113" s="34" t="n">
        <x:f>'Evaluation Plan'!B113</x:f>
        <x:v>111</x:v>
      </x:c>
      <x:c r="C113" s="32" t="str">
        <x:f>'Evaluation Plan'!C113</x:f>
        <x:v>Put the block furthest from the crushed Coke can in the bowl.</x:v>
      </x:c>
      <x:c r="D113" s="32" t="str">
        <x:f>'Evaluation Plan'!D113</x:f>
        <x:v>Reference: crushed Coke can at table centre; green block: 10 cm toward the robot from the reference; blue block: 24 cm away from the robot from the reference; airplane toy with propellers: at the far robot-left corner, outside the distance comparison; Bowl: empty</x:v>
      </x:c>
      <x:c r="E113" s="34" t="n">
        <x:f>'Evaluation Plan'!E113</x:f>
        <x:v>110</x:v>
      </x:c>
      <x:c r="F113" s="34" t="str">
        <x:f>'Evaluation Plan'!F113</x:f>
        <x:v>515; 1075; 350</x:v>
      </x:c>
      <x:c r="G113" s="32" t="str">
        <x:f>'Evaluation Plan'!G113</x:f>
        <x:v>Relation grounding is explicit in Referential Disambiguation, and both block identities are manipulated elsewhere in fine-tuning; block × referential-relation is absent.</x:v>
      </x:c>
      <x:c r="H113" s="32" t="str">
        <x:f>'Evaluation Plan'!H113</x:f>
        <x:v>blue block</x:v>
      </x:c>
      <x:c r="I113" s="32" t="str"/>
      <x:c r="J113" s="39" t="str">
        <x:f>'Evaluation Plan'!J113</x:f>
        <x:v>Cross-task block reasoning</x:v>
      </x:c>
      <x:c r="K113" s="34" t="str">
        <x:f>'Evaluation Plan'!K113</x:f>
        <x:v>RD-BLOCK01</x:v>
      </x:c>
      <x:c r="L113" s="34" t="str">
        <x:f>'Evaluation Plan'!L113</x:f>
        <x:v>furthest</x:v>
      </x:c>
      <x:c r="M113" s="34" t="str">
        <x:f>'Evaluation Plan'!M113</x:f>
        <x:v>block</x:v>
      </x:c>
      <x:c r="N113" s="34" t="n">
        <x:f>'Evaluation Plan'!N113</x:f>
        <x:v>4</x:v>
      </x:c>
      <x:c r="O113" s="34" t="n">
        <x:f>'Evaluation Plan'!O113</x:f>
        <x:v>1</x:v>
      </x:c>
      <x:c r="P113" s="34" t="str">
        <x:f>'Evaluation Plan'!P113</x:f>
        <x:v>Empty</x:v>
      </x:c>
      <x:c r="Q113" s="32" t="str">
        <x:f>'Evaluation Plan'!Q113</x:f>
        <x:v>Cross-task block candidate pair — furthest</x:v>
      </x:c>
      <x:c r="R113" s="34" t="n">
        <x:f>'Evaluation Plan'!R113</x:f>
        <x:v>5</x:v>
      </x:c>
      <x:c r="S113" s="32" t="str">
        <x:f>'Evaluation Plan'!S113</x:f>
        <x:v>Reset the moved block exactly; preserve the scene; change only the relation prompt.</x:v>
      </x:c>
      <x:c r="T113" s="32" t="str">
        <x:f>'Evaluation Plan'!T113</x:f>
        <x:v>Exact-scene closest/furthest counterfactual; the correct block switches.</x:v>
      </x:c>
      <x:c r="U113" s="32" t="n">
        <x:f>'Evaluation Plan'!U113</x:f>
        <x:v>0</x:v>
      </x:c>
    </x:row>
    <x:row r="114" ht="51" customHeight="1">
      <x:c r="A114" s="41" t="str">
        <x:v>Not collected</x:v>
      </x:c>
      <x:c r="B114" s="42" t="n">
        <x:f>'Evaluation Plan'!B114</x:f>
        <x:v>112</x:v>
      </x:c>
      <x:c r="C114" s="41" t="str">
        <x:f>'Evaluation Plan'!C114</x:f>
        <x:v>Put the block closest to the green pencil sharpener in the bowl.</x:v>
      </x:c>
      <x:c r="D114" s="41" t="str">
        <x:f>'Evaluation Plan'!D114</x:f>
        <x:v>Reference: green pencil sharpener at table centre; blue block: 10 cm away from the robot from the reference; green block: 24 cm toward the robot from the reference; airplane toy without propellers: at the far robot-left corner, outside the distance comparison; Bowl: empty</x:v>
      </x:c>
      <x:c r="E114" s="42" t="str">
        <x:f>'Evaluation Plan'!E114</x:f>
      </x:c>
      <x:c r="F114" s="42" t="str">
        <x:f>'Evaluation Plan'!F114</x:f>
        <x:v>500; 1075; 350</x:v>
      </x:c>
      <x:c r="G114" s="41" t="str">
        <x:f>'Evaluation Plan'!G114</x:f>
        <x:v>Relation grounding is explicit in Referential Disambiguation, and both block identities are manipulated elsewhere in fine-tuning; block × referential-relation is absent.</x:v>
      </x:c>
      <x:c r="H114" s="41" t="str">
        <x:f>'Evaluation Plan'!H114</x:f>
        <x:v>blue block</x:v>
      </x:c>
      <x:c r="I114" s="41" t="str"/>
      <x:c r="J114" s="47" t="str">
        <x:f>'Evaluation Plan'!J114</x:f>
        <x:v>Cross-task block reasoning</x:v>
      </x:c>
      <x:c r="K114" s="42" t="str">
        <x:f>'Evaluation Plan'!K114</x:f>
        <x:v>RD-BLOCK02</x:v>
      </x:c>
      <x:c r="L114" s="42" t="str">
        <x:f>'Evaluation Plan'!L114</x:f>
        <x:v>closest</x:v>
      </x:c>
      <x:c r="M114" s="42" t="str">
        <x:f>'Evaluation Plan'!M114</x:f>
        <x:v>block</x:v>
      </x:c>
      <x:c r="N114" s="42" t="n">
        <x:f>'Evaluation Plan'!N114</x:f>
        <x:v>4</x:v>
      </x:c>
      <x:c r="O114" s="42" t="n">
        <x:f>'Evaluation Plan'!O114</x:f>
        <x:v>1</x:v>
      </x:c>
      <x:c r="P114" s="42" t="str">
        <x:f>'Evaluation Plan'!P114</x:f>
        <x:v>Empty</x:v>
      </x:c>
      <x:c r="Q114" s="41" t="str">
        <x:f>'Evaluation Plan'!Q114</x:f>
        <x:v>Cross-task block candidate pair — closest</x:v>
      </x:c>
      <x:c r="R114" s="42" t="n">
        <x:f>'Evaluation Plan'!R114</x:f>
        <x:v>5</x:v>
      </x:c>
      <x:c r="S114" s="41" t="str">
        <x:f>'Evaluation Plan'!S114</x:f>
        <x:v>Build the listed four-object block scene with the bowl empty.</x:v>
      </x:c>
      <x:c r="T114" s="41" t="str">
        <x:f>'Evaluation Plan'!T114</x:f>
        <x:v>Reasoning-only cross-task diagnostic; no direct-name block control is included.</x:v>
      </x:c>
      <x:c r="U114" s="41" t="n">
        <x:f>'Evaluation Plan'!U114</x:f>
        <x:v>0</x:v>
      </x:c>
    </x:row>
    <x:row r="115" ht="51" customHeight="1">
      <x:c r="A115" s="32" t="str">
        <x:v>Not collected</x:v>
      </x:c>
      <x:c r="B115" s="34" t="n">
        <x:f>'Evaluation Plan'!B115</x:f>
        <x:v>113</x:v>
      </x:c>
      <x:c r="C115" s="32" t="str">
        <x:f>'Evaluation Plan'!C115</x:f>
        <x:v>Move the block furthest from the green pencil sharpener into the bowl.</x:v>
      </x:c>
      <x:c r="D115" s="32" t="str">
        <x:f>'Evaluation Plan'!D115</x:f>
        <x:v>Reference: green pencil sharpener at table centre; blue block: 10 cm away from the robot from the reference; green block: 24 cm toward the robot from the reference; airplane toy without propellers: at the far robot-left corner, outside the distance comparison; Bowl: empty</x:v>
      </x:c>
      <x:c r="E115" s="34" t="n">
        <x:f>'Evaluation Plan'!E115</x:f>
        <x:v>112</x:v>
      </x:c>
      <x:c r="F115" s="34" t="str">
        <x:f>'Evaluation Plan'!F115</x:f>
        <x:v>515; 1075; 350</x:v>
      </x:c>
      <x:c r="G115" s="32" t="str">
        <x:f>'Evaluation Plan'!G115</x:f>
        <x:v>Relation grounding is explicit in Referential Disambiguation, and both block identities are manipulated elsewhere in fine-tuning; block × referential-relation is absent.</x:v>
      </x:c>
      <x:c r="H115" s="32" t="str">
        <x:f>'Evaluation Plan'!H115</x:f>
        <x:v>green block</x:v>
      </x:c>
      <x:c r="I115" s="32" t="str"/>
      <x:c r="J115" s="39" t="str">
        <x:f>'Evaluation Plan'!J115</x:f>
        <x:v>Cross-task block reasoning</x:v>
      </x:c>
      <x:c r="K115" s="34" t="str">
        <x:f>'Evaluation Plan'!K115</x:f>
        <x:v>RD-BLOCK02</x:v>
      </x:c>
      <x:c r="L115" s="34" t="str">
        <x:f>'Evaluation Plan'!L115</x:f>
        <x:v>furthest</x:v>
      </x:c>
      <x:c r="M115" s="34" t="str">
        <x:f>'Evaluation Plan'!M115</x:f>
        <x:v>block</x:v>
      </x:c>
      <x:c r="N115" s="34" t="n">
        <x:f>'Evaluation Plan'!N115</x:f>
        <x:v>4</x:v>
      </x:c>
      <x:c r="O115" s="34" t="n">
        <x:f>'Evaluation Plan'!O115</x:f>
        <x:v>1</x:v>
      </x:c>
      <x:c r="P115" s="34" t="str">
        <x:f>'Evaluation Plan'!P115</x:f>
        <x:v>Empty</x:v>
      </x:c>
      <x:c r="Q115" s="32" t="str">
        <x:f>'Evaluation Plan'!Q115</x:f>
        <x:v>Cross-task block candidate pair — furthest</x:v>
      </x:c>
      <x:c r="R115" s="34" t="n">
        <x:f>'Evaluation Plan'!R115</x:f>
        <x:v>5</x:v>
      </x:c>
      <x:c r="S115" s="32" t="str">
        <x:f>'Evaluation Plan'!S115</x:f>
        <x:v>Reset the moved block exactly; preserve the scene; change only the relation prompt.</x:v>
      </x:c>
      <x:c r="T115" s="32" t="str">
        <x:f>'Evaluation Plan'!T115</x:f>
        <x:v>Exact-scene closest/furthest counterfactual; the correct block switches.</x:v>
      </x:c>
      <x:c r="U115" s="32" t="n">
        <x:f>'Evaluation Plan'!U115</x:f>
        <x:v>0</x:v>
      </x:c>
    </x:row>
    <x:row r="116" ht="51" customHeight="1">
      <x:c r="A116" s="41" t="str">
        <x:v>Not collected</x:v>
      </x:c>
      <x:c r="B116" s="42" t="n">
        <x:f>'Evaluation Plan'!B116</x:f>
        <x:v>114</x:v>
      </x:c>
      <x:c r="C116" s="41" t="str">
        <x:f>'Evaluation Plan'!C116</x:f>
        <x:v>Move the block closest to the green pen into the bowl.</x:v>
      </x:c>
      <x:c r="D116" s="41" t="str">
        <x:f>'Evaluation Plan'!D116</x:f>
        <x:v>Reference: green pen at table centre; green block: 10 cm toward robot-left from the reference; blue block: 24 cm away toward robot-right from the reference; crushed Coke can: at the far robot-left corner, outside the distance comparison; Bowl: empty</x:v>
      </x:c>
      <x:c r="E116" s="42" t="str">
        <x:f>'Evaluation Plan'!E116</x:f>
      </x:c>
      <x:c r="F116" s="42" t="str">
        <x:f>'Evaluation Plan'!F116</x:f>
        <x:v>500; 1075; 350</x:v>
      </x:c>
      <x:c r="G116" s="41" t="str">
        <x:f>'Evaluation Plan'!G116</x:f>
        <x:v>Relation grounding is explicit in Referential Disambiguation, and both block identities are manipulated elsewhere in fine-tuning; block × referential-relation is absent.</x:v>
      </x:c>
      <x:c r="H116" s="41" t="str">
        <x:f>'Evaluation Plan'!H116</x:f>
        <x:v>green block</x:v>
      </x:c>
      <x:c r="I116" s="41" t="str"/>
      <x:c r="J116" s="47" t="str">
        <x:f>'Evaluation Plan'!J116</x:f>
        <x:v>Cross-task block reasoning</x:v>
      </x:c>
      <x:c r="K116" s="42" t="str">
        <x:f>'Evaluation Plan'!K116</x:f>
        <x:v>RD-BLOCK03</x:v>
      </x:c>
      <x:c r="L116" s="42" t="str">
        <x:f>'Evaluation Plan'!L116</x:f>
        <x:v>closest</x:v>
      </x:c>
      <x:c r="M116" s="42" t="str">
        <x:f>'Evaluation Plan'!M116</x:f>
        <x:v>block</x:v>
      </x:c>
      <x:c r="N116" s="42" t="n">
        <x:f>'Evaluation Plan'!N116</x:f>
        <x:v>4</x:v>
      </x:c>
      <x:c r="O116" s="42" t="n">
        <x:f>'Evaluation Plan'!O116</x:f>
        <x:v>1</x:v>
      </x:c>
      <x:c r="P116" s="42" t="str">
        <x:f>'Evaluation Plan'!P116</x:f>
        <x:v>Empty</x:v>
      </x:c>
      <x:c r="Q116" s="41" t="str">
        <x:f>'Evaluation Plan'!Q116</x:f>
        <x:v>Cross-task block candidate pair — closest</x:v>
      </x:c>
      <x:c r="R116" s="42" t="n">
        <x:f>'Evaluation Plan'!R116</x:f>
        <x:v>5</x:v>
      </x:c>
      <x:c r="S116" s="41" t="str">
        <x:f>'Evaluation Plan'!S116</x:f>
        <x:v>Build the listed four-object block scene with the bowl empty.</x:v>
      </x:c>
      <x:c r="T116" s="41" t="str">
        <x:f>'Evaluation Plan'!T116</x:f>
        <x:v>Reasoning-only cross-task diagnostic; no direct-name block control is included.</x:v>
      </x:c>
      <x:c r="U116" s="41" t="n">
        <x:f>'Evaluation Plan'!U116</x:f>
        <x:v>0</x:v>
      </x:c>
    </x:row>
    <x:row r="117" ht="51" customHeight="1">
      <x:c r="A117" s="32" t="str">
        <x:v>Not collected</x:v>
      </x:c>
      <x:c r="B117" s="34" t="n">
        <x:f>'Evaluation Plan'!B117</x:f>
        <x:v>115</x:v>
      </x:c>
      <x:c r="C117" s="32" t="str">
        <x:f>'Evaluation Plan'!C117</x:f>
        <x:v>Pick up the block furthest from the green pen and place it in the bowl.</x:v>
      </x:c>
      <x:c r="D117" s="32" t="str">
        <x:f>'Evaluation Plan'!D117</x:f>
        <x:v>Reference: green pen at table centre; green block: 10 cm toward robot-left from the reference; blue block: 24 cm away toward robot-right from the reference; crushed Coke can: at the far robot-left corner, outside the distance comparison; Bowl: empty</x:v>
      </x:c>
      <x:c r="E117" s="34" t="n">
        <x:f>'Evaluation Plan'!E117</x:f>
        <x:v>114</x:v>
      </x:c>
      <x:c r="F117" s="34" t="str">
        <x:f>'Evaluation Plan'!F117</x:f>
        <x:v>515; 1075; 350</x:v>
      </x:c>
      <x:c r="G117" s="32" t="str">
        <x:f>'Evaluation Plan'!G117</x:f>
        <x:v>Relation grounding is explicit in Referential Disambiguation, and both block identities are manipulated elsewhere in fine-tuning; block × referential-relation is absent.</x:v>
      </x:c>
      <x:c r="H117" s="32" t="str">
        <x:f>'Evaluation Plan'!H117</x:f>
        <x:v>blue block</x:v>
      </x:c>
      <x:c r="I117" s="32" t="str"/>
      <x:c r="J117" s="39" t="str">
        <x:f>'Evaluation Plan'!J117</x:f>
        <x:v>Cross-task block reasoning</x:v>
      </x:c>
      <x:c r="K117" s="34" t="str">
        <x:f>'Evaluation Plan'!K117</x:f>
        <x:v>RD-BLOCK03</x:v>
      </x:c>
      <x:c r="L117" s="34" t="str">
        <x:f>'Evaluation Plan'!L117</x:f>
        <x:v>furthest</x:v>
      </x:c>
      <x:c r="M117" s="34" t="str">
        <x:f>'Evaluation Plan'!M117</x:f>
        <x:v>block</x:v>
      </x:c>
      <x:c r="N117" s="34" t="n">
        <x:f>'Evaluation Plan'!N117</x:f>
        <x:v>4</x:v>
      </x:c>
      <x:c r="O117" s="34" t="n">
        <x:f>'Evaluation Plan'!O117</x:f>
        <x:v>1</x:v>
      </x:c>
      <x:c r="P117" s="34" t="str">
        <x:f>'Evaluation Plan'!P117</x:f>
        <x:v>Empty</x:v>
      </x:c>
      <x:c r="Q117" s="32" t="str">
        <x:f>'Evaluation Plan'!Q117</x:f>
        <x:v>Cross-task block candidate pair — furthest</x:v>
      </x:c>
      <x:c r="R117" s="34" t="n">
        <x:f>'Evaluation Plan'!R117</x:f>
        <x:v>5</x:v>
      </x:c>
      <x:c r="S117" s="32" t="str">
        <x:f>'Evaluation Plan'!S117</x:f>
        <x:v>Reset the moved block exactly; preserve the scene; change only the relation prompt.</x:v>
      </x:c>
      <x:c r="T117" s="32" t="str">
        <x:f>'Evaluation Plan'!T117</x:f>
        <x:v>Exact-scene closest/furthest counterfactual; the correct block switches.</x:v>
      </x:c>
      <x:c r="U117" s="32" t="n">
        <x:f>'Evaluation Plan'!U117</x:f>
        <x:v>0</x:v>
      </x:c>
    </x:row>
    <x:row r="118" ht="51" customHeight="1">
      <x:c r="A118" s="41" t="str">
        <x:v>Not collected</x:v>
      </x:c>
      <x:c r="B118" s="42" t="n">
        <x:f>'Evaluation Plan'!B118</x:f>
        <x:v>116</x:v>
      </x:c>
      <x:c r="C118" s="41" t="str">
        <x:f>'Evaluation Plan'!C118</x:f>
        <x:v>Pick up the block closest to the airplane toy with propellers and place it in the bowl.</x:v>
      </x:c>
      <x:c r="D118" s="41" t="str">
        <x:f>'Evaluation Plan'!D118</x:f>
        <x:v>Reference: airplane toy with propellers at table centre; blue block: 10 cm toward robot-right from the reference; green block: 24 cm away toward robot-left from the reference; crushed Pepsi can: at the far robot-left corner, outside the distance comparison; Bowl: empty</x:v>
      </x:c>
      <x:c r="E118" s="42" t="str">
        <x:f>'Evaluation Plan'!E118</x:f>
      </x:c>
      <x:c r="F118" s="42" t="str">
        <x:f>'Evaluation Plan'!F118</x:f>
        <x:v>500; 1075; 350</x:v>
      </x:c>
      <x:c r="G118" s="41" t="str">
        <x:f>'Evaluation Plan'!G118</x:f>
        <x:v>Relation grounding is explicit in Referential Disambiguation, and both block identities are manipulated elsewhere in fine-tuning; block × referential-relation is absent.</x:v>
      </x:c>
      <x:c r="H118" s="41" t="str">
        <x:f>'Evaluation Plan'!H118</x:f>
        <x:v>blue block</x:v>
      </x:c>
      <x:c r="I118" s="41" t="str"/>
      <x:c r="J118" s="47" t="str">
        <x:f>'Evaluation Plan'!J118</x:f>
        <x:v>Cross-task block reasoning</x:v>
      </x:c>
      <x:c r="K118" s="42" t="str">
        <x:f>'Evaluation Plan'!K118</x:f>
        <x:v>RD-BLOCK04</x:v>
      </x:c>
      <x:c r="L118" s="42" t="str">
        <x:f>'Evaluation Plan'!L118</x:f>
        <x:v>closest</x:v>
      </x:c>
      <x:c r="M118" s="42" t="str">
        <x:f>'Evaluation Plan'!M118</x:f>
        <x:v>block</x:v>
      </x:c>
      <x:c r="N118" s="42" t="n">
        <x:f>'Evaluation Plan'!N118</x:f>
        <x:v>4</x:v>
      </x:c>
      <x:c r="O118" s="42" t="n">
        <x:f>'Evaluation Plan'!O118</x:f>
        <x:v>1</x:v>
      </x:c>
      <x:c r="P118" s="42" t="str">
        <x:f>'Evaluation Plan'!P118</x:f>
        <x:v>Empty</x:v>
      </x:c>
      <x:c r="Q118" s="41" t="str">
        <x:f>'Evaluation Plan'!Q118</x:f>
        <x:v>Cross-task block candidate pair — closest</x:v>
      </x:c>
      <x:c r="R118" s="42" t="n">
        <x:f>'Evaluation Plan'!R118</x:f>
        <x:v>5</x:v>
      </x:c>
      <x:c r="S118" s="41" t="str">
        <x:f>'Evaluation Plan'!S118</x:f>
        <x:v>Build the listed four-object block scene with the bowl empty.</x:v>
      </x:c>
      <x:c r="T118" s="41" t="str">
        <x:f>'Evaluation Plan'!T118</x:f>
        <x:v>Reasoning-only cross-task diagnostic; no direct-name block control is included.</x:v>
      </x:c>
      <x:c r="U118" s="41" t="n">
        <x:f>'Evaluation Plan'!U118</x:f>
        <x:v>0</x:v>
      </x:c>
    </x:row>
    <x:row r="119" ht="51" customHeight="1">
      <x:c r="A119" s="32" t="str">
        <x:v>Not collected</x:v>
      </x:c>
      <x:c r="B119" s="34" t="n">
        <x:f>'Evaluation Plan'!B119</x:f>
        <x:v>117</x:v>
      </x:c>
      <x:c r="C119" s="32" t="str">
        <x:f>'Evaluation Plan'!C119</x:f>
        <x:v>Put the block furthest from the airplane toy with propellers in the bowl.</x:v>
      </x:c>
      <x:c r="D119" s="32" t="str">
        <x:f>'Evaluation Plan'!D119</x:f>
        <x:v>Reference: airplane toy with propellers at table centre; blue block: 10 cm toward robot-right from the reference; green block: 24 cm away toward robot-left from the reference; crushed Pepsi can: at the far robot-left corner, outside the distance comparison; Bowl: empty</x:v>
      </x:c>
      <x:c r="E119" s="34" t="n">
        <x:f>'Evaluation Plan'!E119</x:f>
        <x:v>116</x:v>
      </x:c>
      <x:c r="F119" s="34" t="str">
        <x:f>'Evaluation Plan'!F119</x:f>
        <x:v>515; 1075; 350</x:v>
      </x:c>
      <x:c r="G119" s="32" t="str">
        <x:f>'Evaluation Plan'!G119</x:f>
        <x:v>Relation grounding is explicit in Referential Disambiguation, and both block identities are manipulated elsewhere in fine-tuning; block × referential-relation is absent.</x:v>
      </x:c>
      <x:c r="H119" s="32" t="str">
        <x:f>'Evaluation Plan'!H119</x:f>
        <x:v>green block</x:v>
      </x:c>
      <x:c r="I119" s="32" t="str"/>
      <x:c r="J119" s="39" t="str">
        <x:f>'Evaluation Plan'!J119</x:f>
        <x:v>Cross-task block reasoning</x:v>
      </x:c>
      <x:c r="K119" s="34" t="str">
        <x:f>'Evaluation Plan'!K119</x:f>
        <x:v>RD-BLOCK04</x:v>
      </x:c>
      <x:c r="L119" s="34" t="str">
        <x:f>'Evaluation Plan'!L119</x:f>
        <x:v>furthest</x:v>
      </x:c>
      <x:c r="M119" s="34" t="str">
        <x:f>'Evaluation Plan'!M119</x:f>
        <x:v>block</x:v>
      </x:c>
      <x:c r="N119" s="34" t="n">
        <x:f>'Evaluation Plan'!N119</x:f>
        <x:v>4</x:v>
      </x:c>
      <x:c r="O119" s="34" t="n">
        <x:f>'Evaluation Plan'!O119</x:f>
        <x:v>1</x:v>
      </x:c>
      <x:c r="P119" s="34" t="str">
        <x:f>'Evaluation Plan'!P119</x:f>
        <x:v>Empty</x:v>
      </x:c>
      <x:c r="Q119" s="32" t="str">
        <x:f>'Evaluation Plan'!Q119</x:f>
        <x:v>Cross-task block candidate pair — furthest</x:v>
      </x:c>
      <x:c r="R119" s="34" t="n">
        <x:f>'Evaluation Plan'!R119</x:f>
        <x:v>5</x:v>
      </x:c>
      <x:c r="S119" s="32" t="str">
        <x:f>'Evaluation Plan'!S119</x:f>
        <x:v>Reset the moved block exactly; preserve the scene; change only the relation prompt.</x:v>
      </x:c>
      <x:c r="T119" s="32" t="str">
        <x:f>'Evaluation Plan'!T119</x:f>
        <x:v>Exact-scene closest/furthest counterfactual; the correct block switches.</x:v>
      </x:c>
      <x:c r="U119" s="32" t="n">
        <x:f>'Evaluation Plan'!U119</x:f>
        <x:v>0</x:v>
      </x:c>
    </x:row>
    <x:row r="120" ht="51" customHeight="1">
      <x:c r="A120" s="41" t="str">
        <x:v>Not collected</x:v>
      </x:c>
      <x:c r="B120" s="42" t="n">
        <x:f>'Evaluation Plan'!B120</x:f>
        <x:v>118</x:v>
      </x:c>
      <x:c r="C120" s="41" t="str">
        <x:f>'Evaluation Plan'!C120</x:f>
        <x:v>Put the block closest to the crushed Coke can in the bowl.</x:v>
      </x:c>
      <x:c r="D120" s="41" t="str">
        <x:f>'Evaluation Plan'!D120</x:f>
        <x:v>Reference: crushed Coke can at table centre; green block: 10 cm to robot-left of the reference; blue block: 24 cm to robot-right of the reference; red pencil sharpener: at the far robot-left corner, outside the distance comparison; Bowl: empty</x:v>
      </x:c>
      <x:c r="E120" s="42" t="str">
        <x:f>'Evaluation Plan'!E120</x:f>
      </x:c>
      <x:c r="F120" s="42" t="str">
        <x:f>'Evaluation Plan'!F120</x:f>
        <x:v>500; 1075; 350</x:v>
      </x:c>
      <x:c r="G120" s="41" t="str">
        <x:f>'Evaluation Plan'!G120</x:f>
        <x:v>Relation grounding is explicit in Referential Disambiguation, and both block identities are manipulated elsewhere in fine-tuning; block × referential-relation is absent.</x:v>
      </x:c>
      <x:c r="H120" s="41" t="str">
        <x:f>'Evaluation Plan'!H120</x:f>
        <x:v>green block</x:v>
      </x:c>
      <x:c r="I120" s="41" t="str"/>
      <x:c r="J120" s="47" t="str">
        <x:f>'Evaluation Plan'!J120</x:f>
        <x:v>Cross-task block reasoning</x:v>
      </x:c>
      <x:c r="K120" s="42" t="str">
        <x:f>'Evaluation Plan'!K120</x:f>
        <x:v>RD-BLOCK05</x:v>
      </x:c>
      <x:c r="L120" s="42" t="str">
        <x:f>'Evaluation Plan'!L120</x:f>
        <x:v>closest</x:v>
      </x:c>
      <x:c r="M120" s="42" t="str">
        <x:f>'Evaluation Plan'!M120</x:f>
        <x:v>block</x:v>
      </x:c>
      <x:c r="N120" s="42" t="n">
        <x:f>'Evaluation Plan'!N120</x:f>
        <x:v>4</x:v>
      </x:c>
      <x:c r="O120" s="42" t="n">
        <x:f>'Evaluation Plan'!O120</x:f>
        <x:v>1</x:v>
      </x:c>
      <x:c r="P120" s="42" t="str">
        <x:f>'Evaluation Plan'!P120</x:f>
        <x:v>Empty</x:v>
      </x:c>
      <x:c r="Q120" s="41" t="str">
        <x:f>'Evaluation Plan'!Q120</x:f>
        <x:v>Cross-task block candidate pair — closest</x:v>
      </x:c>
      <x:c r="R120" s="42" t="n">
        <x:f>'Evaluation Plan'!R120</x:f>
        <x:v>5</x:v>
      </x:c>
      <x:c r="S120" s="41" t="str">
        <x:f>'Evaluation Plan'!S120</x:f>
        <x:v>Build the listed four-object block scene with the bowl empty.</x:v>
      </x:c>
      <x:c r="T120" s="41" t="str">
        <x:f>'Evaluation Plan'!T120</x:f>
        <x:v>Reasoning-only cross-task diagnostic; no direct-name block control is included.</x:v>
      </x:c>
      <x:c r="U120" s="41" t="n">
        <x:f>'Evaluation Plan'!U120</x:f>
        <x:v>0</x:v>
      </x:c>
    </x:row>
    <x:row r="121" ht="51" customHeight="1">
      <x:c r="A121" s="32" t="str">
        <x:v>Not collected</x:v>
      </x:c>
      <x:c r="B121" s="34" t="n">
        <x:f>'Evaluation Plan'!B121</x:f>
        <x:v>119</x:v>
      </x:c>
      <x:c r="C121" s="32" t="str">
        <x:f>'Evaluation Plan'!C121</x:f>
        <x:v>Move the block furthest from the crushed Coke can into the bowl.</x:v>
      </x:c>
      <x:c r="D121" s="32" t="str">
        <x:f>'Evaluation Plan'!D121</x:f>
        <x:v>Reference: crushed Coke can at table centre; green block: 10 cm to robot-left of the reference; blue block: 24 cm to robot-right of the reference; red pencil sharpener: at the far robot-left corner, outside the distance comparison; Bowl: empty</x:v>
      </x:c>
      <x:c r="E121" s="34" t="n">
        <x:f>'Evaluation Plan'!E121</x:f>
        <x:v>118</x:v>
      </x:c>
      <x:c r="F121" s="34" t="str">
        <x:f>'Evaluation Plan'!F121</x:f>
        <x:v>515; 1075; 350</x:v>
      </x:c>
      <x:c r="G121" s="32" t="str">
        <x:f>'Evaluation Plan'!G121</x:f>
        <x:v>Relation grounding is explicit in Referential Disambiguation, and both block identities are manipulated elsewhere in fine-tuning; block × referential-relation is absent.</x:v>
      </x:c>
      <x:c r="H121" s="32" t="str">
        <x:f>'Evaluation Plan'!H121</x:f>
        <x:v>blue block</x:v>
      </x:c>
      <x:c r="I121" s="32" t="str"/>
      <x:c r="J121" s="39" t="str">
        <x:f>'Evaluation Plan'!J121</x:f>
        <x:v>Cross-task block reasoning</x:v>
      </x:c>
      <x:c r="K121" s="34" t="str">
        <x:f>'Evaluation Plan'!K121</x:f>
        <x:v>RD-BLOCK05</x:v>
      </x:c>
      <x:c r="L121" s="34" t="str">
        <x:f>'Evaluation Plan'!L121</x:f>
        <x:v>furthest</x:v>
      </x:c>
      <x:c r="M121" s="34" t="str">
        <x:f>'Evaluation Plan'!M121</x:f>
        <x:v>block</x:v>
      </x:c>
      <x:c r="N121" s="34" t="n">
        <x:f>'Evaluation Plan'!N121</x:f>
        <x:v>4</x:v>
      </x:c>
      <x:c r="O121" s="34" t="n">
        <x:f>'Evaluation Plan'!O121</x:f>
        <x:v>1</x:v>
      </x:c>
      <x:c r="P121" s="34" t="str">
        <x:f>'Evaluation Plan'!P121</x:f>
        <x:v>Empty</x:v>
      </x:c>
      <x:c r="Q121" s="32" t="str">
        <x:f>'Evaluation Plan'!Q121</x:f>
        <x:v>Cross-task block candidate pair — furthest</x:v>
      </x:c>
      <x:c r="R121" s="34" t="n">
        <x:f>'Evaluation Plan'!R121</x:f>
        <x:v>5</x:v>
      </x:c>
      <x:c r="S121" s="32" t="str">
        <x:f>'Evaluation Plan'!S121</x:f>
        <x:v>Reset the moved block exactly; preserve the scene; change only the relation prompt.</x:v>
      </x:c>
      <x:c r="T121" s="32" t="str">
        <x:f>'Evaluation Plan'!T121</x:f>
        <x:v>Exact-scene closest/furthest counterfactual; the correct block switches.</x:v>
      </x:c>
      <x:c r="U121" s="32" t="n">
        <x:f>'Evaluation Plan'!U121</x:f>
        <x:v>0</x:v>
      </x:c>
    </x:row>
    <x:row r="122" ht="51" customHeight="1">
      <x:c r="A122" s="41" t="str">
        <x:v>Not collected</x:v>
      </x:c>
      <x:c r="B122" s="42" t="n">
        <x:f>'Evaluation Plan'!B122</x:f>
        <x:v>120</x:v>
      </x:c>
      <x:c r="C122" s="41" t="str">
        <x:f>'Evaluation Plan'!C122</x:f>
        <x:v>Move the block closest to the green pencil sharpener into the bowl.</x:v>
      </x:c>
      <x:c r="D122" s="41" t="str">
        <x:f>'Evaluation Plan'!D122</x:f>
        <x:v>Reference: green pencil sharpener at table centre; blue block: 10 cm to robot-right of the reference; green block: 24 cm to robot-left of the reference; green pen: at the far robot-left corner, outside the distance comparison; Bowl: empty</x:v>
      </x:c>
      <x:c r="E122" s="42" t="str">
        <x:f>'Evaluation Plan'!E122</x:f>
      </x:c>
      <x:c r="F122" s="42" t="str">
        <x:f>'Evaluation Plan'!F122</x:f>
        <x:v>500; 1075; 350</x:v>
      </x:c>
      <x:c r="G122" s="41" t="str">
        <x:f>'Evaluation Plan'!G122</x:f>
        <x:v>Relation grounding is explicit in Referential Disambiguation, and both block identities are manipulated elsewhere in fine-tuning; block × referential-relation is absent.</x:v>
      </x:c>
      <x:c r="H122" s="41" t="str">
        <x:f>'Evaluation Plan'!H122</x:f>
        <x:v>blue block</x:v>
      </x:c>
      <x:c r="I122" s="41" t="str"/>
      <x:c r="J122" s="47" t="str">
        <x:f>'Evaluation Plan'!J122</x:f>
        <x:v>Cross-task block reasoning</x:v>
      </x:c>
      <x:c r="K122" s="42" t="str">
        <x:f>'Evaluation Plan'!K122</x:f>
        <x:v>RD-BLOCK06</x:v>
      </x:c>
      <x:c r="L122" s="42" t="str">
        <x:f>'Evaluation Plan'!L122</x:f>
        <x:v>closest</x:v>
      </x:c>
      <x:c r="M122" s="42" t="str">
        <x:f>'Evaluation Plan'!M122</x:f>
        <x:v>block</x:v>
      </x:c>
      <x:c r="N122" s="42" t="n">
        <x:f>'Evaluation Plan'!N122</x:f>
        <x:v>4</x:v>
      </x:c>
      <x:c r="O122" s="42" t="n">
        <x:f>'Evaluation Plan'!O122</x:f>
        <x:v>1</x:v>
      </x:c>
      <x:c r="P122" s="42" t="str">
        <x:f>'Evaluation Plan'!P122</x:f>
        <x:v>Empty</x:v>
      </x:c>
      <x:c r="Q122" s="41" t="str">
        <x:f>'Evaluation Plan'!Q122</x:f>
        <x:v>Cross-task block candidate pair — closest</x:v>
      </x:c>
      <x:c r="R122" s="42" t="n">
        <x:f>'Evaluation Plan'!R122</x:f>
        <x:v>5</x:v>
      </x:c>
      <x:c r="S122" s="41" t="str">
        <x:f>'Evaluation Plan'!S122</x:f>
        <x:v>Build the listed four-object block scene with the bowl empty.</x:v>
      </x:c>
      <x:c r="T122" s="41" t="str">
        <x:f>'Evaluation Plan'!T122</x:f>
        <x:v>Reasoning-only cross-task diagnostic; no direct-name block control is included.</x:v>
      </x:c>
      <x:c r="U122" s="41" t="n">
        <x:f>'Evaluation Plan'!U122</x:f>
        <x:v>0</x:v>
      </x:c>
    </x:row>
    <x:row r="123" ht="51" customHeight="1">
      <x:c r="A123" s="32" t="str">
        <x:v>Not collected</x:v>
      </x:c>
      <x:c r="B123" s="34" t="n">
        <x:f>'Evaluation Plan'!B123</x:f>
        <x:v>121</x:v>
      </x:c>
      <x:c r="C123" s="32" t="str">
        <x:f>'Evaluation Plan'!C123</x:f>
        <x:v>Pick up the block furthest from the green pencil sharpener and place it in the bowl.</x:v>
      </x:c>
      <x:c r="D123" s="32" t="str">
        <x:f>'Evaluation Plan'!D123</x:f>
        <x:v>Reference: green pencil sharpener at table centre; blue block: 10 cm to robot-right of the reference; green block: 24 cm to robot-left of the reference; green pen: at the far robot-left corner, outside the distance comparison; Bowl: empty</x:v>
      </x:c>
      <x:c r="E123" s="34" t="n">
        <x:f>'Evaluation Plan'!E123</x:f>
        <x:v>120</x:v>
      </x:c>
      <x:c r="F123" s="34" t="str">
        <x:f>'Evaluation Plan'!F123</x:f>
        <x:v>515; 1075; 350</x:v>
      </x:c>
      <x:c r="G123" s="32" t="str">
        <x:f>'Evaluation Plan'!G123</x:f>
        <x:v>Relation grounding is explicit in Referential Disambiguation, and both block identities are manipulated elsewhere in fine-tuning; block × referential-relation is absent.</x:v>
      </x:c>
      <x:c r="H123" s="32" t="str">
        <x:f>'Evaluation Plan'!H123</x:f>
        <x:v>green block</x:v>
      </x:c>
      <x:c r="I123" s="32" t="str"/>
      <x:c r="J123" s="39" t="str">
        <x:f>'Evaluation Plan'!J123</x:f>
        <x:v>Cross-task block reasoning</x:v>
      </x:c>
      <x:c r="K123" s="34" t="str">
        <x:f>'Evaluation Plan'!K123</x:f>
        <x:v>RD-BLOCK06</x:v>
      </x:c>
      <x:c r="L123" s="34" t="str">
        <x:f>'Evaluation Plan'!L123</x:f>
        <x:v>furthest</x:v>
      </x:c>
      <x:c r="M123" s="34" t="str">
        <x:f>'Evaluation Plan'!M123</x:f>
        <x:v>block</x:v>
      </x:c>
      <x:c r="N123" s="34" t="n">
        <x:f>'Evaluation Plan'!N123</x:f>
        <x:v>4</x:v>
      </x:c>
      <x:c r="O123" s="34" t="n">
        <x:f>'Evaluation Plan'!O123</x:f>
        <x:v>1</x:v>
      </x:c>
      <x:c r="P123" s="34" t="str">
        <x:f>'Evaluation Plan'!P123</x:f>
        <x:v>Empty</x:v>
      </x:c>
      <x:c r="Q123" s="32" t="str">
        <x:f>'Evaluation Plan'!Q123</x:f>
        <x:v>Cross-task block candidate pair — furthest</x:v>
      </x:c>
      <x:c r="R123" s="34" t="n">
        <x:f>'Evaluation Plan'!R123</x:f>
        <x:v>5</x:v>
      </x:c>
      <x:c r="S123" s="32" t="str">
        <x:f>'Evaluation Plan'!S123</x:f>
        <x:v>Reset the moved block exactly; preserve the scene; change only the relation prompt.</x:v>
      </x:c>
      <x:c r="T123" s="32" t="str">
        <x:f>'Evaluation Plan'!T123</x:f>
        <x:v>Exact-scene closest/furthest counterfactual; the correct block switches.</x:v>
      </x:c>
      <x:c r="U123" s="32" t="n">
        <x:f>'Evaluation Plan'!U123</x:f>
        <x:v>0</x:v>
      </x:c>
    </x:row>
    <x:row r="124" ht="51" customHeight="1">
      <x:c r="A124" s="41" t="str">
        <x:v>Not collected</x:v>
      </x:c>
      <x:c r="B124" s="42" t="n">
        <x:f>'Evaluation Plan'!B124</x:f>
        <x:v>122</x:v>
      </x:c>
      <x:c r="C124" s="41" t="str">
        <x:f>'Evaluation Plan'!C124</x:f>
        <x:v>Pick up the block closest to the green pen and place it in the bowl.</x:v>
      </x:c>
      <x:c r="D124" s="41" t="str">
        <x:f>'Evaluation Plan'!D124</x:f>
        <x:v>Reference: green pen at table centre; green block: 10 cm toward the robot from the reference; blue block: 24 cm away from the robot from the reference; yellow pen: at the far robot-left corner, outside the distance comparison; Bowl: empty</x:v>
      </x:c>
      <x:c r="E124" s="42" t="str">
        <x:f>'Evaluation Plan'!E124</x:f>
      </x:c>
      <x:c r="F124" s="42" t="str">
        <x:f>'Evaluation Plan'!F124</x:f>
        <x:v>500; 1075; 350</x:v>
      </x:c>
      <x:c r="G124" s="41" t="str">
        <x:f>'Evaluation Plan'!G124</x:f>
        <x:v>Relation grounding is explicit in Referential Disambiguation, and both block identities are manipulated elsewhere in fine-tuning; block × referential-relation is absent.</x:v>
      </x:c>
      <x:c r="H124" s="41" t="str">
        <x:f>'Evaluation Plan'!H124</x:f>
        <x:v>green block</x:v>
      </x:c>
      <x:c r="I124" s="41" t="str"/>
      <x:c r="J124" s="47" t="str">
        <x:f>'Evaluation Plan'!J124</x:f>
        <x:v>Cross-task block reasoning</x:v>
      </x:c>
      <x:c r="K124" s="42" t="str">
        <x:f>'Evaluation Plan'!K124</x:f>
        <x:v>RD-BLOCK07</x:v>
      </x:c>
      <x:c r="L124" s="42" t="str">
        <x:f>'Evaluation Plan'!L124</x:f>
        <x:v>closest</x:v>
      </x:c>
      <x:c r="M124" s="42" t="str">
        <x:f>'Evaluation Plan'!M124</x:f>
        <x:v>block</x:v>
      </x:c>
      <x:c r="N124" s="42" t="n">
        <x:f>'Evaluation Plan'!N124</x:f>
        <x:v>4</x:v>
      </x:c>
      <x:c r="O124" s="42" t="n">
        <x:f>'Evaluation Plan'!O124</x:f>
        <x:v>1</x:v>
      </x:c>
      <x:c r="P124" s="42" t="str">
        <x:f>'Evaluation Plan'!P124</x:f>
        <x:v>Empty</x:v>
      </x:c>
      <x:c r="Q124" s="41" t="str">
        <x:f>'Evaluation Plan'!Q124</x:f>
        <x:v>Cross-task block candidate pair — closest</x:v>
      </x:c>
      <x:c r="R124" s="42" t="n">
        <x:f>'Evaluation Plan'!R124</x:f>
        <x:v>5</x:v>
      </x:c>
      <x:c r="S124" s="41" t="str">
        <x:f>'Evaluation Plan'!S124</x:f>
        <x:v>Build the listed four-object block scene with the bowl empty.</x:v>
      </x:c>
      <x:c r="T124" s="41" t="str">
        <x:f>'Evaluation Plan'!T124</x:f>
        <x:v>Reasoning-only cross-task diagnostic; no direct-name block control is included.</x:v>
      </x:c>
      <x:c r="U124" s="41" t="n">
        <x:f>'Evaluation Plan'!U124</x:f>
        <x:v>0</x:v>
      </x:c>
    </x:row>
    <x:row r="125" ht="51" customHeight="1">
      <x:c r="A125" s="32" t="str">
        <x:v>Not collected</x:v>
      </x:c>
      <x:c r="B125" s="34" t="n">
        <x:f>'Evaluation Plan'!B125</x:f>
        <x:v>123</x:v>
      </x:c>
      <x:c r="C125" s="32" t="str">
        <x:f>'Evaluation Plan'!C125</x:f>
        <x:v>Put the block furthest from the green pen in the bowl.</x:v>
      </x:c>
      <x:c r="D125" s="32" t="str">
        <x:f>'Evaluation Plan'!D125</x:f>
        <x:v>Reference: green pen at table centre; green block: 10 cm toward the robot from the reference; blue block: 24 cm away from the robot from the reference; yellow pen: at the far robot-left corner, outside the distance comparison; Bowl: empty</x:v>
      </x:c>
      <x:c r="E125" s="34" t="n">
        <x:f>'Evaluation Plan'!E125</x:f>
        <x:v>122</x:v>
      </x:c>
      <x:c r="F125" s="34" t="str">
        <x:f>'Evaluation Plan'!F125</x:f>
        <x:v>515; 1075; 350</x:v>
      </x:c>
      <x:c r="G125" s="32" t="str">
        <x:f>'Evaluation Plan'!G125</x:f>
        <x:v>Relation grounding is explicit in Referential Disambiguation, and both block identities are manipulated elsewhere in fine-tuning; block × referential-relation is absent.</x:v>
      </x:c>
      <x:c r="H125" s="32" t="str">
        <x:f>'Evaluation Plan'!H125</x:f>
        <x:v>blue block</x:v>
      </x:c>
      <x:c r="I125" s="32" t="str"/>
      <x:c r="J125" s="39" t="str">
        <x:f>'Evaluation Plan'!J125</x:f>
        <x:v>Cross-task block reasoning</x:v>
      </x:c>
      <x:c r="K125" s="34" t="str">
        <x:f>'Evaluation Plan'!K125</x:f>
        <x:v>RD-BLOCK07</x:v>
      </x:c>
      <x:c r="L125" s="34" t="str">
        <x:f>'Evaluation Plan'!L125</x:f>
        <x:v>furthest</x:v>
      </x:c>
      <x:c r="M125" s="34" t="str">
        <x:f>'Evaluation Plan'!M125</x:f>
        <x:v>block</x:v>
      </x:c>
      <x:c r="N125" s="34" t="n">
        <x:f>'Evaluation Plan'!N125</x:f>
        <x:v>4</x:v>
      </x:c>
      <x:c r="O125" s="34" t="n">
        <x:f>'Evaluation Plan'!O125</x:f>
        <x:v>1</x:v>
      </x:c>
      <x:c r="P125" s="34" t="str">
        <x:f>'Evaluation Plan'!P125</x:f>
        <x:v>Empty</x:v>
      </x:c>
      <x:c r="Q125" s="32" t="str">
        <x:f>'Evaluation Plan'!Q125</x:f>
        <x:v>Cross-task block candidate pair — furthest</x:v>
      </x:c>
      <x:c r="R125" s="34" t="n">
        <x:f>'Evaluation Plan'!R125</x:f>
        <x:v>5</x:v>
      </x:c>
      <x:c r="S125" s="32" t="str">
        <x:f>'Evaluation Plan'!S125</x:f>
        <x:v>Reset the moved block exactly; preserve the scene; change only the relation prompt.</x:v>
      </x:c>
      <x:c r="T125" s="32" t="str">
        <x:f>'Evaluation Plan'!T125</x:f>
        <x:v>Exact-scene closest/furthest counterfactual; the correct block switches.</x:v>
      </x:c>
      <x:c r="U125" s="32" t="n">
        <x:f>'Evaluation Plan'!U125</x:f>
        <x:v>0</x:v>
      </x:c>
    </x:row>
    <x:row r="126" ht="51" customHeight="1">
      <x:c r="A126" s="41" t="str">
        <x:v>Not collected</x:v>
      </x:c>
      <x:c r="B126" s="42" t="n">
        <x:f>'Evaluation Plan'!B126</x:f>
        <x:v>124</x:v>
      </x:c>
      <x:c r="C126" s="41" t="str">
        <x:f>'Evaluation Plan'!C126</x:f>
        <x:v>Pick up the block between the green pen and the crushed Coke can and place it in the bowl.</x:v>
      </x:c>
      <x:c r="D126" s="41" t="str">
        <x:f>'Evaluation Plan'!D126</x:f>
        <x:v>Reference A: green pen at 14 cm toward robot-left from table centre; Reference B: crushed Coke can at 14 cm away toward robot-right from table centre; green block: at table centre on the straight Reference A–B segment; blue block: 12 cm toward robot-right from table centre, off the Reference A–B segment; Bowl: empty</x:v>
      </x:c>
      <x:c r="E126" s="42" t="str">
        <x:f>'Evaluation Plan'!E126</x:f>
      </x:c>
      <x:c r="F126" s="42" t="str">
        <x:f>'Evaluation Plan'!F126</x:f>
        <x:v>530; 1075; 350</x:v>
      </x:c>
      <x:c r="G126" s="41" t="str">
        <x:f>'Evaluation Plan'!G126</x:f>
        <x:v>Between is explicit in Referential Disambiguation, and both block identities are manipulated elsewhere in fine-tuning; block × between is absent.</x:v>
      </x:c>
      <x:c r="H126" s="41" t="str">
        <x:f>'Evaluation Plan'!H126</x:f>
        <x:v>green block</x:v>
      </x:c>
      <x:c r="I126" s="41" t="str"/>
      <x:c r="J126" s="47" t="str">
        <x:f>'Evaluation Plan'!J126</x:f>
        <x:v>Cross-task block reasoning</x:v>
      </x:c>
      <x:c r="K126" s="42" t="str">
        <x:f>'Evaluation Plan'!K126</x:f>
        <x:v>RD-BLOCK-B01A</x:v>
      </x:c>
      <x:c r="L126" s="42" t="str">
        <x:f>'Evaluation Plan'!L126</x:f>
        <x:v>between</x:v>
      </x:c>
      <x:c r="M126" s="42" t="str">
        <x:f>'Evaluation Plan'!M126</x:f>
        <x:v>block</x:v>
      </x:c>
      <x:c r="N126" s="42" t="n">
        <x:f>'Evaluation Plan'!N126</x:f>
        <x:v>4</x:v>
      </x:c>
      <x:c r="O126" s="42" t="n">
        <x:f>'Evaluation Plan'!O126</x:f>
        <x:v>1</x:v>
      </x:c>
      <x:c r="P126" s="42" t="str">
        <x:f>'Evaluation Plan'!P126</x:f>
        <x:v>Empty</x:v>
      </x:c>
      <x:c r="Q126" s="41" t="str">
        <x:f>'Evaluation Plan'!Q126</x:f>
        <x:v>Cross-task block candidate pair — between</x:v>
      </x:c>
      <x:c r="R126" s="42" t="n">
        <x:f>'Evaluation Plan'!R126</x:f>
        <x:v>5</x:v>
      </x:c>
      <x:c r="S126" s="41" t="str">
        <x:f>'Evaluation Plan'!S126</x:f>
        <x:v>Build the listed four-object between scene.</x:v>
      </x:c>
      <x:c r="T126" s="41" t="str">
        <x:f>'Evaluation Plan'!T126</x:f>
        <x:v>Adjacent between counterfactual scenes alternate which block occupies the midpoint.</x:v>
      </x:c>
      <x:c r="U126" s="41" t="n">
        <x:f>'Evaluation Plan'!U126</x:f>
        <x:v>0</x:v>
      </x:c>
    </x:row>
    <x:row r="127" ht="51" customHeight="1">
      <x:c r="A127" s="44" t="str">
        <x:v>Not collected</x:v>
      </x:c>
      <x:c r="B127" s="45" t="n">
        <x:f>'Evaluation Plan'!B127</x:f>
        <x:v>125</x:v>
      </x:c>
      <x:c r="C127" s="44" t="str">
        <x:f>'Evaluation Plan'!C127</x:f>
        <x:v>Put the block between the yellow pen and the crushed Pepsi can in the bowl.</x:v>
      </x:c>
      <x:c r="D127" s="44" t="str">
        <x:f>'Evaluation Plan'!D127</x:f>
        <x:v>Reference A: yellow pen at 14 cm toward robot-right from table centre; Reference B: crushed Pepsi can at 14 cm away toward robot-left from table centre; blue block: at table centre on the straight Reference A–B segment; green block: 12 cm toward robot-left from table centre, off the Reference A–B segment; Bowl: empty</x:v>
      </x:c>
      <x:c r="E127" s="45" t="str">
        <x:f>'Evaluation Plan'!E127</x:f>
      </x:c>
      <x:c r="F127" s="45" t="str">
        <x:f>'Evaluation Plan'!F127</x:f>
        <x:v>530; 1075; 350</x:v>
      </x:c>
      <x:c r="G127" s="44" t="str">
        <x:f>'Evaluation Plan'!G127</x:f>
        <x:v>Between is explicit in Referential Disambiguation, and both block identities are manipulated elsewhere in fine-tuning; block × between is absent.</x:v>
      </x:c>
      <x:c r="H127" s="44" t="str">
        <x:f>'Evaluation Plan'!H127</x:f>
        <x:v>blue block</x:v>
      </x:c>
      <x:c r="I127" s="44" t="str"/>
      <x:c r="J127" s="47" t="str">
        <x:f>'Evaluation Plan'!J127</x:f>
        <x:v>Cross-task block reasoning</x:v>
      </x:c>
      <x:c r="K127" s="45" t="str">
        <x:f>'Evaluation Plan'!K127</x:f>
        <x:v>RD-BLOCK-B01B</x:v>
      </x:c>
      <x:c r="L127" s="45" t="str">
        <x:f>'Evaluation Plan'!L127</x:f>
        <x:v>between</x:v>
      </x:c>
      <x:c r="M127" s="45" t="str">
        <x:f>'Evaluation Plan'!M127</x:f>
        <x:v>block</x:v>
      </x:c>
      <x:c r="N127" s="45" t="n">
        <x:f>'Evaluation Plan'!N127</x:f>
        <x:v>4</x:v>
      </x:c>
      <x:c r="O127" s="45" t="n">
        <x:f>'Evaluation Plan'!O127</x:f>
        <x:v>1</x:v>
      </x:c>
      <x:c r="P127" s="45" t="str">
        <x:f>'Evaluation Plan'!P127</x:f>
        <x:v>Empty</x:v>
      </x:c>
      <x:c r="Q127" s="44" t="str">
        <x:f>'Evaluation Plan'!Q127</x:f>
        <x:v>Cross-task block candidate pair — between</x:v>
      </x:c>
      <x:c r="R127" s="45" t="n">
        <x:f>'Evaluation Plan'!R127</x:f>
        <x:v>5</x:v>
      </x:c>
      <x:c r="S127" s="44" t="str">
        <x:f>'Evaluation Plan'!S127</x:f>
        <x:v>Swap only the green and blue block roles from the preceding between setup.</x:v>
      </x:c>
      <x:c r="T127" s="44" t="str">
        <x:f>'Evaluation Plan'!T127</x:f>
        <x:v>Adjacent between counterfactual scenes alternate which block occupies the midpoint.</x:v>
      </x:c>
      <x:c r="U127" s="44" t="n">
        <x:f>'Evaluation Plan'!U127</x:f>
        <x:v>0</x:v>
      </x:c>
    </x:row>
    <x:row r="128" ht="51" customHeight="1">
      <x:c r="A128" s="41" t="str">
        <x:v>Not collected</x:v>
      </x:c>
      <x:c r="B128" s="42" t="n">
        <x:f>'Evaluation Plan'!B128</x:f>
        <x:v>126</x:v>
      </x:c>
      <x:c r="C128" s="41" t="str">
        <x:f>'Evaluation Plan'!C128</x:f>
        <x:v>Move the block between the green pencil sharpener and the airplane toy with propellers into the bowl.</x:v>
      </x:c>
      <x:c r="D128" s="41" t="str">
        <x:f>'Evaluation Plan'!D128</x:f>
        <x:v>Reference A: green pencil sharpener at 14 cm to robot-left of table centre; Reference B: airplane toy with propellers at 14 cm to robot-right of table centre; green block: at table centre on the straight Reference A–B segment; blue block: 12 cm toward the robot from table centre, off the Reference A–B segment; Bowl: empty</x:v>
      </x:c>
      <x:c r="E128" s="42" t="str">
        <x:f>'Evaluation Plan'!E128</x:f>
      </x:c>
      <x:c r="F128" s="42" t="str">
        <x:f>'Evaluation Plan'!F128</x:f>
        <x:v>530; 1075; 350</x:v>
      </x:c>
      <x:c r="G128" s="41" t="str">
        <x:f>'Evaluation Plan'!G128</x:f>
        <x:v>Between is explicit in Referential Disambiguation, and both block identities are manipulated elsewhere in fine-tuning; block × between is absent.</x:v>
      </x:c>
      <x:c r="H128" s="41" t="str">
        <x:f>'Evaluation Plan'!H128</x:f>
        <x:v>green block</x:v>
      </x:c>
      <x:c r="I128" s="41" t="str"/>
      <x:c r="J128" s="47" t="str">
        <x:f>'Evaluation Plan'!J128</x:f>
        <x:v>Cross-task block reasoning</x:v>
      </x:c>
      <x:c r="K128" s="42" t="str">
        <x:f>'Evaluation Plan'!K128</x:f>
        <x:v>RD-BLOCK-B02A</x:v>
      </x:c>
      <x:c r="L128" s="42" t="str">
        <x:f>'Evaluation Plan'!L128</x:f>
        <x:v>between</x:v>
      </x:c>
      <x:c r="M128" s="42" t="str">
        <x:f>'Evaluation Plan'!M128</x:f>
        <x:v>block</x:v>
      </x:c>
      <x:c r="N128" s="42" t="n">
        <x:f>'Evaluation Plan'!N128</x:f>
        <x:v>4</x:v>
      </x:c>
      <x:c r="O128" s="42" t="n">
        <x:f>'Evaluation Plan'!O128</x:f>
        <x:v>1</x:v>
      </x:c>
      <x:c r="P128" s="42" t="str">
        <x:f>'Evaluation Plan'!P128</x:f>
        <x:v>Empty</x:v>
      </x:c>
      <x:c r="Q128" s="41" t="str">
        <x:f>'Evaluation Plan'!Q128</x:f>
        <x:v>Cross-task block candidate pair — between</x:v>
      </x:c>
      <x:c r="R128" s="42" t="n">
        <x:f>'Evaluation Plan'!R128</x:f>
        <x:v>5</x:v>
      </x:c>
      <x:c r="S128" s="41" t="str">
        <x:f>'Evaluation Plan'!S128</x:f>
        <x:v>Build the listed four-object between scene.</x:v>
      </x:c>
      <x:c r="T128" s="41" t="str">
        <x:f>'Evaluation Plan'!T128</x:f>
        <x:v>Adjacent between counterfactual scenes alternate which block occupies the midpoint.</x:v>
      </x:c>
      <x:c r="U128" s="41" t="n">
        <x:f>'Evaluation Plan'!U128</x:f>
        <x:v>0</x:v>
      </x:c>
    </x:row>
    <x:row r="129" ht="51" customHeight="1">
      <x:c r="A129" s="44" t="str">
        <x:v>Not collected</x:v>
      </x:c>
      <x:c r="B129" s="45" t="n">
        <x:f>'Evaluation Plan'!B129</x:f>
        <x:v>127</x:v>
      </x:c>
      <x:c r="C129" s="44" t="str">
        <x:f>'Evaluation Plan'!C129</x:f>
        <x:v>Pick up the block between the red pencil sharpener and the airplane toy without propellers and place it in the bowl.</x:v>
      </x:c>
      <x:c r="D129" s="44" t="str">
        <x:f>'Evaluation Plan'!D129</x:f>
        <x:v>Reference A: red pencil sharpener at 14 cm toward the robot from table centre; Reference B: airplane toy without propellers at 14 cm away from the robot from table centre; blue block: at table centre on the straight Reference A–B segment; green block: 12 cm to robot-right of table centre, off the Reference A–B segment; Bowl: empty</x:v>
      </x:c>
      <x:c r="E129" s="45" t="str">
        <x:f>'Evaluation Plan'!E129</x:f>
      </x:c>
      <x:c r="F129" s="45" t="str">
        <x:f>'Evaluation Plan'!F129</x:f>
        <x:v>530; 1075; 350</x:v>
      </x:c>
      <x:c r="G129" s="44" t="str">
        <x:f>'Evaluation Plan'!G129</x:f>
        <x:v>Between is explicit in Referential Disambiguation, and both block identities are manipulated elsewhere in fine-tuning; block × between is absent.</x:v>
      </x:c>
      <x:c r="H129" s="44" t="str">
        <x:f>'Evaluation Plan'!H129</x:f>
        <x:v>blue block</x:v>
      </x:c>
      <x:c r="I129" s="44" t="str"/>
      <x:c r="J129" s="47" t="str">
        <x:f>'Evaluation Plan'!J129</x:f>
        <x:v>Cross-task block reasoning</x:v>
      </x:c>
      <x:c r="K129" s="45" t="str">
        <x:f>'Evaluation Plan'!K129</x:f>
        <x:v>RD-BLOCK-B02B</x:v>
      </x:c>
      <x:c r="L129" s="45" t="str">
        <x:f>'Evaluation Plan'!L129</x:f>
        <x:v>between</x:v>
      </x:c>
      <x:c r="M129" s="45" t="str">
        <x:f>'Evaluation Plan'!M129</x:f>
        <x:v>block</x:v>
      </x:c>
      <x:c r="N129" s="45" t="n">
        <x:f>'Evaluation Plan'!N129</x:f>
        <x:v>4</x:v>
      </x:c>
      <x:c r="O129" s="45" t="n">
        <x:f>'Evaluation Plan'!O129</x:f>
        <x:v>1</x:v>
      </x:c>
      <x:c r="P129" s="45" t="str">
        <x:f>'Evaluation Plan'!P129</x:f>
        <x:v>Empty</x:v>
      </x:c>
      <x:c r="Q129" s="44" t="str">
        <x:f>'Evaluation Plan'!Q129</x:f>
        <x:v>Cross-task block candidate pair — between</x:v>
      </x:c>
      <x:c r="R129" s="45" t="n">
        <x:f>'Evaluation Plan'!R129</x:f>
        <x:v>5</x:v>
      </x:c>
      <x:c r="S129" s="44" t="str">
        <x:f>'Evaluation Plan'!S129</x:f>
        <x:v>Swap only the green and blue block roles from the preceding between setup.</x:v>
      </x:c>
      <x:c r="T129" s="44" t="str">
        <x:f>'Evaluation Plan'!T129</x:f>
        <x:v>Adjacent between counterfactual scenes alternate which block occupies the midpoint.</x:v>
      </x:c>
      <x:c r="U129" s="44" t="n">
        <x:f>'Evaluation Plan'!U129</x:f>
        <x:v>0</x:v>
      </x:c>
    </x:row>
    <x:row r="130" ht="51" customHeight="1">
      <x:c r="A130" s="41" t="str">
        <x:v>Not collected</x:v>
      </x:c>
      <x:c r="B130" s="42" t="n">
        <x:f>'Evaluation Plan'!B130</x:f>
        <x:v>128</x:v>
      </x:c>
      <x:c r="C130" s="41" t="str">
        <x:f>'Evaluation Plan'!C130</x:f>
        <x:v>Put the block between the green pen and the airplane toy without propellers in the bowl.</x:v>
      </x:c>
      <x:c r="D130" s="41" t="str">
        <x:f>'Evaluation Plan'!D130</x:f>
        <x:v>Reference A: green pen at 14 cm toward robot-left from table centre; Reference B: airplane toy without propellers at 14 cm away toward robot-right from table centre; green block: at table centre on the straight Reference A–B segment; blue block: 12 cm toward robot-right from table centre, off the Reference A–B segment; Bowl: empty</x:v>
      </x:c>
      <x:c r="E130" s="42" t="str">
        <x:f>'Evaluation Plan'!E130</x:f>
      </x:c>
      <x:c r="F130" s="42" t="str">
        <x:f>'Evaluation Plan'!F130</x:f>
        <x:v>530; 1075; 350</x:v>
      </x:c>
      <x:c r="G130" s="41" t="str">
        <x:f>'Evaluation Plan'!G130</x:f>
        <x:v>Between is explicit in Referential Disambiguation, and both block identities are manipulated elsewhere in fine-tuning; block × between is absent.</x:v>
      </x:c>
      <x:c r="H130" s="41" t="str">
        <x:f>'Evaluation Plan'!H130</x:f>
        <x:v>green block</x:v>
      </x:c>
      <x:c r="I130" s="41" t="str"/>
      <x:c r="J130" s="47" t="str">
        <x:f>'Evaluation Plan'!J130</x:f>
        <x:v>Cross-task block reasoning</x:v>
      </x:c>
      <x:c r="K130" s="42" t="str">
        <x:f>'Evaluation Plan'!K130</x:f>
        <x:v>RD-BLOCK-B03A</x:v>
      </x:c>
      <x:c r="L130" s="42" t="str">
        <x:f>'Evaluation Plan'!L130</x:f>
        <x:v>between</x:v>
      </x:c>
      <x:c r="M130" s="42" t="str">
        <x:f>'Evaluation Plan'!M130</x:f>
        <x:v>block</x:v>
      </x:c>
      <x:c r="N130" s="42" t="n">
        <x:f>'Evaluation Plan'!N130</x:f>
        <x:v>4</x:v>
      </x:c>
      <x:c r="O130" s="42" t="n">
        <x:f>'Evaluation Plan'!O130</x:f>
        <x:v>1</x:v>
      </x:c>
      <x:c r="P130" s="42" t="str">
        <x:f>'Evaluation Plan'!P130</x:f>
        <x:v>Empty</x:v>
      </x:c>
      <x:c r="Q130" s="41" t="str">
        <x:f>'Evaluation Plan'!Q130</x:f>
        <x:v>Cross-task block candidate pair — between</x:v>
      </x:c>
      <x:c r="R130" s="42" t="n">
        <x:f>'Evaluation Plan'!R130</x:f>
        <x:v>5</x:v>
      </x:c>
      <x:c r="S130" s="41" t="str">
        <x:f>'Evaluation Plan'!S130</x:f>
        <x:v>Build the listed four-object between scene.</x:v>
      </x:c>
      <x:c r="T130" s="41" t="str">
        <x:f>'Evaluation Plan'!T130</x:f>
        <x:v>Adjacent between counterfactual scenes alternate which block occupies the midpoint.</x:v>
      </x:c>
      <x:c r="U130" s="41" t="n">
        <x:f>'Evaluation Plan'!U130</x:f>
        <x:v>0</x:v>
      </x:c>
    </x:row>
    <x:row r="131" ht="51" customHeight="1">
      <x:c r="A131" s="44" t="str">
        <x:v>Not collected</x:v>
      </x:c>
      <x:c r="B131" s="45" t="n">
        <x:f>'Evaluation Plan'!B131</x:f>
        <x:v>129</x:v>
      </x:c>
      <x:c r="C131" s="44" t="str">
        <x:f>'Evaluation Plan'!C131</x:f>
        <x:v>Move the block between the yellow pen and the airplane toy with propellers into the bowl.</x:v>
      </x:c>
      <x:c r="D131" s="44" t="str">
        <x:f>'Evaluation Plan'!D131</x:f>
        <x:v>Reference A: yellow pen at 14 cm toward robot-right from table centre; Reference B: airplane toy with propellers at 14 cm away toward robot-left from table centre; blue block: at table centre on the straight Reference A–B segment; green block: 12 cm toward robot-left from table centre, off the Reference A–B segment; Bowl: empty</x:v>
      </x:c>
      <x:c r="E131" s="45" t="str">
        <x:f>'Evaluation Plan'!E131</x:f>
      </x:c>
      <x:c r="F131" s="45" t="str">
        <x:f>'Evaluation Plan'!F131</x:f>
        <x:v>530; 1075; 350</x:v>
      </x:c>
      <x:c r="G131" s="44" t="str">
        <x:f>'Evaluation Plan'!G131</x:f>
        <x:v>Between is explicit in Referential Disambiguation, and both block identities are manipulated elsewhere in fine-tuning; block × between is absent.</x:v>
      </x:c>
      <x:c r="H131" s="44" t="str">
        <x:f>'Evaluation Plan'!H131</x:f>
        <x:v>blue block</x:v>
      </x:c>
      <x:c r="I131" s="44" t="str"/>
      <x:c r="J131" s="47" t="str">
        <x:f>'Evaluation Plan'!J131</x:f>
        <x:v>Cross-task block reasoning</x:v>
      </x:c>
      <x:c r="K131" s="45" t="str">
        <x:f>'Evaluation Plan'!K131</x:f>
        <x:v>RD-BLOCK-B03B</x:v>
      </x:c>
      <x:c r="L131" s="45" t="str">
        <x:f>'Evaluation Plan'!L131</x:f>
        <x:v>between</x:v>
      </x:c>
      <x:c r="M131" s="45" t="str">
        <x:f>'Evaluation Plan'!M131</x:f>
        <x:v>block</x:v>
      </x:c>
      <x:c r="N131" s="45" t="n">
        <x:f>'Evaluation Plan'!N131</x:f>
        <x:v>4</x:v>
      </x:c>
      <x:c r="O131" s="45" t="n">
        <x:f>'Evaluation Plan'!O131</x:f>
        <x:v>1</x:v>
      </x:c>
      <x:c r="P131" s="45" t="str">
        <x:f>'Evaluation Plan'!P131</x:f>
        <x:v>Empty</x:v>
      </x:c>
      <x:c r="Q131" s="44" t="str">
        <x:f>'Evaluation Plan'!Q131</x:f>
        <x:v>Cross-task block candidate pair — between</x:v>
      </x:c>
      <x:c r="R131" s="45" t="n">
        <x:f>'Evaluation Plan'!R131</x:f>
        <x:v>5</x:v>
      </x:c>
      <x:c r="S131" s="44" t="str">
        <x:f>'Evaluation Plan'!S131</x:f>
        <x:v>Swap only the green and blue block roles from the preceding between setup.</x:v>
      </x:c>
      <x:c r="T131" s="44" t="str">
        <x:f>'Evaluation Plan'!T131</x:f>
        <x:v>Adjacent between counterfactual scenes alternate which block occupies the midpoint.</x:v>
      </x:c>
      <x:c r="U131" s="44" t="n">
        <x:f>'Evaluation Plan'!U131</x:f>
        <x:v>0</x:v>
      </x:c>
    </x:row>
    <x:row r="132" ht="51" customHeight="1">
      <x:c r="A132" s="41" t="str">
        <x:v>Not collected</x:v>
      </x:c>
      <x:c r="B132" s="42" t="n">
        <x:f>'Evaluation Plan'!B132</x:f>
        <x:v>130</x:v>
      </x:c>
      <x:c r="C132" s="41" t="str">
        <x:f>'Evaluation Plan'!C132</x:f>
        <x:v>Pick up the crushed soda can between the green pen and the airplane toy with propellers and place it in the bowl.</x:v>
      </x:c>
      <x:c r="D132" s="41" t="str">
        <x:f>'Evaluation Plan'!D132</x:f>
        <x:v>Reference A: green pen at 14 cm to robot-left of table centre; Reference B: airplane toy with propellers at 14 cm to robot-right of table centre; Absent candidate pair: crushed Coke can and crushed Pepsi can are not in the scene; Bowl: empty</x:v>
      </x:c>
      <x:c r="E132" s="42" t="str">
        <x:f>'Evaluation Plan'!E132</x:f>
      </x:c>
      <x:c r="F132" s="42" t="str">
        <x:f>'Evaluation Plan'!F132</x:f>
        <x:v>430</x:v>
      </x:c>
      <x:c r="G132" s="41" t="str">
        <x:f>'Evaluation Plan'!G132</x:f>
        <x:v>The relation × candidate-category prompt cell is explicitly trained. The evaluation scene deliberately removes both candidate identities; the abstention outcome is not demonstrated in training.</x:v>
      </x:c>
      <x:c r="H132" s="41" t="str">
        <x:f>'Evaluation Plan'!H132</x:f>
        <x:v>NO-OP; neither crushed Coke can nor crushed Pepsi can is present</x:v>
      </x:c>
      <x:c r="I132" s="41" t="str"/>
      <x:c r="J132" s="48" t="str">
        <x:f>'Evaluation Plan'!J132</x:f>
        <x:v>No valid candidate category / no movement</x:v>
      </x:c>
      <x:c r="K132" s="42" t="str">
        <x:f>'Evaluation Plan'!K132</x:f>
        <x:v>RD-NOVALID01</x:v>
      </x:c>
      <x:c r="L132" s="42" t="str">
        <x:f>'Evaluation Plan'!L132</x:f>
        <x:v>between</x:v>
      </x:c>
      <x:c r="M132" s="42" t="str">
        <x:f>'Evaluation Plan'!M132</x:f>
        <x:v>crushed soda can</x:v>
      </x:c>
      <x:c r="N132" s="42" t="n">
        <x:f>'Evaluation Plan'!N132</x:f>
        <x:v>2</x:v>
      </x:c>
      <x:c r="O132" s="42" t="n">
        <x:f>'Evaluation Plan'!O132</x:f>
        <x:v>0</x:v>
      </x:c>
      <x:c r="P132" s="42" t="str">
        <x:f>'Evaluation Plan'!P132</x:f>
        <x:v>Empty</x:v>
      </x:c>
      <x:c r="Q132" s="41" t="str">
        <x:f>'Evaluation Plan'!Q132</x:f>
        <x:v>Queried candidate pair absent; bowl remains empty</x:v>
      </x:c>
      <x:c r="R132" s="42" t="n">
        <x:f>'Evaluation Plan'!R132</x:f>
        <x:v>6</x:v>
      </x:c>
      <x:c r="S132" s="41" t="str">
        <x:f>'Evaluation Plan'!S132</x:f>
        <x:v>Build the listed candidate-absent scene and confirm the bowl is empty.</x:v>
      </x:c>
      <x:c r="T132" s="41" t="str">
        <x:f>'Evaluation Plan'!T132</x:f>
        <x:v>The instruction uses normal active-trial wording. Success requires no grasp or object displacement.</x:v>
      </x:c>
      <x:c r="U132" s="41" t="n">
        <x:f>'Evaluation Plan'!U132</x:f>
        <x:v>0</x:v>
      </x:c>
    </x:row>
    <x:row r="133" ht="51" customHeight="1">
      <x:c r="A133" s="44" t="str">
        <x:v>Not collected</x:v>
      </x:c>
      <x:c r="B133" s="45" t="n">
        <x:f>'Evaluation Plan'!B133</x:f>
        <x:v>131</x:v>
      </x:c>
      <x:c r="C133" s="44" t="str">
        <x:f>'Evaluation Plan'!C133</x:f>
        <x:v>Pick up the pencil sharpener closest to the crushed Coke can and place it in the bowl.</x:v>
      </x:c>
      <x:c r="D133" s="44" t="str">
        <x:f>'Evaluation Plan'!D133</x:f>
        <x:v>Reference: crushed Coke can at table centre; green pen: at the far robot-left corner, outside the distance comparison; yellow pen: at the far robot-right corner, outside the distance comparison; Absent candidate pair: green pencil sharpener and red pencil sharpener are not in the scene; Bowl: empty</x:v>
      </x:c>
      <x:c r="E133" s="45" t="str">
        <x:f>'Evaluation Plan'!E133</x:f>
      </x:c>
      <x:c r="F133" s="45" t="str">
        <x:f>'Evaluation Plan'!F133</x:f>
        <x:v>450</x:v>
      </x:c>
      <x:c r="G133" s="44" t="str">
        <x:f>'Evaluation Plan'!G133</x:f>
        <x:v>The relation × candidate-category prompt cell is explicitly trained. The evaluation scene deliberately removes both candidate identities; the abstention outcome is not demonstrated in training.</x:v>
      </x:c>
      <x:c r="H133" s="44" t="str">
        <x:f>'Evaluation Plan'!H133</x:f>
        <x:v>NO-OP; neither green pencil sharpener nor red pencil sharpener is present</x:v>
      </x:c>
      <x:c r="I133" s="44" t="str"/>
      <x:c r="J133" s="48" t="str">
        <x:f>'Evaluation Plan'!J133</x:f>
        <x:v>No valid candidate category / no movement</x:v>
      </x:c>
      <x:c r="K133" s="45" t="str">
        <x:f>'Evaluation Plan'!K133</x:f>
        <x:v>RD-NOVALID02</x:v>
      </x:c>
      <x:c r="L133" s="45" t="str">
        <x:f>'Evaluation Plan'!L133</x:f>
        <x:v>closest</x:v>
      </x:c>
      <x:c r="M133" s="45" t="str">
        <x:f>'Evaluation Plan'!M133</x:f>
        <x:v>pencil sharpener</x:v>
      </x:c>
      <x:c r="N133" s="45" t="n">
        <x:f>'Evaluation Plan'!N133</x:f>
        <x:v>3</x:v>
      </x:c>
      <x:c r="O133" s="45" t="n">
        <x:f>'Evaluation Plan'!O133</x:f>
        <x:v>0</x:v>
      </x:c>
      <x:c r="P133" s="45" t="str">
        <x:f>'Evaluation Plan'!P133</x:f>
        <x:v>Empty</x:v>
      </x:c>
      <x:c r="Q133" s="44" t="str">
        <x:f>'Evaluation Plan'!Q133</x:f>
        <x:v>Queried candidate pair absent; bowl remains empty</x:v>
      </x:c>
      <x:c r="R133" s="45" t="n">
        <x:f>'Evaluation Plan'!R133</x:f>
        <x:v>6</x:v>
      </x:c>
      <x:c r="S133" s="44" t="str">
        <x:f>'Evaluation Plan'!S133</x:f>
        <x:v>Build the listed candidate-absent scene and confirm the bowl is empty.</x:v>
      </x:c>
      <x:c r="T133" s="44" t="str">
        <x:f>'Evaluation Plan'!T133</x:f>
        <x:v>The instruction uses normal active-trial wording. Success requires no grasp or object displacement.</x:v>
      </x:c>
      <x:c r="U133" s="44" t="n">
        <x:f>'Evaluation Plan'!U133</x:f>
        <x:v>0</x:v>
      </x:c>
    </x:row>
    <x:row r="134" ht="51" customHeight="1">
      <x:c r="A134" s="41" t="str">
        <x:v>Not collected</x:v>
      </x:c>
      <x:c r="B134" s="42" t="n">
        <x:f>'Evaluation Plan'!B134</x:f>
        <x:v>132</x:v>
      </x:c>
      <x:c r="C134" s="41" t="str">
        <x:f>'Evaluation Plan'!C134</x:f>
        <x:v>Put the airplane toy closest to the green pencil sharpener in the bowl.</x:v>
      </x:c>
      <x:c r="D134" s="41" t="str">
        <x:f>'Evaluation Plan'!D134</x:f>
        <x:v>Reference: green pencil sharpener at table centre; red pencil sharpener: at the far robot-left corner, outside the distance comparison; green pen: at the far robot-right corner, outside the distance comparison; yellow pen: near the back edge, outside the distance comparison; Absent candidate pair: airplane toy with propellers and airplane toy without propellers are not in the scene; Bowl: empty</x:v>
      </x:c>
      <x:c r="E134" s="42" t="str">
        <x:f>'Evaluation Plan'!E134</x:f>
      </x:c>
      <x:c r="F134" s="42" t="str">
        <x:f>'Evaluation Plan'!F134</x:f>
        <x:v>550</x:v>
      </x:c>
      <x:c r="G134" s="41" t="str">
        <x:f>'Evaluation Plan'!G134</x:f>
        <x:v>The relation × candidate-category prompt cell is explicitly trained. The evaluation scene deliberately removes both candidate identities; the abstention outcome is not demonstrated in training.</x:v>
      </x:c>
      <x:c r="H134" s="41" t="str">
        <x:f>'Evaluation Plan'!H134</x:f>
        <x:v>NO-OP; neither airplane toy with propellers nor airplane toy without propellers is present</x:v>
      </x:c>
      <x:c r="I134" s="41" t="str"/>
      <x:c r="J134" s="48" t="str">
        <x:f>'Evaluation Plan'!J134</x:f>
        <x:v>No valid candidate category / no movement</x:v>
      </x:c>
      <x:c r="K134" s="42" t="str">
        <x:f>'Evaluation Plan'!K134</x:f>
        <x:v>RD-NOVALID03</x:v>
      </x:c>
      <x:c r="L134" s="42" t="str">
        <x:f>'Evaluation Plan'!L134</x:f>
        <x:v>closest</x:v>
      </x:c>
      <x:c r="M134" s="42" t="str">
        <x:f>'Evaluation Plan'!M134</x:f>
        <x:v>airplane toy</x:v>
      </x:c>
      <x:c r="N134" s="42" t="n">
        <x:f>'Evaluation Plan'!N134</x:f>
        <x:v>4</x:v>
      </x:c>
      <x:c r="O134" s="42" t="n">
        <x:f>'Evaluation Plan'!O134</x:f>
        <x:v>0</x:v>
      </x:c>
      <x:c r="P134" s="42" t="str">
        <x:f>'Evaluation Plan'!P134</x:f>
        <x:v>Empty</x:v>
      </x:c>
      <x:c r="Q134" s="41" t="str">
        <x:f>'Evaluation Plan'!Q134</x:f>
        <x:v>Queried candidate pair absent; bowl remains empty</x:v>
      </x:c>
      <x:c r="R134" s="42" t="n">
        <x:f>'Evaluation Plan'!R134</x:f>
        <x:v>6</x:v>
      </x:c>
      <x:c r="S134" s="41" t="str">
        <x:f>'Evaluation Plan'!S134</x:f>
        <x:v>Build the listed candidate-absent scene and confirm the bowl is empty.</x:v>
      </x:c>
      <x:c r="T134" s="41" t="str">
        <x:f>'Evaluation Plan'!T134</x:f>
        <x:v>The instruction uses normal active-trial wording. Success requires no grasp or object displacement.</x:v>
      </x:c>
      <x:c r="U134" s="41" t="n">
        <x:f>'Evaluation Plan'!U134</x:f>
        <x:v>0</x:v>
      </x:c>
    </x:row>
    <x:row r="135" ht="51" customHeight="1">
      <x:c r="A135" s="44" t="str">
        <x:v>Not collected</x:v>
      </x:c>
      <x:c r="B135" s="45" t="n">
        <x:f>'Evaluation Plan'!B135</x:f>
        <x:v>133</x:v>
      </x:c>
      <x:c r="C135" s="44" t="str">
        <x:f>'Evaluation Plan'!C135</x:f>
        <x:v>Pick up the pen furthest from the crushed Pepsi can and place it in the bowl.</x:v>
      </x:c>
      <x:c r="D135" s="44" t="str">
        <x:f>'Evaluation Plan'!D135</x:f>
        <x:v>Reference: crushed Pepsi can at table centre; airplane toy with propellers: at the far robot-left corner, outside the distance comparison; Absent candidate pair: green pen and yellow pen are not in the scene; Bowl: empty</x:v>
      </x:c>
      <x:c r="E135" s="45" t="str">
        <x:f>'Evaluation Plan'!E135</x:f>
      </x:c>
      <x:c r="F135" s="45" t="str">
        <x:f>'Evaluation Plan'!F135</x:f>
        <x:v>515</x:v>
      </x:c>
      <x:c r="G135" s="44" t="str">
        <x:f>'Evaluation Plan'!G135</x:f>
        <x:v>The relation × candidate-category prompt cell is explicitly trained. The evaluation scene deliberately removes both candidate identities; the abstention outcome is not demonstrated in training.</x:v>
      </x:c>
      <x:c r="H135" s="44" t="str">
        <x:f>'Evaluation Plan'!H135</x:f>
        <x:v>NO-OP; neither green pen nor yellow pen is present</x:v>
      </x:c>
      <x:c r="I135" s="44" t="str"/>
      <x:c r="J135" s="48" t="str">
        <x:f>'Evaluation Plan'!J135</x:f>
        <x:v>No valid candidate category / no movement</x:v>
      </x:c>
      <x:c r="K135" s="45" t="str">
        <x:f>'Evaluation Plan'!K135</x:f>
        <x:v>RD-NOVALID04</x:v>
      </x:c>
      <x:c r="L135" s="45" t="str">
        <x:f>'Evaluation Plan'!L135</x:f>
        <x:v>furthest</x:v>
      </x:c>
      <x:c r="M135" s="45" t="str">
        <x:f>'Evaluation Plan'!M135</x:f>
        <x:v>pen</x:v>
      </x:c>
      <x:c r="N135" s="45" t="n">
        <x:f>'Evaluation Plan'!N135</x:f>
        <x:v>2</x:v>
      </x:c>
      <x:c r="O135" s="45" t="n">
        <x:f>'Evaluation Plan'!O135</x:f>
        <x:v>0</x:v>
      </x:c>
      <x:c r="P135" s="45" t="str">
        <x:f>'Evaluation Plan'!P135</x:f>
        <x:v>Empty</x:v>
      </x:c>
      <x:c r="Q135" s="44" t="str">
        <x:f>'Evaluation Plan'!Q135</x:f>
        <x:v>Queried candidate pair absent; bowl remains empty</x:v>
      </x:c>
      <x:c r="R135" s="45" t="n">
        <x:f>'Evaluation Plan'!R135</x:f>
        <x:v>6</x:v>
      </x:c>
      <x:c r="S135" s="44" t="str">
        <x:f>'Evaluation Plan'!S135</x:f>
        <x:v>Build the listed candidate-absent scene and confirm the bowl is empty.</x:v>
      </x:c>
      <x:c r="T135" s="44" t="str">
        <x:f>'Evaluation Plan'!T135</x:f>
        <x:v>The instruction uses normal active-trial wording. Success requires no grasp or object displacement.</x:v>
      </x:c>
      <x:c r="U135" s="44" t="n">
        <x:f>'Evaluation Plan'!U135</x:f>
        <x:v>0</x:v>
      </x:c>
    </x:row>
    <x:row r="136" ht="51" customHeight="1">
      <x:c r="A136" s="41" t="str">
        <x:v>Not collected</x:v>
      </x:c>
      <x:c r="B136" s="42" t="n">
        <x:f>'Evaluation Plan'!B136</x:f>
        <x:v>134</x:v>
      </x:c>
      <x:c r="C136" s="41" t="str">
        <x:f>'Evaluation Plan'!C136</x:f>
        <x:v>Put the crushed soda can furthest from the airplane toy without propellers in the bowl.</x:v>
      </x:c>
      <x:c r="D136" s="41" t="str">
        <x:f>'Evaluation Plan'!D136</x:f>
        <x:v>Reference: airplane toy without propellers at table centre; airplane toy with propellers: at the far robot-left corner, outside the distance comparison; green pencil sharpener: at the far robot-right corner, outside the distance comparison; Absent candidate pair: crushed Coke can and crushed Pepsi can are not in the scene; Bowl: empty</x:v>
      </x:c>
      <x:c r="E136" s="42" t="str">
        <x:f>'Evaluation Plan'!E136</x:f>
      </x:c>
      <x:c r="F136" s="42" t="str">
        <x:f>'Evaluation Plan'!F136</x:f>
        <x:v>415</x:v>
      </x:c>
      <x:c r="G136" s="41" t="str">
        <x:f>'Evaluation Plan'!G136</x:f>
        <x:v>The relation × candidate-category prompt cell is explicitly trained. The evaluation scene deliberately removes both candidate identities; the abstention outcome is not demonstrated in training.</x:v>
      </x:c>
      <x:c r="H136" s="41" t="str">
        <x:f>'Evaluation Plan'!H136</x:f>
        <x:v>NO-OP; neither crushed Coke can nor crushed Pepsi can is present</x:v>
      </x:c>
      <x:c r="I136" s="41" t="str"/>
      <x:c r="J136" s="48" t="str">
        <x:f>'Evaluation Plan'!J136</x:f>
        <x:v>No valid candidate category / no movement</x:v>
      </x:c>
      <x:c r="K136" s="42" t="str">
        <x:f>'Evaluation Plan'!K136</x:f>
        <x:v>RD-NOVALID05</x:v>
      </x:c>
      <x:c r="L136" s="42" t="str">
        <x:f>'Evaluation Plan'!L136</x:f>
        <x:v>furthest</x:v>
      </x:c>
      <x:c r="M136" s="42" t="str">
        <x:f>'Evaluation Plan'!M136</x:f>
        <x:v>crushed soda can</x:v>
      </x:c>
      <x:c r="N136" s="42" t="n">
        <x:f>'Evaluation Plan'!N136</x:f>
        <x:v>3</x:v>
      </x:c>
      <x:c r="O136" s="42" t="n">
        <x:f>'Evaluation Plan'!O136</x:f>
        <x:v>0</x:v>
      </x:c>
      <x:c r="P136" s="42" t="str">
        <x:f>'Evaluation Plan'!P136</x:f>
        <x:v>Empty</x:v>
      </x:c>
      <x:c r="Q136" s="41" t="str">
        <x:f>'Evaluation Plan'!Q136</x:f>
        <x:v>Queried candidate pair absent; bowl remains empty</x:v>
      </x:c>
      <x:c r="R136" s="42" t="n">
        <x:f>'Evaluation Plan'!R136</x:f>
        <x:v>6</x:v>
      </x:c>
      <x:c r="S136" s="41" t="str">
        <x:f>'Evaluation Plan'!S136</x:f>
        <x:v>Build the listed candidate-absent scene and confirm the bowl is empty.</x:v>
      </x:c>
      <x:c r="T136" s="41" t="str">
        <x:f>'Evaluation Plan'!T136</x:f>
        <x:v>The instruction uses normal active-trial wording. Success requires no grasp or object displacement.</x:v>
      </x:c>
      <x:c r="U136" s="41" t="n">
        <x:f>'Evaluation Plan'!U136</x:f>
        <x:v>0</x:v>
      </x:c>
    </x:row>
    <x:row r="137" ht="51" customHeight="1">
      <x:c r="A137" s="44" t="str">
        <x:v>Not collected</x:v>
      </x:c>
      <x:c r="B137" s="45" t="n">
        <x:f>'Evaluation Plan'!B137</x:f>
        <x:v>135</x:v>
      </x:c>
      <x:c r="C137" s="44" t="str">
        <x:f>'Evaluation Plan'!C137</x:f>
        <x:v>Move the pencil sharpener furthest from the airplane toy without propellers into the bowl.</x:v>
      </x:c>
      <x:c r="D137" s="44" t="str">
        <x:f>'Evaluation Plan'!D137</x:f>
        <x:v>Reference: airplane toy without propellers at table centre; crushed Coke can: at the far robot-left corner, outside the distance comparison; crushed Pepsi can: at the far robot-right corner, outside the distance comparison; green pen: near the back edge, outside the distance comparison; Absent candidate pair: green pencil sharpener and red pencil sharpener are not in the scene; Bowl: empty</x:v>
      </x:c>
      <x:c r="E137" s="45" t="str">
        <x:f>'Evaluation Plan'!E137</x:f>
      </x:c>
      <x:c r="F137" s="45" t="str">
        <x:f>'Evaluation Plan'!F137</x:f>
        <x:v>465</x:v>
      </x:c>
      <x:c r="G137" s="44" t="str">
        <x:f>'Evaluation Plan'!G137</x:f>
        <x:v>The relation × candidate-category prompt cell is explicitly trained. The evaluation scene deliberately removes both candidate identities; the abstention outcome is not demonstrated in training.</x:v>
      </x:c>
      <x:c r="H137" s="44" t="str">
        <x:f>'Evaluation Plan'!H137</x:f>
        <x:v>NO-OP; neither green pencil sharpener nor red pencil sharpener is present</x:v>
      </x:c>
      <x:c r="I137" s="44" t="str"/>
      <x:c r="J137" s="48" t="str">
        <x:f>'Evaluation Plan'!J137</x:f>
        <x:v>No valid candidate category / no movement</x:v>
      </x:c>
      <x:c r="K137" s="45" t="str">
        <x:f>'Evaluation Plan'!K137</x:f>
        <x:v>RD-NOVALID06</x:v>
      </x:c>
      <x:c r="L137" s="45" t="str">
        <x:f>'Evaluation Plan'!L137</x:f>
        <x:v>furthest</x:v>
      </x:c>
      <x:c r="M137" s="45" t="str">
        <x:f>'Evaluation Plan'!M137</x:f>
        <x:v>pencil sharpener</x:v>
      </x:c>
      <x:c r="N137" s="45" t="n">
        <x:f>'Evaluation Plan'!N137</x:f>
        <x:v>4</x:v>
      </x:c>
      <x:c r="O137" s="45" t="n">
        <x:f>'Evaluation Plan'!O137</x:f>
        <x:v>0</x:v>
      </x:c>
      <x:c r="P137" s="45" t="str">
        <x:f>'Evaluation Plan'!P137</x:f>
        <x:v>Empty</x:v>
      </x:c>
      <x:c r="Q137" s="44" t="str">
        <x:f>'Evaluation Plan'!Q137</x:f>
        <x:v>Queried candidate pair absent; bowl remains empty</x:v>
      </x:c>
      <x:c r="R137" s="45" t="n">
        <x:f>'Evaluation Plan'!R137</x:f>
        <x:v>6</x:v>
      </x:c>
      <x:c r="S137" s="44" t="str">
        <x:f>'Evaluation Plan'!S137</x:f>
        <x:v>Build the listed candidate-absent scene and confirm the bowl is empty.</x:v>
      </x:c>
      <x:c r="T137" s="44" t="str">
        <x:f>'Evaluation Plan'!T137</x:f>
        <x:v>The instruction uses normal active-trial wording. Success requires no grasp or object displacement.</x:v>
      </x:c>
      <x:c r="U137" s="44" t="n">
        <x:f>'Evaluation Plan'!U137</x:f>
        <x:v>0</x:v>
      </x:c>
    </x:row>
    <x:row r="138" ht="51" customHeight="1">
      <x:c r="A138" s="41" t="str">
        <x:v>Not collected</x:v>
      </x:c>
      <x:c r="B138" s="42" t="n">
        <x:f>'Evaluation Plan'!B138</x:f>
        <x:v>136</x:v>
      </x:c>
      <x:c r="C138" s="41" t="str">
        <x:f>'Evaluation Plan'!C138</x:f>
        <x:v>Put the airplane toy between the green pen and the crushed Coke can in the bowl.</x:v>
      </x:c>
      <x:c r="D138" s="41" t="str">
        <x:f>'Evaluation Plan'!D138</x:f>
        <x:v>Reference A: green pen at 14 cm to robot-left of table centre; Reference B: crushed Coke can at 14 cm to robot-right of table centre; Absent candidate pair: airplane toy with propellers and airplane toy without propellers are not in the scene; Bowl: empty</x:v>
      </x:c>
      <x:c r="E138" s="42" t="str">
        <x:f>'Evaluation Plan'!E138</x:f>
      </x:c>
      <x:c r="F138" s="42" t="str">
        <x:f>'Evaluation Plan'!F138</x:f>
        <x:v>580</x:v>
      </x:c>
      <x:c r="G138" s="41" t="str">
        <x:f>'Evaluation Plan'!G138</x:f>
        <x:v>The relation × candidate-category prompt cell is explicitly trained. The evaluation scene deliberately removes both candidate identities; the abstention outcome is not demonstrated in training.</x:v>
      </x:c>
      <x:c r="H138" s="41" t="str">
        <x:f>'Evaluation Plan'!H138</x:f>
        <x:v>NO-OP; neither airplane toy with propellers nor airplane toy without propellers is present</x:v>
      </x:c>
      <x:c r="I138" s="41" t="str"/>
      <x:c r="J138" s="48" t="str">
        <x:f>'Evaluation Plan'!J138</x:f>
        <x:v>No valid candidate category / no movement</x:v>
      </x:c>
      <x:c r="K138" s="42" t="str">
        <x:f>'Evaluation Plan'!K138</x:f>
        <x:v>RD-NOVALID07</x:v>
      </x:c>
      <x:c r="L138" s="42" t="str">
        <x:f>'Evaluation Plan'!L138</x:f>
        <x:v>between</x:v>
      </x:c>
      <x:c r="M138" s="42" t="str">
        <x:f>'Evaluation Plan'!M138</x:f>
        <x:v>airplane toy</x:v>
      </x:c>
      <x:c r="N138" s="42" t="n">
        <x:f>'Evaluation Plan'!N138</x:f>
        <x:v>2</x:v>
      </x:c>
      <x:c r="O138" s="42" t="n">
        <x:f>'Evaluation Plan'!O138</x:f>
        <x:v>0</x:v>
      </x:c>
      <x:c r="P138" s="42" t="str">
        <x:f>'Evaluation Plan'!P138</x:f>
        <x:v>Empty</x:v>
      </x:c>
      <x:c r="Q138" s="41" t="str">
        <x:f>'Evaluation Plan'!Q138</x:f>
        <x:v>Queried candidate pair absent; bowl remains empty</x:v>
      </x:c>
      <x:c r="R138" s="42" t="n">
        <x:f>'Evaluation Plan'!R138</x:f>
        <x:v>6</x:v>
      </x:c>
      <x:c r="S138" s="41" t="str">
        <x:f>'Evaluation Plan'!S138</x:f>
        <x:v>Build the listed candidate-absent scene and confirm the bowl is empty.</x:v>
      </x:c>
      <x:c r="T138" s="41" t="str">
        <x:f>'Evaluation Plan'!T138</x:f>
        <x:v>The instruction uses normal active-trial wording. Success requires no grasp or object displacement.</x:v>
      </x:c>
      <x:c r="U138" s="41" t="n">
        <x:f>'Evaluation Plan'!U138</x:f>
        <x:v>0</x:v>
      </x:c>
    </x:row>
    <x:row r="139" ht="51" customHeight="1">
      <x:c r="A139" s="44" t="str">
        <x:v>Not collected</x:v>
      </x:c>
      <x:c r="B139" s="45" t="n">
        <x:f>'Evaluation Plan'!B139</x:f>
        <x:v>137</x:v>
      </x:c>
      <x:c r="C139" s="44" t="str">
        <x:f>'Evaluation Plan'!C139</x:f>
        <x:v>Move the pen closest to the green pencil sharpener into the bowl.</x:v>
      </x:c>
      <x:c r="D139" s="44" t="str">
        <x:f>'Evaluation Plan'!D139</x:f>
        <x:v>Reference: green pencil sharpener at table centre; red pencil sharpener: at the far robot-left corner, outside the distance comparison; airplane toy with propellers: at the far robot-right corner, outside the distance comparison; Absent candidate pair: green pen and yellow pen are not in the scene; Bowl: empty</x:v>
      </x:c>
      <x:c r="E139" s="45" t="str">
        <x:f>'Evaluation Plan'!E139</x:f>
      </x:c>
      <x:c r="F139" s="45" t="str">
        <x:f>'Evaluation Plan'!F139</x:f>
        <x:v>500</x:v>
      </x:c>
      <x:c r="G139" s="44" t="str">
        <x:f>'Evaluation Plan'!G139</x:f>
        <x:v>The relation × candidate-category prompt cell is explicitly trained. The evaluation scene deliberately removes both candidate identities; the abstention outcome is not demonstrated in training.</x:v>
      </x:c>
      <x:c r="H139" s="44" t="str">
        <x:f>'Evaluation Plan'!H139</x:f>
        <x:v>NO-OP; neither green pen nor yellow pen is present</x:v>
      </x:c>
      <x:c r="I139" s="44" t="str"/>
      <x:c r="J139" s="48" t="str">
        <x:f>'Evaluation Plan'!J139</x:f>
        <x:v>No valid candidate category / no movement</x:v>
      </x:c>
      <x:c r="K139" s="45" t="str">
        <x:f>'Evaluation Plan'!K139</x:f>
        <x:v>RD-NOVALID08</x:v>
      </x:c>
      <x:c r="L139" s="45" t="str">
        <x:f>'Evaluation Plan'!L139</x:f>
        <x:v>closest</x:v>
      </x:c>
      <x:c r="M139" s="45" t="str">
        <x:f>'Evaluation Plan'!M139</x:f>
        <x:v>pen</x:v>
      </x:c>
      <x:c r="N139" s="45" t="n">
        <x:f>'Evaluation Plan'!N139</x:f>
        <x:v>3</x:v>
      </x:c>
      <x:c r="O139" s="45" t="n">
        <x:f>'Evaluation Plan'!O139</x:f>
        <x:v>0</x:v>
      </x:c>
      <x:c r="P139" s="45" t="str">
        <x:f>'Evaluation Plan'!P139</x:f>
        <x:v>Empty</x:v>
      </x:c>
      <x:c r="Q139" s="44" t="str">
        <x:f>'Evaluation Plan'!Q139</x:f>
        <x:v>Queried candidate pair absent; bowl remains empty</x:v>
      </x:c>
      <x:c r="R139" s="45" t="n">
        <x:f>'Evaluation Plan'!R139</x:f>
        <x:v>6</x:v>
      </x:c>
      <x:c r="S139" s="44" t="str">
        <x:f>'Evaluation Plan'!S139</x:f>
        <x:v>Build the listed candidate-absent scene and confirm the bowl is empty.</x:v>
      </x:c>
      <x:c r="T139" s="44" t="str">
        <x:f>'Evaluation Plan'!T139</x:f>
        <x:v>The instruction uses normal active-trial wording. Success requires no grasp or object displacement.</x:v>
      </x:c>
      <x:c r="U139" s="44" t="n">
        <x:f>'Evaluation Plan'!U139</x:f>
        <x:v>0</x:v>
      </x:c>
    </x:row>
    <x:row r="140" ht="51" customHeight="1">
      <x:c r="A140" s="41" t="str">
        <x:v>Not collected</x:v>
      </x:c>
      <x:c r="B140" s="42" t="n">
        <x:f>'Evaluation Plan'!B140</x:f>
        <x:v>138</x:v>
      </x:c>
      <x:c r="C140" s="41" t="str">
        <x:f>'Evaluation Plan'!C140</x:f>
        <x:v>Move the crushed soda can between the airplane toy without propellers and the red pencil sharpener into the bowl.</x:v>
      </x:c>
      <x:c r="D140" s="41" t="str">
        <x:f>'Evaluation Plan'!D140</x:f>
        <x:v>Reference A: airplane toy without propellers at 14 cm to robot-left of table centre; Reference B: red pencil sharpener at 14 cm to robot-right of table centre; yellow pen: at the far robot-left corner, outside the distance comparison; airplane toy with propellers: at the far robot-right corner, outside the distance comparison; Absent candidate pair: crushed Coke can and crushed Pepsi can are not in the scene; Bowl: empty</x:v>
      </x:c>
      <x:c r="E140" s="42" t="str">
        <x:f>'Evaluation Plan'!E140</x:f>
      </x:c>
      <x:c r="F140" s="42" t="str">
        <x:f>'Evaluation Plan'!F140</x:f>
        <x:v>431</x:v>
      </x:c>
      <x:c r="G140" s="41" t="str">
        <x:f>'Evaluation Plan'!G140</x:f>
        <x:v>The relation × candidate-category prompt cell is explicitly trained. The evaluation scene deliberately removes both candidate identities; the abstention outcome is not demonstrated in training.</x:v>
      </x:c>
      <x:c r="H140" s="41" t="str">
        <x:f>'Evaluation Plan'!H140</x:f>
        <x:v>NO-OP; neither crushed Coke can nor crushed Pepsi can is present</x:v>
      </x:c>
      <x:c r="I140" s="41" t="str"/>
      <x:c r="J140" s="48" t="str">
        <x:f>'Evaluation Plan'!J140</x:f>
        <x:v>No valid candidate category / no movement</x:v>
      </x:c>
      <x:c r="K140" s="42" t="str">
        <x:f>'Evaluation Plan'!K140</x:f>
        <x:v>RD-NOVALID09</x:v>
      </x:c>
      <x:c r="L140" s="42" t="str">
        <x:f>'Evaluation Plan'!L140</x:f>
        <x:v>between</x:v>
      </x:c>
      <x:c r="M140" s="42" t="str">
        <x:f>'Evaluation Plan'!M140</x:f>
        <x:v>crushed soda can</x:v>
      </x:c>
      <x:c r="N140" s="42" t="n">
        <x:f>'Evaluation Plan'!N140</x:f>
        <x:v>4</x:v>
      </x:c>
      <x:c r="O140" s="42" t="n">
        <x:f>'Evaluation Plan'!O140</x:f>
        <x:v>0</x:v>
      </x:c>
      <x:c r="P140" s="42" t="str">
        <x:f>'Evaluation Plan'!P140</x:f>
        <x:v>Empty</x:v>
      </x:c>
      <x:c r="Q140" s="41" t="str">
        <x:f>'Evaluation Plan'!Q140</x:f>
        <x:v>Queried candidate pair absent; bowl remains empty</x:v>
      </x:c>
      <x:c r="R140" s="42" t="n">
        <x:f>'Evaluation Plan'!R140</x:f>
        <x:v>6</x:v>
      </x:c>
      <x:c r="S140" s="41" t="str">
        <x:f>'Evaluation Plan'!S140</x:f>
        <x:v>Build the listed candidate-absent scene and confirm the bowl is empty.</x:v>
      </x:c>
      <x:c r="T140" s="41" t="str">
        <x:f>'Evaluation Plan'!T140</x:f>
        <x:v>The instruction uses normal active-trial wording. Success requires no grasp or object displacement.</x:v>
      </x:c>
      <x:c r="U140" s="41" t="n">
        <x:f>'Evaluation Plan'!U140</x:f>
        <x:v>0</x:v>
      </x:c>
    </x:row>
    <x:row r="141" ht="51" customHeight="1">
      <x:c r="A141" s="44" t="str">
        <x:v>Not collected</x:v>
      </x:c>
      <x:c r="B141" s="45" t="n">
        <x:f>'Evaluation Plan'!B141</x:f>
        <x:v>139</x:v>
      </x:c>
      <x:c r="C141" s="44" t="str">
        <x:f>'Evaluation Plan'!C141</x:f>
        <x:v>Pick up the pencil sharpener closest to the yellow pen and place it in the bowl.</x:v>
      </x:c>
      <x:c r="D141" s="44" t="str">
        <x:f>'Evaluation Plan'!D141</x:f>
        <x:v>Reference: yellow pen at table centre; airplane toy without propellers: at the far robot-left corner, outside the distance comparison; Absent candidate pair: green pencil sharpener and red pencil sharpener are not in the scene; Bowl: empty</x:v>
      </x:c>
      <x:c r="E141" s="45" t="str">
        <x:f>'Evaluation Plan'!E141</x:f>
      </x:c>
      <x:c r="F141" s="45" t="str">
        <x:f>'Evaluation Plan'!F141</x:f>
        <x:v>451</x:v>
      </x:c>
      <x:c r="G141" s="44" t="str">
        <x:f>'Evaluation Plan'!G141</x:f>
        <x:v>The relation × candidate-category prompt cell is explicitly trained. The evaluation scene deliberately removes both candidate identities; the abstention outcome is not demonstrated in training.</x:v>
      </x:c>
      <x:c r="H141" s="44" t="str">
        <x:f>'Evaluation Plan'!H141</x:f>
        <x:v>NO-OP; neither green pencil sharpener nor red pencil sharpener is present</x:v>
      </x:c>
      <x:c r="I141" s="44" t="str"/>
      <x:c r="J141" s="48" t="str">
        <x:f>'Evaluation Plan'!J141</x:f>
        <x:v>No valid candidate category / no movement</x:v>
      </x:c>
      <x:c r="K141" s="45" t="str">
        <x:f>'Evaluation Plan'!K141</x:f>
        <x:v>RD-NOVALID10</x:v>
      </x:c>
      <x:c r="L141" s="45" t="str">
        <x:f>'Evaluation Plan'!L141</x:f>
        <x:v>closest</x:v>
      </x:c>
      <x:c r="M141" s="45" t="str">
        <x:f>'Evaluation Plan'!M141</x:f>
        <x:v>pencil sharpener</x:v>
      </x:c>
      <x:c r="N141" s="45" t="n">
        <x:f>'Evaluation Plan'!N141</x:f>
        <x:v>2</x:v>
      </x:c>
      <x:c r="O141" s="45" t="n">
        <x:f>'Evaluation Plan'!O141</x:f>
        <x:v>0</x:v>
      </x:c>
      <x:c r="P141" s="45" t="str">
        <x:f>'Evaluation Plan'!P141</x:f>
        <x:v>Empty</x:v>
      </x:c>
      <x:c r="Q141" s="44" t="str">
        <x:f>'Evaluation Plan'!Q141</x:f>
        <x:v>Queried candidate pair absent; bowl remains empty</x:v>
      </x:c>
      <x:c r="R141" s="45" t="n">
        <x:f>'Evaluation Plan'!R141</x:f>
        <x:v>6</x:v>
      </x:c>
      <x:c r="S141" s="44" t="str">
        <x:f>'Evaluation Plan'!S141</x:f>
        <x:v>Build the listed candidate-absent scene and confirm the bowl is empty.</x:v>
      </x:c>
      <x:c r="T141" s="44" t="str">
        <x:f>'Evaluation Plan'!T141</x:f>
        <x:v>The instruction uses normal active-trial wording. Success requires no grasp or object displacement.</x:v>
      </x:c>
      <x:c r="U141" s="44" t="n">
        <x:f>'Evaluation Plan'!U141</x:f>
        <x:v>0</x:v>
      </x:c>
    </x:row>
    <x:row r="142" ht="51" customHeight="1">
      <x:c r="A142" s="41" t="str">
        <x:v>Not collected</x:v>
      </x:c>
      <x:c r="B142" s="42" t="n">
        <x:f>'Evaluation Plan'!B142</x:f>
        <x:v>140</x:v>
      </x:c>
      <x:c r="C142" s="41" t="str">
        <x:f>'Evaluation Plan'!C142</x:f>
        <x:v>Pick up the airplane toy between the green pencil sharpener and the yellow pen and place it in the bowl.</x:v>
      </x:c>
      <x:c r="D142" s="41" t="str">
        <x:f>'Evaluation Plan'!D142</x:f>
        <x:v>Reference A: green pencil sharpener at 14 cm to robot-left of table centre; Reference B: yellow pen at 14 cm to robot-right of table centre; crushed Coke can: at the far robot-left corner, outside the distance comparison; Absent candidate pair: airplane toy with propellers and airplane toy without propellers are not in the scene; Bowl: empty</x:v>
      </x:c>
      <x:c r="E142" s="42" t="str">
        <x:f>'Evaluation Plan'!E142</x:f>
      </x:c>
      <x:c r="F142" s="42" t="str">
        <x:f>'Evaluation Plan'!F142</x:f>
        <x:v>581</x:v>
      </x:c>
      <x:c r="G142" s="41" t="str">
        <x:f>'Evaluation Plan'!G142</x:f>
        <x:v>The relation × candidate-category prompt cell is explicitly trained. The evaluation scene deliberately removes both candidate identities; the abstention outcome is not demonstrated in training.</x:v>
      </x:c>
      <x:c r="H142" s="41" t="str">
        <x:f>'Evaluation Plan'!H142</x:f>
        <x:v>NO-OP; neither airplane toy with propellers nor airplane toy without propellers is present</x:v>
      </x:c>
      <x:c r="I142" s="41" t="str"/>
      <x:c r="J142" s="48" t="str">
        <x:f>'Evaluation Plan'!J142</x:f>
        <x:v>No valid candidate category / no movement</x:v>
      </x:c>
      <x:c r="K142" s="42" t="str">
        <x:f>'Evaluation Plan'!K142</x:f>
        <x:v>RD-NOVALID11</x:v>
      </x:c>
      <x:c r="L142" s="42" t="str">
        <x:f>'Evaluation Plan'!L142</x:f>
        <x:v>between</x:v>
      </x:c>
      <x:c r="M142" s="42" t="str">
        <x:f>'Evaluation Plan'!M142</x:f>
        <x:v>airplane toy</x:v>
      </x:c>
      <x:c r="N142" s="42" t="n">
        <x:f>'Evaluation Plan'!N142</x:f>
        <x:v>3</x:v>
      </x:c>
      <x:c r="O142" s="42" t="n">
        <x:f>'Evaluation Plan'!O142</x:f>
        <x:v>0</x:v>
      </x:c>
      <x:c r="P142" s="42" t="str">
        <x:f>'Evaluation Plan'!P142</x:f>
        <x:v>Empty</x:v>
      </x:c>
      <x:c r="Q142" s="41" t="str">
        <x:f>'Evaluation Plan'!Q142</x:f>
        <x:v>Queried candidate pair absent; bowl remains empty</x:v>
      </x:c>
      <x:c r="R142" s="42" t="n">
        <x:f>'Evaluation Plan'!R142</x:f>
        <x:v>6</x:v>
      </x:c>
      <x:c r="S142" s="41" t="str">
        <x:f>'Evaluation Plan'!S142</x:f>
        <x:v>Build the listed candidate-absent scene and confirm the bowl is empty.</x:v>
      </x:c>
      <x:c r="T142" s="41" t="str">
        <x:f>'Evaluation Plan'!T142</x:f>
        <x:v>The instruction uses normal active-trial wording. Success requires no grasp or object displacement.</x:v>
      </x:c>
      <x:c r="U142" s="41" t="n">
        <x:f>'Evaluation Plan'!U142</x:f>
        <x:v>0</x:v>
      </x:c>
    </x:row>
    <x:row r="143" ht="51" customHeight="1">
      <x:c r="A143" s="44" t="str">
        <x:v>Not collected</x:v>
      </x:c>
      <x:c r="B143" s="45" t="n">
        <x:f>'Evaluation Plan'!B143</x:f>
        <x:v>141</x:v>
      </x:c>
      <x:c r="C143" s="44" t="str">
        <x:f>'Evaluation Plan'!C143</x:f>
        <x:v>Pick up the pen furthest from the airplane toy without propellers and place it in the bowl.</x:v>
      </x:c>
      <x:c r="D143" s="44" t="str">
        <x:f>'Evaluation Plan'!D143</x:f>
        <x:v>Reference: airplane toy without propellers at table centre; crushed Pepsi can: at the far robot-left corner, outside the distance comparison; green pencil sharpener: at the far robot-right corner, outside the distance comparison; red pencil sharpener: near the back edge, outside the distance comparison; Absent candidate pair: green pen and yellow pen are not in the scene; Bowl: empty</x:v>
      </x:c>
      <x:c r="E143" s="45" t="str">
        <x:f>'Evaluation Plan'!E143</x:f>
      </x:c>
      <x:c r="F143" s="45" t="str">
        <x:f>'Evaluation Plan'!F143</x:f>
        <x:v>516</x:v>
      </x:c>
      <x:c r="G143" s="44" t="str">
        <x:f>'Evaluation Plan'!G143</x:f>
        <x:v>The relation × candidate-category prompt cell is explicitly trained. The evaluation scene deliberately removes both candidate identities; the abstention outcome is not demonstrated in training.</x:v>
      </x:c>
      <x:c r="H143" s="44" t="str">
        <x:f>'Evaluation Plan'!H143</x:f>
        <x:v>NO-OP; neither green pen nor yellow pen is present</x:v>
      </x:c>
      <x:c r="I143" s="44" t="str"/>
      <x:c r="J143" s="48" t="str">
        <x:f>'Evaluation Plan'!J143</x:f>
        <x:v>No valid candidate category / no movement</x:v>
      </x:c>
      <x:c r="K143" s="45" t="str">
        <x:f>'Evaluation Plan'!K143</x:f>
        <x:v>RD-NOVALID12</x:v>
      </x:c>
      <x:c r="L143" s="45" t="str">
        <x:f>'Evaluation Plan'!L143</x:f>
        <x:v>furthest</x:v>
      </x:c>
      <x:c r="M143" s="45" t="str">
        <x:f>'Evaluation Plan'!M143</x:f>
        <x:v>pen</x:v>
      </x:c>
      <x:c r="N143" s="45" t="n">
        <x:f>'Evaluation Plan'!N143</x:f>
        <x:v>4</x:v>
      </x:c>
      <x:c r="O143" s="45" t="n">
        <x:f>'Evaluation Plan'!O143</x:f>
        <x:v>0</x:v>
      </x:c>
      <x:c r="P143" s="45" t="str">
        <x:f>'Evaluation Plan'!P143</x:f>
        <x:v>Empty</x:v>
      </x:c>
      <x:c r="Q143" s="44" t="str">
        <x:f>'Evaluation Plan'!Q143</x:f>
        <x:v>Queried candidate pair absent; bowl remains empty</x:v>
      </x:c>
      <x:c r="R143" s="45" t="n">
        <x:f>'Evaluation Plan'!R143</x:f>
        <x:v>6</x:v>
      </x:c>
      <x:c r="S143" s="44" t="str">
        <x:f>'Evaluation Plan'!S143</x:f>
        <x:v>Build the listed candidate-absent scene and confirm the bowl is empty.</x:v>
      </x:c>
      <x:c r="T143" s="44" t="str">
        <x:f>'Evaluation Plan'!T143</x:f>
        <x:v>The instruction uses normal active-trial wording. Success requires no grasp or object displacement.</x:v>
      </x:c>
      <x:c r="U143" s="44" t="n">
        <x:f>'Evaluation Plan'!U143</x:f>
        <x:v>0</x:v>
      </x:c>
    </x:row>
    <x:row r="144" ht="51" customHeight="1">
      <x:c r="A144" s="41" t="str">
        <x:v>Not collected</x:v>
      </x:c>
      <x:c r="B144" s="42" t="n">
        <x:f>'Evaluation Plan'!B144</x:f>
        <x:v>142</x:v>
      </x:c>
      <x:c r="C144" s="41" t="str">
        <x:f>'Evaluation Plan'!C144</x:f>
        <x:v>Put the crushed soda can furthest from the green pen in the bowl.</x:v>
      </x:c>
      <x:c r="D144" s="41" t="str">
        <x:f>'Evaluation Plan'!D144</x:f>
        <x:v>Reference: green pen at table centre; yellow pen: at the far robot-left corner, outside the distance comparison; Absent candidate pair: crushed Coke can and crushed Pepsi can are not in the scene; Bowl: empty</x:v>
      </x:c>
      <x:c r="E144" s="42" t="str">
        <x:f>'Evaluation Plan'!E144</x:f>
      </x:c>
      <x:c r="F144" s="42" t="str">
        <x:f>'Evaluation Plan'!F144</x:f>
        <x:v>416</x:v>
      </x:c>
      <x:c r="G144" s="41" t="str">
        <x:f>'Evaluation Plan'!G144</x:f>
        <x:v>The relation × candidate-category prompt cell is explicitly trained. The evaluation scene deliberately removes both candidate identities; the abstention outcome is not demonstrated in training.</x:v>
      </x:c>
      <x:c r="H144" s="41" t="str">
        <x:f>'Evaluation Plan'!H144</x:f>
        <x:v>NO-OP; neither crushed Coke can nor crushed Pepsi can is present</x:v>
      </x:c>
      <x:c r="I144" s="41" t="str"/>
      <x:c r="J144" s="48" t="str">
        <x:f>'Evaluation Plan'!J144</x:f>
        <x:v>No valid candidate category / no movement</x:v>
      </x:c>
      <x:c r="K144" s="42" t="str">
        <x:f>'Evaluation Plan'!K144</x:f>
        <x:v>RD-NOVALID13</x:v>
      </x:c>
      <x:c r="L144" s="42" t="str">
        <x:f>'Evaluation Plan'!L144</x:f>
        <x:v>furthest</x:v>
      </x:c>
      <x:c r="M144" s="42" t="str">
        <x:f>'Evaluation Plan'!M144</x:f>
        <x:v>crushed soda can</x:v>
      </x:c>
      <x:c r="N144" s="42" t="n">
        <x:f>'Evaluation Plan'!N144</x:f>
        <x:v>2</x:v>
      </x:c>
      <x:c r="O144" s="42" t="n">
        <x:f>'Evaluation Plan'!O144</x:f>
        <x:v>0</x:v>
      </x:c>
      <x:c r="P144" s="42" t="str">
        <x:f>'Evaluation Plan'!P144</x:f>
        <x:v>Empty</x:v>
      </x:c>
      <x:c r="Q144" s="41" t="str">
        <x:f>'Evaluation Plan'!Q144</x:f>
        <x:v>Queried candidate pair absent; bowl remains empty</x:v>
      </x:c>
      <x:c r="R144" s="42" t="n">
        <x:f>'Evaluation Plan'!R144</x:f>
        <x:v>6</x:v>
      </x:c>
      <x:c r="S144" s="41" t="str">
        <x:f>'Evaluation Plan'!S144</x:f>
        <x:v>Build the listed candidate-absent scene and confirm the bowl is empty.</x:v>
      </x:c>
      <x:c r="T144" s="41" t="str">
        <x:f>'Evaluation Plan'!T144</x:f>
        <x:v>The instruction uses normal active-trial wording. Success requires no grasp or object displacement.</x:v>
      </x:c>
      <x:c r="U144" s="41" t="n">
        <x:f>'Evaluation Plan'!U144</x:f>
        <x:v>0</x:v>
      </x:c>
    </x:row>
    <x:row r="145" ht="51" customHeight="1">
      <x:c r="A145" s="44" t="str">
        <x:v>Not collected</x:v>
      </x:c>
      <x:c r="B145" s="45" t="n">
        <x:f>'Evaluation Plan'!B145</x:f>
        <x:v>143</x:v>
      </x:c>
      <x:c r="C145" s="44" t="str">
        <x:f>'Evaluation Plan'!C145</x:f>
        <x:v>Put the pencil sharpener closest to the crushed Coke can in the bowl.</x:v>
      </x:c>
      <x:c r="D145" s="44" t="str">
        <x:f>'Evaluation Plan'!D145</x:f>
        <x:v>Reference: crushed Coke can at table centre; airplane toy with propellers: at the far robot-left corner, outside the distance comparison; airplane toy without propellers: at the far robot-right corner, outside the distance comparison; Absent candidate pair: green pencil sharpener and red pencil sharpener are not in the scene; Bowl: empty</x:v>
      </x:c>
      <x:c r="E145" s="45" t="str">
        <x:f>'Evaluation Plan'!E145</x:f>
      </x:c>
      <x:c r="F145" s="45" t="str">
        <x:f>'Evaluation Plan'!F145</x:f>
        <x:v>452</x:v>
      </x:c>
      <x:c r="G145" s="44" t="str">
        <x:f>'Evaluation Plan'!G145</x:f>
        <x:v>The relation × candidate-category prompt cell is explicitly trained. The evaluation scene deliberately removes both candidate identities; the abstention outcome is not demonstrated in training.</x:v>
      </x:c>
      <x:c r="H145" s="44" t="str">
        <x:f>'Evaluation Plan'!H145</x:f>
        <x:v>NO-OP; neither green pencil sharpener nor red pencil sharpener is present</x:v>
      </x:c>
      <x:c r="I145" s="44" t="str"/>
      <x:c r="J145" s="48" t="str">
        <x:f>'Evaluation Plan'!J145</x:f>
        <x:v>No valid candidate category / no movement</x:v>
      </x:c>
      <x:c r="K145" s="45" t="str">
        <x:f>'Evaluation Plan'!K145</x:f>
        <x:v>RD-NOVALID14</x:v>
      </x:c>
      <x:c r="L145" s="45" t="str">
        <x:f>'Evaluation Plan'!L145</x:f>
        <x:v>closest</x:v>
      </x:c>
      <x:c r="M145" s="45" t="str">
        <x:f>'Evaluation Plan'!M145</x:f>
        <x:v>pencil sharpener</x:v>
      </x:c>
      <x:c r="N145" s="45" t="n">
        <x:f>'Evaluation Plan'!N145</x:f>
        <x:v>3</x:v>
      </x:c>
      <x:c r="O145" s="45" t="n">
        <x:f>'Evaluation Plan'!O145</x:f>
        <x:v>0</x:v>
      </x:c>
      <x:c r="P145" s="45" t="str">
        <x:f>'Evaluation Plan'!P145</x:f>
        <x:v>Empty</x:v>
      </x:c>
      <x:c r="Q145" s="44" t="str">
        <x:f>'Evaluation Plan'!Q145</x:f>
        <x:v>Queried candidate pair absent; bowl remains empty</x:v>
      </x:c>
      <x:c r="R145" s="45" t="n">
        <x:f>'Evaluation Plan'!R145</x:f>
        <x:v>6</x:v>
      </x:c>
      <x:c r="S145" s="44" t="str">
        <x:f>'Evaluation Plan'!S145</x:f>
        <x:v>Build the listed candidate-absent scene and confirm the bowl is empty.</x:v>
      </x:c>
      <x:c r="T145" s="44" t="str">
        <x:f>'Evaluation Plan'!T145</x:f>
        <x:v>The instruction uses normal active-trial wording. Success requires no grasp or object displacement.</x:v>
      </x:c>
      <x:c r="U145" s="44" t="n">
        <x:f>'Evaluation Plan'!U145</x:f>
        <x:v>0</x:v>
      </x:c>
    </x:row>
    <x:row r="146" ht="51" customHeight="1">
      <x:c r="A146" s="41" t="str">
        <x:v>Not collected</x:v>
      </x:c>
      <x:c r="B146" s="42" t="n">
        <x:f>'Evaluation Plan'!B146</x:f>
        <x:v>144</x:v>
      </x:c>
      <x:c r="C146" s="41" t="str">
        <x:f>'Evaluation Plan'!C146</x:f>
        <x:v>Move the airplane toy closest to the green pencil sharpener into the bowl.</x:v>
      </x:c>
      <x:c r="D146" s="41" t="str">
        <x:f>'Evaluation Plan'!D146</x:f>
        <x:v>Reference: green pencil sharpener at table centre; yellow pen: at the far robot-left corner, outside the distance comparison; crushed Coke can: at the far robot-right corner, outside the distance comparison; crushed Pepsi can: near the back edge, outside the distance comparison; Absent candidate pair: airplane toy with propellers and airplane toy without propellers are not in the scene; Bowl: empty</x:v>
      </x:c>
      <x:c r="E146" s="42" t="str">
        <x:f>'Evaluation Plan'!E146</x:f>
      </x:c>
      <x:c r="F146" s="42" t="str">
        <x:f>'Evaluation Plan'!F146</x:f>
        <x:v>551</x:v>
      </x:c>
      <x:c r="G146" s="41" t="str">
        <x:f>'Evaluation Plan'!G146</x:f>
        <x:v>The relation × candidate-category prompt cell is explicitly trained. The evaluation scene deliberately removes both candidate identities; the abstention outcome is not demonstrated in training.</x:v>
      </x:c>
      <x:c r="H146" s="41" t="str">
        <x:f>'Evaluation Plan'!H146</x:f>
        <x:v>NO-OP; neither airplane toy with propellers nor airplane toy without propellers is present</x:v>
      </x:c>
      <x:c r="I146" s="41" t="str"/>
      <x:c r="J146" s="48" t="str">
        <x:f>'Evaluation Plan'!J146</x:f>
        <x:v>No valid candidate category / no movement</x:v>
      </x:c>
      <x:c r="K146" s="42" t="str">
        <x:f>'Evaluation Plan'!K146</x:f>
        <x:v>RD-NOVALID15</x:v>
      </x:c>
      <x:c r="L146" s="42" t="str">
        <x:f>'Evaluation Plan'!L146</x:f>
        <x:v>closest</x:v>
      </x:c>
      <x:c r="M146" s="42" t="str">
        <x:f>'Evaluation Plan'!M146</x:f>
        <x:v>airplane toy</x:v>
      </x:c>
      <x:c r="N146" s="42" t="n">
        <x:f>'Evaluation Plan'!N146</x:f>
        <x:v>4</x:v>
      </x:c>
      <x:c r="O146" s="42" t="n">
        <x:f>'Evaluation Plan'!O146</x:f>
        <x:v>0</x:v>
      </x:c>
      <x:c r="P146" s="42" t="str">
        <x:f>'Evaluation Plan'!P146</x:f>
        <x:v>Empty</x:v>
      </x:c>
      <x:c r="Q146" s="41" t="str">
        <x:f>'Evaluation Plan'!Q146</x:f>
        <x:v>Queried candidate pair absent; bowl remains empty</x:v>
      </x:c>
      <x:c r="R146" s="42" t="n">
        <x:f>'Evaluation Plan'!R146</x:f>
        <x:v>6</x:v>
      </x:c>
      <x:c r="S146" s="41" t="str">
        <x:f>'Evaluation Plan'!S146</x:f>
        <x:v>Build the listed candidate-absent scene and confirm the bowl is empty.</x:v>
      </x:c>
      <x:c r="T146" s="41" t="str">
        <x:f>'Evaluation Plan'!T146</x:f>
        <x:v>The instruction uses normal active-trial wording. Success requires no grasp or object displacement.</x:v>
      </x:c>
      <x:c r="U146" s="41" t="n">
        <x:f>'Evaluation Plan'!U146</x:f>
        <x:v>0</x:v>
      </x:c>
    </x:row>
    <x:row r="147" ht="51" customHeight="1">
      <x:c r="A147" s="44" t="str">
        <x:v>Not collected</x:v>
      </x:c>
      <x:c r="B147" s="45" t="n">
        <x:f>'Evaluation Plan'!B147</x:f>
        <x:v>145</x:v>
      </x:c>
      <x:c r="C147" s="44" t="str">
        <x:f>'Evaluation Plan'!C147</x:f>
        <x:v>Move the pen furthest from the crushed Pepsi can into the bowl.</x:v>
      </x:c>
      <x:c r="D147" s="44" t="str">
        <x:f>'Evaluation Plan'!D147</x:f>
        <x:v>Reference: crushed Pepsi can at table centre; crushed Coke can: at the far robot-left corner, outside the distance comparison; Absent candidate pair: green pen and yellow pen are not in the scene; Bowl: empty</x:v>
      </x:c>
      <x:c r="E147" s="45" t="str">
        <x:f>'Evaluation Plan'!E147</x:f>
      </x:c>
      <x:c r="F147" s="45" t="str">
        <x:f>'Evaluation Plan'!F147</x:f>
        <x:v>517</x:v>
      </x:c>
      <x:c r="G147" s="44" t="str">
        <x:f>'Evaluation Plan'!G147</x:f>
        <x:v>The relation × candidate-category prompt cell is explicitly trained. The evaluation scene deliberately removes both candidate identities; the abstention outcome is not demonstrated in training.</x:v>
      </x:c>
      <x:c r="H147" s="44" t="str">
        <x:f>'Evaluation Plan'!H147</x:f>
        <x:v>NO-OP; neither green pen nor yellow pen is present</x:v>
      </x:c>
      <x:c r="I147" s="44" t="str"/>
      <x:c r="J147" s="48" t="str">
        <x:f>'Evaluation Plan'!J147</x:f>
        <x:v>No valid candidate category / no movement</x:v>
      </x:c>
      <x:c r="K147" s="45" t="str">
        <x:f>'Evaluation Plan'!K147</x:f>
        <x:v>RD-NOVALID16</x:v>
      </x:c>
      <x:c r="L147" s="45" t="str">
        <x:f>'Evaluation Plan'!L147</x:f>
        <x:v>furthest</x:v>
      </x:c>
      <x:c r="M147" s="45" t="str">
        <x:f>'Evaluation Plan'!M147</x:f>
        <x:v>pen</x:v>
      </x:c>
      <x:c r="N147" s="45" t="n">
        <x:f>'Evaluation Plan'!N147</x:f>
        <x:v>2</x:v>
      </x:c>
      <x:c r="O147" s="45" t="n">
        <x:f>'Evaluation Plan'!O147</x:f>
        <x:v>0</x:v>
      </x:c>
      <x:c r="P147" s="45" t="str">
        <x:f>'Evaluation Plan'!P147</x:f>
        <x:v>Empty</x:v>
      </x:c>
      <x:c r="Q147" s="44" t="str">
        <x:f>'Evaluation Plan'!Q147</x:f>
        <x:v>Queried candidate pair absent; bowl remains empty</x:v>
      </x:c>
      <x:c r="R147" s="45" t="n">
        <x:f>'Evaluation Plan'!R147</x:f>
        <x:v>6</x:v>
      </x:c>
      <x:c r="S147" s="44" t="str">
        <x:f>'Evaluation Plan'!S147</x:f>
        <x:v>Build the listed candidate-absent scene and confirm the bowl is empty.</x:v>
      </x:c>
      <x:c r="T147" s="44" t="str">
        <x:f>'Evaluation Plan'!T147</x:f>
        <x:v>The instruction uses normal active-trial wording. Success requires no grasp or object displacement.</x:v>
      </x:c>
      <x:c r="U147" s="44" t="n">
        <x:f>'Evaluation Plan'!U147</x:f>
        <x:v>0</x:v>
      </x:c>
    </x:row>
    <x:row r="148" ht="51" customHeight="1">
      <x:c r="A148" s="41" t="str">
        <x:v>Not collected</x:v>
      </x:c>
      <x:c r="B148" s="42" t="n">
        <x:f>'Evaluation Plan'!B148</x:f>
        <x:v>146</x:v>
      </x:c>
      <x:c r="C148" s="41" t="str">
        <x:f>'Evaluation Plan'!C148</x:f>
        <x:v>Put the crushed soda can between the green pencil sharpener and the yellow pen in the bowl.</x:v>
      </x:c>
      <x:c r="D148" s="41" t="str">
        <x:f>'Evaluation Plan'!D148</x:f>
        <x:v>Reference A: green pencil sharpener at 14 cm to robot-left of table centre; Reference B: yellow pen at 14 cm to robot-right of table centre; airplane toy with propellers: at the far robot-left corner, outside the distance comparison; Absent candidate pair: crushed Coke can and crushed Pepsi can are not in the scene; Bowl: empty</x:v>
      </x:c>
      <x:c r="E148" s="42" t="str">
        <x:f>'Evaluation Plan'!E148</x:f>
      </x:c>
      <x:c r="F148" s="42" t="str">
        <x:f>'Evaluation Plan'!F148</x:f>
        <x:v>432</x:v>
      </x:c>
      <x:c r="G148" s="41" t="str">
        <x:f>'Evaluation Plan'!G148</x:f>
        <x:v>The relation × candidate-category prompt cell is explicitly trained. The evaluation scene deliberately removes both candidate identities; the abstention outcome is not demonstrated in training.</x:v>
      </x:c>
      <x:c r="H148" s="41" t="str">
        <x:f>'Evaluation Plan'!H148</x:f>
        <x:v>NO-OP; neither crushed Coke can nor crushed Pepsi can is present</x:v>
      </x:c>
      <x:c r="I148" s="41" t="str"/>
      <x:c r="J148" s="48" t="str">
        <x:f>'Evaluation Plan'!J148</x:f>
        <x:v>No valid candidate category / no movement</x:v>
      </x:c>
      <x:c r="K148" s="42" t="str">
        <x:f>'Evaluation Plan'!K148</x:f>
        <x:v>RD-NOVALID17</x:v>
      </x:c>
      <x:c r="L148" s="42" t="str">
        <x:f>'Evaluation Plan'!L148</x:f>
        <x:v>between</x:v>
      </x:c>
      <x:c r="M148" s="42" t="str">
        <x:f>'Evaluation Plan'!M148</x:f>
        <x:v>crushed soda can</x:v>
      </x:c>
      <x:c r="N148" s="42" t="n">
        <x:f>'Evaluation Plan'!N148</x:f>
        <x:v>3</x:v>
      </x:c>
      <x:c r="O148" s="42" t="n">
        <x:f>'Evaluation Plan'!O148</x:f>
        <x:v>0</x:v>
      </x:c>
      <x:c r="P148" s="42" t="str">
        <x:f>'Evaluation Plan'!P148</x:f>
        <x:v>Empty</x:v>
      </x:c>
      <x:c r="Q148" s="41" t="str">
        <x:f>'Evaluation Plan'!Q148</x:f>
        <x:v>Queried candidate pair absent; bowl remains empty</x:v>
      </x:c>
      <x:c r="R148" s="42" t="n">
        <x:f>'Evaluation Plan'!R148</x:f>
        <x:v>6</x:v>
      </x:c>
      <x:c r="S148" s="41" t="str">
        <x:f>'Evaluation Plan'!S148</x:f>
        <x:v>Build the listed candidate-absent scene and confirm the bowl is empty.</x:v>
      </x:c>
      <x:c r="T148" s="41" t="str">
        <x:f>'Evaluation Plan'!T148</x:f>
        <x:v>The instruction uses normal active-trial wording. Success requires no grasp or object displacement.</x:v>
      </x:c>
      <x:c r="U148" s="41" t="n">
        <x:f>'Evaluation Plan'!U148</x:f>
        <x:v>0</x:v>
      </x:c>
    </x:row>
    <x:row r="149" ht="51" customHeight="1">
      <x:c r="A149" s="44" t="str">
        <x:v>Not collected</x:v>
      </x:c>
      <x:c r="B149" s="45" t="n">
        <x:f>'Evaluation Plan'!B149</x:f>
        <x:v>147</x:v>
      </x:c>
      <x:c r="C149" s="44" t="str">
        <x:f>'Evaluation Plan'!C149</x:f>
        <x:v>Pick up the pencil sharpener furthest from the airplane toy without propellers and place it in the bowl.</x:v>
      </x:c>
      <x:c r="D149" s="44" t="str">
        <x:f>'Evaluation Plan'!D149</x:f>
        <x:v>Reference: airplane toy without propellers at table centre; green pen: at the far robot-left corner, outside the distance comparison; yellow pen: at the far robot-right corner, outside the distance comparison; airplane toy with propellers: near the back edge, outside the distance comparison; Absent candidate pair: green pencil sharpener and red pencil sharpener are not in the scene; Bowl: empty</x:v>
      </x:c>
      <x:c r="E149" s="45" t="str">
        <x:f>'Evaluation Plan'!E149</x:f>
      </x:c>
      <x:c r="F149" s="45" t="str">
        <x:f>'Evaluation Plan'!F149</x:f>
        <x:v>466</x:v>
      </x:c>
      <x:c r="G149" s="44" t="str">
        <x:f>'Evaluation Plan'!G149</x:f>
        <x:v>The relation × candidate-category prompt cell is explicitly trained. The evaluation scene deliberately removes both candidate identities; the abstention outcome is not demonstrated in training.</x:v>
      </x:c>
      <x:c r="H149" s="44" t="str">
        <x:f>'Evaluation Plan'!H149</x:f>
        <x:v>NO-OP; neither green pencil sharpener nor red pencil sharpener is present</x:v>
      </x:c>
      <x:c r="I149" s="44" t="str"/>
      <x:c r="J149" s="48" t="str">
        <x:f>'Evaluation Plan'!J149</x:f>
        <x:v>No valid candidate category / no movement</x:v>
      </x:c>
      <x:c r="K149" s="45" t="str">
        <x:f>'Evaluation Plan'!K149</x:f>
        <x:v>RD-NOVALID18</x:v>
      </x:c>
      <x:c r="L149" s="45" t="str">
        <x:f>'Evaluation Plan'!L149</x:f>
        <x:v>furthest</x:v>
      </x:c>
      <x:c r="M149" s="45" t="str">
        <x:f>'Evaluation Plan'!M149</x:f>
        <x:v>pencil sharpener</x:v>
      </x:c>
      <x:c r="N149" s="45" t="n">
        <x:f>'Evaluation Plan'!N149</x:f>
        <x:v>4</x:v>
      </x:c>
      <x:c r="O149" s="45" t="n">
        <x:f>'Evaluation Plan'!O149</x:f>
        <x:v>0</x:v>
      </x:c>
      <x:c r="P149" s="45" t="str">
        <x:f>'Evaluation Plan'!P149</x:f>
        <x:v>Empty</x:v>
      </x:c>
      <x:c r="Q149" s="44" t="str">
        <x:f>'Evaluation Plan'!Q149</x:f>
        <x:v>Queried candidate pair absent; bowl remains empty</x:v>
      </x:c>
      <x:c r="R149" s="45" t="n">
        <x:f>'Evaluation Plan'!R149</x:f>
        <x:v>6</x:v>
      </x:c>
      <x:c r="S149" s="44" t="str">
        <x:f>'Evaluation Plan'!S149</x:f>
        <x:v>Build the listed candidate-absent scene and confirm the bowl is empty.</x:v>
      </x:c>
      <x:c r="T149" s="44" t="str">
        <x:f>'Evaluation Plan'!T149</x:f>
        <x:v>The instruction uses normal active-trial wording. Success requires no grasp or object displacement.</x:v>
      </x:c>
      <x:c r="U149" s="44" t="n">
        <x:f>'Evaluation Plan'!U149</x:f>
        <x:v>0</x:v>
      </x:c>
    </x:row>
    <x:row r="150" ht="51" customHeight="1">
      <x:c r="A150" s="41" t="str">
        <x:v>Not collected</x:v>
      </x:c>
      <x:c r="B150" s="42" t="n">
        <x:f>'Evaluation Plan'!B150</x:f>
        <x:v>148</x:v>
      </x:c>
      <x:c r="C150" s="41" t="str">
        <x:f>'Evaluation Plan'!C150</x:f>
        <x:v>Move the airplane toy between the green pen and the crushed Coke can into the bowl.</x:v>
      </x:c>
      <x:c r="D150" s="41" t="str">
        <x:f>'Evaluation Plan'!D150</x:f>
        <x:v>Reference A: green pen at 14 cm to robot-left of table centre; Reference B: crushed Coke can at 14 cm to robot-right of table centre; Absent candidate pair: airplane toy with propellers and airplane toy without propellers are not in the scene; Bowl: empty</x:v>
      </x:c>
      <x:c r="E150" s="42" t="str">
        <x:f>'Evaluation Plan'!E150</x:f>
      </x:c>
      <x:c r="F150" s="42" t="str">
        <x:f>'Evaluation Plan'!F150</x:f>
        <x:v>582</x:v>
      </x:c>
      <x:c r="G150" s="41" t="str">
        <x:f>'Evaluation Plan'!G150</x:f>
        <x:v>The relation × candidate-category prompt cell is explicitly trained. The evaluation scene deliberately removes both candidate identities; the abstention outcome is not demonstrated in training.</x:v>
      </x:c>
      <x:c r="H150" s="41" t="str">
        <x:f>'Evaluation Plan'!H150</x:f>
        <x:v>NO-OP; neither airplane toy with propellers nor airplane toy without propellers is present</x:v>
      </x:c>
      <x:c r="I150" s="41" t="str"/>
      <x:c r="J150" s="48" t="str">
        <x:f>'Evaluation Plan'!J150</x:f>
        <x:v>No valid candidate category / no movement</x:v>
      </x:c>
      <x:c r="K150" s="42" t="str">
        <x:f>'Evaluation Plan'!K150</x:f>
        <x:v>RD-NOVALID19</x:v>
      </x:c>
      <x:c r="L150" s="42" t="str">
        <x:f>'Evaluation Plan'!L150</x:f>
        <x:v>between</x:v>
      </x:c>
      <x:c r="M150" s="42" t="str">
        <x:f>'Evaluation Plan'!M150</x:f>
        <x:v>airplane toy</x:v>
      </x:c>
      <x:c r="N150" s="42" t="n">
        <x:f>'Evaluation Plan'!N150</x:f>
        <x:v>2</x:v>
      </x:c>
      <x:c r="O150" s="42" t="n">
        <x:f>'Evaluation Plan'!O150</x:f>
        <x:v>0</x:v>
      </x:c>
      <x:c r="P150" s="42" t="str">
        <x:f>'Evaluation Plan'!P150</x:f>
        <x:v>Empty</x:v>
      </x:c>
      <x:c r="Q150" s="41" t="str">
        <x:f>'Evaluation Plan'!Q150</x:f>
        <x:v>Queried candidate pair absent; bowl remains empty</x:v>
      </x:c>
      <x:c r="R150" s="42" t="n">
        <x:f>'Evaluation Plan'!R150</x:f>
        <x:v>6</x:v>
      </x:c>
      <x:c r="S150" s="41" t="str">
        <x:f>'Evaluation Plan'!S150</x:f>
        <x:v>Build the listed candidate-absent scene and confirm the bowl is empty.</x:v>
      </x:c>
      <x:c r="T150" s="41" t="str">
        <x:f>'Evaluation Plan'!T150</x:f>
        <x:v>The instruction uses normal active-trial wording. Success requires no grasp or object displacement.</x:v>
      </x:c>
      <x:c r="U150" s="41" t="n">
        <x:f>'Evaluation Plan'!U150</x:f>
        <x:v>0</x:v>
      </x:c>
    </x:row>
    <x:row r="151" ht="51" customHeight="1">
      <x:c r="A151" s="44" t="str">
        <x:v>Not collected</x:v>
      </x:c>
      <x:c r="B151" s="45" t="n">
        <x:f>'Evaluation Plan'!B151</x:f>
        <x:v>149</x:v>
      </x:c>
      <x:c r="C151" s="44" t="str">
        <x:f>'Evaluation Plan'!C151</x:f>
        <x:v>Pick up the pen closest to the green pencil sharpener and place it in the bowl.</x:v>
      </x:c>
      <x:c r="D151" s="44" t="str">
        <x:f>'Evaluation Plan'!D151</x:f>
        <x:v>Reference: green pencil sharpener at table centre; airplane toy without propellers: at the far robot-left corner, outside the distance comparison; crushed Coke can: at the far robot-right corner, outside the distance comparison; Absent candidate pair: green pen and yellow pen are not in the scene; Bowl: empty</x:v>
      </x:c>
      <x:c r="E151" s="45" t="n">
        <x:f>'Evaluation Plan'!E151</x:f>
        <x:v>0</x:v>
      </x:c>
      <x:c r="F151" s="45" t="str">
        <x:f>'Evaluation Plan'!F151</x:f>
        <x:v>501</x:v>
      </x:c>
      <x:c r="G151" s="44" t="str">
        <x:f>'Evaluation Plan'!G151</x:f>
        <x:v>The relation × candidate-category prompt cell is explicitly trained. The evaluation scene deliberately removes both candidate identities; the abstention outcome is not demonstrated in training.</x:v>
      </x:c>
      <x:c r="H151" s="44" t="str">
        <x:f>'Evaluation Plan'!H151</x:f>
        <x:v>NO-OP; neither green pen nor yellow pen is present</x:v>
      </x:c>
      <x:c r="I151" s="44" t="str"/>
      <x:c r="J151" s="48" t="str">
        <x:f>'Evaluation Plan'!J151</x:f>
        <x:v>No valid candidate category / no movement</x:v>
      </x:c>
      <x:c r="K151" s="45" t="str">
        <x:f>'Evaluation Plan'!K151</x:f>
        <x:v>RD-NOVALID20</x:v>
      </x:c>
      <x:c r="L151" s="45" t="str">
        <x:f>'Evaluation Plan'!L151</x:f>
        <x:v>closest</x:v>
      </x:c>
      <x:c r="M151" s="45" t="str">
        <x:f>'Evaluation Plan'!M151</x:f>
        <x:v>pen</x:v>
      </x:c>
      <x:c r="N151" s="45" t="n">
        <x:f>'Evaluation Plan'!N151</x:f>
        <x:v>3</x:v>
      </x:c>
      <x:c r="O151" s="45" t="n">
        <x:f>'Evaluation Plan'!O151</x:f>
        <x:v>0</x:v>
      </x:c>
      <x:c r="P151" s="45" t="str">
        <x:f>'Evaluation Plan'!P151</x:f>
        <x:v>Empty</x:v>
      </x:c>
      <x:c r="Q151" s="44" t="str">
        <x:f>'Evaluation Plan'!Q151</x:f>
        <x:v>Queried candidate pair absent; bowl remains empty</x:v>
      </x:c>
      <x:c r="R151" s="45" t="n">
        <x:f>'Evaluation Plan'!R151</x:f>
        <x:v>6</x:v>
      </x:c>
      <x:c r="S151" s="44" t="str">
        <x:f>'Evaluation Plan'!S151</x:f>
        <x:v>Build the listed candidate-absent scene and confirm the bowl is empty.</x:v>
      </x:c>
      <x:c r="T151" s="44" t="str">
        <x:f>'Evaluation Plan'!T151</x:f>
        <x:v>The instruction uses normal active-trial wording. Success requires no grasp or object displacement.</x:v>
      </x:c>
      <x:c r="U151" s="44" t="n">
        <x:f>'Evaluation Plan'!U151</x:f>
        <x:v>0</x:v>
      </x:c>
    </x:row>
  </x:sheetData>
  <x:conditionalFormatting sqref="A2:R131">
    <x:cfRule type="expression" dxfId="16" priority="1">
      <x:formula>$A2="Success"</x:formula>
    </x:cfRule>
    <x:cfRule type="expression" dxfId="17" priority="2">
      <x:formula>$A2="Failure"</x:formula>
    </x:cfRule>
  </x:conditionalFormatting>
  <x:conditionalFormatting sqref="H2:H131">
    <x:cfRule type="containsText" dxfId="18" priority="3" operator="containsText" text="Concept/compositional transfer"/>
    <x:cfRule type="containsText" dxfId="19" priority="4" operator="containsText" text="Matched manipulation control"/>
    <x:cfRule type="containsText" dxfId="20" priority="5" operator="containsText" text="Block"/>
    <x:cfRule type="containsText" dxfId="21" priority="6" operator="containsText" text="Language robustness"/>
    <x:cfRule type="containsText" dxfId="22" priority="7" operator="containsText" text="Seen-concept between baseline"/>
  </x:conditionalFormatting>
  <x:conditionalFormatting sqref="A2:U151">
    <x:cfRule type="expression" dxfId="34" priority="8">
      <x:formula>$A2="Success"</x:formula>
    </x:cfRule>
    <x:cfRule type="expression" dxfId="35"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tableParts count="1">
    <x:tablePart xmlns:r="http://schemas.openxmlformats.org/officeDocument/2006/relationships" r:id="R3073a70bfd6f4b5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31.670000076293945" hidden="0" customWidth="1"/>
    <x:col min="4" max="4" width="52.779998779296875" hidden="0" customWidth="1"/>
    <x:col min="5" max="5" width="9.4399995803833" hidden="0" customWidth="1"/>
    <x:col min="6" max="6" width="12.779999732971191" hidden="0" customWidth="1"/>
    <x:col min="7" max="7" width="40.560001373291016" hidden="0" customWidth="1"/>
    <x:col min="8" max="8" width="25.559999465942383" hidden="0" customWidth="1"/>
    <x:col min="9" max="9" width="28.889999389648438" hidden="0" customWidth="1"/>
    <x:col min="10" max="10" width="24.440000534057617" hidden="0" customWidth="1"/>
    <x:col min="11" max="11" width="11.670000076293945" hidden="0" customWidth="1"/>
    <x:col min="12" max="12" width="12.779999732971191" hidden="0" customWidth="1"/>
    <x:col min="13" max="13" width="18.329999923706055" hidden="0" customWidth="1"/>
    <x:col min="14" max="14" width="8.329999923706055" hidden="0" customWidth="1"/>
    <x:col min="15" max="15" width="10" hidden="0" customWidth="1"/>
    <x:col min="16" max="16" width="8.890000343322754" hidden="0" customWidth="1"/>
    <x:col min="17" max="17" width="32.220001220703125" hidden="0" customWidth="1"/>
    <x:col min="18" max="18" width="9.4399995803833" hidden="0" customWidth="1"/>
    <x:col min="19" max="19" width="28.329999923706055" hidden="0" customWidth="1"/>
    <x:col min="20" max="20" width="38.33000183105469" hidden="0" customWidth="1"/>
    <x:col min="21" max="21" width="20.559999465942383" hidden="0" customWidth="1"/>
  </x:cols>
  <x:sheetData>
    <x:row r="1" ht="30" customHeight="1">
      <x:c r="A1" s="30" t="str">
        <x:v>Status</x:v>
      </x:c>
      <x:c r="B1" s="30" t="str">
        <x:v>Episode</x:v>
      </x:c>
      <x:c r="C1" s="30" t="str">
        <x:v>Prompt</x:v>
      </x:c>
      <x:c r="D1" s="30" t="str">
        <x:v>Objects and Relative Positions</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Query Concept</x:v>
      </x:c>
      <x:c r="M1" s="30" t="str">
        <x:v>Candidate Category</x:v>
      </x:c>
      <x:c r="N1" s="30" t="str">
        <x:v>Object Count</x:v>
      </x:c>
      <x:c r="O1" s="30" t="str">
        <x:v>Valid Candidate Count</x:v>
      </x:c>
      <x:c r="P1" s="30" t="str">
        <x:v>Bowl Start</x:v>
      </x:c>
      <x:c r="Q1" s="30" t="str">
        <x:v>Comparison / Subtype</x:v>
      </x:c>
      <x:c r="R1" s="30" t="str">
        <x:v>Collection Block</x:v>
      </x:c>
      <x:c r="S1" s="30" t="str">
        <x:v>Setup Change from Previous</x:v>
      </x:c>
      <x:c r="T1" s="30" t="str">
        <x:v>Design Note</x:v>
      </x:c>
      <x:c r="U1" s="30" t="str">
        <x:v>Reference Media Filename</x:v>
      </x:c>
    </x:row>
    <x:row r="2" ht="51" customHeight="1">
      <x:c r="A2" s="41" t="str">
        <x:v>Not collected</x:v>
      </x:c>
      <x:c r="B2" s="42" t="n">
        <x:f>'Evaluation Plan'!B2</x:f>
        <x:v>0</x:v>
      </x:c>
      <x:c r="C2" s="41" t="str">
        <x:f>'Evaluation Plan'!C2</x:f>
        <x:v>Move the crushed soda can lying between the green pencil sharpener and the green pen into the bowl.</x:v>
      </x:c>
      <x:c r="D2" s="41" t="str">
        <x:f>'Evaluation Plan'!D2</x:f>
        <x:v>Reference A: green pencil sharpener at 14 cm to robot-left of table centre; Reference B: green pen at 14 cm to robot-right of table centre; crushed Coke can: at table centre on the straight Reference A–B segment; crushed Pepsi can: 12 cm toward the robot from table centre, off the Reference A–B segment; Bowl: empty</x:v>
      </x:c>
      <x:c r="E2" s="42" t="str">
        <x:f>'Evaluation Plan'!E2</x:f>
      </x:c>
      <x:c r="F2" s="42" t="str">
        <x:f>'Evaluation Plan'!F2</x:f>
        <x:v>430</x:v>
      </x:c>
      <x:c r="G2" s="41" t="str">
        <x:f>'Evaluation Plan'!G2</x:f>
        <x:v>Exact manifest cell: prompt, relation × candidate-category combination, target identity, and object membership are explicitly represented in training; physical positions are manually recreated with a clear margin.</x:v>
      </x:c>
      <x:c r="H2" s="41" t="str">
        <x:f>'Evaluation Plan'!H2</x:f>
        <x:v>crushed Coke can</x:v>
      </x:c>
      <x:c r="I2" s="41" t="str"/>
      <x:c r="J2" s="43" t="str">
        <x:f>'Evaluation Plan'!J2</x:f>
        <x:v>In-distribution concept baseline</x:v>
      </x:c>
      <x:c r="K2" s="42" t="str">
        <x:f>'Evaluation Plan'!K2</x:f>
        <x:v>RD-ID01</x:v>
      </x:c>
      <x:c r="L2" s="42" t="str">
        <x:f>'Evaluation Plan'!L2</x:f>
        <x:v>between</x:v>
      </x:c>
      <x:c r="M2" s="42" t="str">
        <x:f>'Evaluation Plan'!M2</x:f>
        <x:v>crushed soda can</x:v>
      </x:c>
      <x:c r="N2" s="42" t="n">
        <x:f>'Evaluation Plan'!N2</x:f>
        <x:v>4</x:v>
      </x:c>
      <x:c r="O2" s="42" t="n">
        <x:f>'Evaluation Plan'!O2</x:f>
        <x:v>1</x:v>
      </x:c>
      <x:c r="P2" s="42" t="str">
        <x:f>'Evaluation Plan'!P2</x:f>
        <x:v>Empty</x:v>
      </x:c>
      <x:c r="Q2" s="41" t="str">
        <x:f>'Evaluation Plan'!Q2</x:f>
        <x:v>Exact training-supported relation × candidate-category baseline</x:v>
      </x:c>
      <x:c r="R2" s="42" t="n">
        <x:f>'Evaluation Plan'!R2</x:f>
        <x:v>1</x:v>
      </x:c>
      <x:c r="S2" s="41" t="str">
        <x:f>'Evaluation Plan'!S2</x:f>
        <x:v>Recreate the listed four-object scene with the bowl empty.</x:v>
      </x:c>
      <x:c r="T2" s="41" t="str">
        <x:f>'Evaluation Plan'!T2</x:f>
        <x:v>The relation, candidate category, target identity, and object membership occur together in the cited training episode.</x:v>
      </x:c>
      <x:c r="U2" s="41" t="n">
        <x:f>'Evaluation Plan'!U2</x:f>
        <x:v>0</x:v>
      </x:c>
    </x:row>
    <x:row r="3" ht="51" customHeight="1">
      <x:c r="A3" s="44" t="str">
        <x:v>Not collected</x:v>
      </x:c>
      <x:c r="B3" s="45" t="n">
        <x:f>'Evaluation Plan'!B3</x:f>
        <x:v>1</x:v>
      </x:c>
      <x:c r="C3" s="44" t="str">
        <x:f>'Evaluation Plan'!C3</x:f>
        <x:v>Put the crushed soda can between the red pencil sharpener and the airplane toy without propellers in the bowl.</x:v>
      </x:c>
      <x:c r="D3" s="44" t="str">
        <x:f>'Evaluation Plan'!D3</x:f>
        <x:v>Reference A: red pencil sharpener at 14 cm toward the robot from table centre; Reference B: airplane toy without propellers at 14 cm away from the robot from table centre; crushed Pepsi can: at table centre on the straight Reference A–B segment; crushed Coke can: 12 cm to robot-right of table centre, off the Reference A–B segment; Bowl: empty</x:v>
      </x:c>
      <x:c r="E3" s="45" t="str">
        <x:f>'Evaluation Plan'!E3</x:f>
      </x:c>
      <x:c r="F3" s="45" t="str">
        <x:f>'Evaluation Plan'!F3</x:f>
        <x:v>437</x:v>
      </x:c>
      <x:c r="G3" s="44" t="str">
        <x:f>'Evaluation Plan'!G3</x:f>
        <x:v>Exact manifest cell: prompt, relation × candidate-category combination, target identity, and object membership are explicitly represented in training; physical positions are manually recreated with a clear margin.</x:v>
      </x:c>
      <x:c r="H3" s="44" t="str">
        <x:f>'Evaluation Plan'!H3</x:f>
        <x:v>crushed Pepsi can</x:v>
      </x:c>
      <x:c r="I3" s="44" t="str"/>
      <x:c r="J3" s="43" t="str">
        <x:f>'Evaluation Plan'!J3</x:f>
        <x:v>In-distribution concept baseline</x:v>
      </x:c>
      <x:c r="K3" s="45" t="str">
        <x:f>'Evaluation Plan'!K3</x:f>
        <x:v>RD-ID02</x:v>
      </x:c>
      <x:c r="L3" s="45" t="str">
        <x:f>'Evaluation Plan'!L3</x:f>
        <x:v>between</x:v>
      </x:c>
      <x:c r="M3" s="45" t="str">
        <x:f>'Evaluation Plan'!M3</x:f>
        <x:v>crushed soda can</x:v>
      </x:c>
      <x:c r="N3" s="45" t="n">
        <x:f>'Evaluation Plan'!N3</x:f>
        <x:v>4</x:v>
      </x:c>
      <x:c r="O3" s="45" t="n">
        <x:f>'Evaluation Plan'!O3</x:f>
        <x:v>1</x:v>
      </x:c>
      <x:c r="P3" s="45" t="str">
        <x:f>'Evaluation Plan'!P3</x:f>
        <x:v>Empty</x:v>
      </x:c>
      <x:c r="Q3" s="44" t="str">
        <x:f>'Evaluation Plan'!Q3</x:f>
        <x:v>Exact training-supported relation × candidate-category baseline</x:v>
      </x:c>
      <x:c r="R3" s="45" t="n">
        <x:f>'Evaluation Plan'!R3</x:f>
        <x:v>1</x:v>
      </x:c>
      <x:c r="S3" s="44" t="str">
        <x:f>'Evaluation Plan'!S3</x:f>
        <x:v>Recreate the listed four-object scene with the bowl empty.</x:v>
      </x:c>
      <x:c r="T3" s="44" t="str">
        <x:f>'Evaluation Plan'!T3</x:f>
        <x:v>The relation, candidate category, target identity, and object membership occur together in the cited training episode.</x:v>
      </x:c>
      <x:c r="U3" s="44" t="n">
        <x:f>'Evaluation Plan'!U3</x:f>
        <x:v>0</x:v>
      </x:c>
    </x:row>
    <x:row r="4" ht="51" customHeight="1">
      <x:c r="A4" s="41" t="str">
        <x:v>Not collected</x:v>
      </x:c>
      <x:c r="B4" s="42" t="n">
        <x:f>'Evaluation Plan'!B4</x:f>
        <x:v>2</x:v>
      </x:c>
      <x:c r="C4" s="41" t="str">
        <x:f>'Evaluation Plan'!C4</x:f>
        <x:v>Pick up the crushed soda can positioned between the airplane toy with propellers and the green pencil sharpener, then place it in the bowl.</x:v>
      </x:c>
      <x:c r="D4" s="41" t="str">
        <x:f>'Evaluation Plan'!D4</x:f>
        <x:v>Reference A: airplane toy with propellers at 14 cm toward robot-left from table centre; Reference B: green pencil sharpener at 14 cm away toward robot-right from table centre; crushed Coke can: at table centre on the straight Reference A–B segment; crushed Pepsi can: 12 cm toward robot-right from table centre, off the Reference A–B segment; Bowl: empty</x:v>
      </x:c>
      <x:c r="E4" s="42" t="str">
        <x:f>'Evaluation Plan'!E4</x:f>
      </x:c>
      <x:c r="F4" s="42" t="str">
        <x:f>'Evaluation Plan'!F4</x:f>
        <x:v>431</x:v>
      </x:c>
      <x:c r="G4" s="41" t="str">
        <x:f>'Evaluation Plan'!G4</x:f>
        <x:v>Exact manifest cell: prompt, relation × candidate-category combination, target identity, and object membership are explicitly represented in training; physical positions are manually recreated with a clear margin.</x:v>
      </x:c>
      <x:c r="H4" s="41" t="str">
        <x:f>'Evaluation Plan'!H4</x:f>
        <x:v>crushed Coke can</x:v>
      </x:c>
      <x:c r="I4" s="41" t="str"/>
      <x:c r="J4" s="43" t="str">
        <x:f>'Evaluation Plan'!J4</x:f>
        <x:v>In-distribution concept baseline</x:v>
      </x:c>
      <x:c r="K4" s="42" t="str">
        <x:f>'Evaluation Plan'!K4</x:f>
        <x:v>RD-ID03</x:v>
      </x:c>
      <x:c r="L4" s="42" t="str">
        <x:f>'Evaluation Plan'!L4</x:f>
        <x:v>between</x:v>
      </x:c>
      <x:c r="M4" s="42" t="str">
        <x:f>'Evaluation Plan'!M4</x:f>
        <x:v>crushed soda can</x:v>
      </x:c>
      <x:c r="N4" s="42" t="n">
        <x:f>'Evaluation Plan'!N4</x:f>
        <x:v>4</x:v>
      </x:c>
      <x:c r="O4" s="42" t="n">
        <x:f>'Evaluation Plan'!O4</x:f>
        <x:v>1</x:v>
      </x:c>
      <x:c r="P4" s="42" t="str">
        <x:f>'Evaluation Plan'!P4</x:f>
        <x:v>Empty</x:v>
      </x:c>
      <x:c r="Q4" s="41" t="str">
        <x:f>'Evaluation Plan'!Q4</x:f>
        <x:v>Exact training-supported relation × candidate-category baseline</x:v>
      </x:c>
      <x:c r="R4" s="42" t="n">
        <x:f>'Evaluation Plan'!R4</x:f>
        <x:v>1</x:v>
      </x:c>
      <x:c r="S4" s="41" t="str">
        <x:f>'Evaluation Plan'!S4</x:f>
        <x:v>Recreate the listed four-object scene with the bowl empty.</x:v>
      </x:c>
      <x:c r="T4" s="41" t="str">
        <x:f>'Evaluation Plan'!T4</x:f>
        <x:v>The relation, candidate category, target identity, and object membership occur together in the cited training episode.</x:v>
      </x:c>
      <x:c r="U4" s="41" t="n">
        <x:f>'Evaluation Plan'!U4</x:f>
        <x:v>0</x:v>
      </x:c>
    </x:row>
    <x:row r="5" ht="51" customHeight="1">
      <x:c r="A5" s="44" t="str">
        <x:v>Not collected</x:v>
      </x:c>
      <x:c r="B5" s="45" t="n">
        <x:f>'Evaluation Plan'!B5</x:f>
        <x:v>3</x:v>
      </x:c>
      <x:c r="C5" s="44" t="str">
        <x:f>'Evaluation Plan'!C5</x:f>
        <x:v>Pick up the crushed soda can furthest from the yellow pen and place it in the bowl.</x:v>
      </x:c>
      <x:c r="D5" s="44" t="str">
        <x:f>'Evaluation Plan'!D5</x:f>
        <x:v>Reference: yellow pen at table centre; crushed Pepsi can: 10 cm away from the robot from the reference; crushed Coke can: 24 cm toward the robot from the reference; airplane toy with propellers: at the far robot-left corner, outside the distance comparison; Bowl: empty</x:v>
      </x:c>
      <x:c r="E5" s="45" t="str">
        <x:f>'Evaluation Plan'!E5</x:f>
      </x:c>
      <x:c r="F5" s="45" t="str">
        <x:f>'Evaluation Plan'!F5</x:f>
        <x:v>416</x:v>
      </x:c>
      <x:c r="G5" s="44" t="str">
        <x:f>'Evaluation Plan'!G5</x:f>
        <x:v>Exact manifest cell: prompt, relation × candidate-category combination, target identity, and object membership are explicitly represented in training; physical positions are manually recreated with a clear margin.</x:v>
      </x:c>
      <x:c r="H5" s="44" t="str">
        <x:f>'Evaluation Plan'!H5</x:f>
        <x:v>crushed Coke can</x:v>
      </x:c>
      <x:c r="I5" s="44" t="str"/>
      <x:c r="J5" s="43" t="str">
        <x:f>'Evaluation Plan'!J5</x:f>
        <x:v>In-distribution concept baseline</x:v>
      </x:c>
      <x:c r="K5" s="45" t="str">
        <x:f>'Evaluation Plan'!K5</x:f>
        <x:v>RD-ID04</x:v>
      </x:c>
      <x:c r="L5" s="45" t="str">
        <x:f>'Evaluation Plan'!L5</x:f>
        <x:v>furthest</x:v>
      </x:c>
      <x:c r="M5" s="45" t="str">
        <x:f>'Evaluation Plan'!M5</x:f>
        <x:v>crushed soda can</x:v>
      </x:c>
      <x:c r="N5" s="45" t="n">
        <x:f>'Evaluation Plan'!N5</x:f>
        <x:v>4</x:v>
      </x:c>
      <x:c r="O5" s="45" t="n">
        <x:f>'Evaluation Plan'!O5</x:f>
        <x:v>1</x:v>
      </x:c>
      <x:c r="P5" s="45" t="str">
        <x:f>'Evaluation Plan'!P5</x:f>
        <x:v>Empty</x:v>
      </x:c>
      <x:c r="Q5" s="44" t="str">
        <x:f>'Evaluation Plan'!Q5</x:f>
        <x:v>Exact training-supported relation × candidate-category baseline</x:v>
      </x:c>
      <x:c r="R5" s="45" t="n">
        <x:f>'Evaluation Plan'!R5</x:f>
        <x:v>1</x:v>
      </x:c>
      <x:c r="S5" s="44" t="str">
        <x:f>'Evaluation Plan'!S5</x:f>
        <x:v>Recreate the listed four-object scene with the bowl empty.</x:v>
      </x:c>
      <x:c r="T5" s="44" t="str">
        <x:f>'Evaluation Plan'!T5</x:f>
        <x:v>The relation, candidate category, target identity, and object membership occur together in the cited training episode.</x:v>
      </x:c>
      <x:c r="U5" s="44" t="n">
        <x:f>'Evaluation Plan'!U5</x:f>
        <x:v>0</x:v>
      </x:c>
    </x:row>
    <x:row r="6" ht="51" customHeight="1">
      <x:c r="A6" s="41" t="str">
        <x:v>Not collected</x:v>
      </x:c>
      <x:c r="B6" s="42" t="n">
        <x:f>'Evaluation Plan'!B6</x:f>
        <x:v>4</x:v>
      </x:c>
      <x:c r="C6" s="41" t="str">
        <x:f>'Evaluation Plan'!C6</x:f>
        <x:v>Pick up the crushed soda can furthest from the airplane toy without propellers and place it in the bowl.</x:v>
      </x:c>
      <x:c r="D6" s="41" t="str">
        <x:f>'Evaluation Plan'!D6</x:f>
        <x:v>Reference: airplane toy without propellers at table centre; crushed Pepsi can: 10 cm toward robot-left from the reference; crushed Coke can: 24 cm away toward robot-right from the reference; green pencil sharpener: at the far robot-left corner, outside the distance comparison; Bowl: empty</x:v>
      </x:c>
      <x:c r="E6" s="42" t="str">
        <x:f>'Evaluation Plan'!E6</x:f>
      </x:c>
      <x:c r="F6" s="42" t="str">
        <x:f>'Evaluation Plan'!F6</x:f>
        <x:v>418</x:v>
      </x:c>
      <x:c r="G6" s="41" t="str">
        <x:f>'Evaluation Plan'!G6</x:f>
        <x:v>Exact manifest cell: prompt, relation × candidate-category combination, target identity, and object membership are explicitly represented in training; physical positions are manually recreated with a clear margin.</x:v>
      </x:c>
      <x:c r="H6" s="41" t="str">
        <x:f>'Evaluation Plan'!H6</x:f>
        <x:v>crushed Coke can</x:v>
      </x:c>
      <x:c r="I6" s="41" t="str"/>
      <x:c r="J6" s="43" t="str">
        <x:f>'Evaluation Plan'!J6</x:f>
        <x:v>In-distribution concept baseline</x:v>
      </x:c>
      <x:c r="K6" s="42" t="str">
        <x:f>'Evaluation Plan'!K6</x:f>
        <x:v>RD-ID05</x:v>
      </x:c>
      <x:c r="L6" s="42" t="str">
        <x:f>'Evaluation Plan'!L6</x:f>
        <x:v>furthest</x:v>
      </x:c>
      <x:c r="M6" s="42" t="str">
        <x:f>'Evaluation Plan'!M6</x:f>
        <x:v>crushed soda can</x:v>
      </x:c>
      <x:c r="N6" s="42" t="n">
        <x:f>'Evaluation Plan'!N6</x:f>
        <x:v>4</x:v>
      </x:c>
      <x:c r="O6" s="42" t="n">
        <x:f>'Evaluation Plan'!O6</x:f>
        <x:v>1</x:v>
      </x:c>
      <x:c r="P6" s="42" t="str">
        <x:f>'Evaluation Plan'!P6</x:f>
        <x:v>Empty</x:v>
      </x:c>
      <x:c r="Q6" s="41" t="str">
        <x:f>'Evaluation Plan'!Q6</x:f>
        <x:v>Exact training-supported relation × candidate-category baseline</x:v>
      </x:c>
      <x:c r="R6" s="42" t="n">
        <x:f>'Evaluation Plan'!R6</x:f>
        <x:v>1</x:v>
      </x:c>
      <x:c r="S6" s="41" t="str">
        <x:f>'Evaluation Plan'!S6</x:f>
        <x:v>Recreate the listed four-object scene with the bowl empty.</x:v>
      </x:c>
      <x:c r="T6" s="41" t="str">
        <x:f>'Evaluation Plan'!T6</x:f>
        <x:v>The relation, candidate category, target identity, and object membership occur together in the cited training episode.</x:v>
      </x:c>
      <x:c r="U6" s="41" t="n">
        <x:f>'Evaluation Plan'!U6</x:f>
        <x:v>0</x:v>
      </x:c>
    </x:row>
    <x:row r="7" ht="51" customHeight="1">
      <x:c r="A7" s="44" t="str">
        <x:v>Not collected</x:v>
      </x:c>
      <x:c r="B7" s="45" t="n">
        <x:f>'Evaluation Plan'!B7</x:f>
        <x:v>5</x:v>
      </x:c>
      <x:c r="C7" s="44" t="str">
        <x:f>'Evaluation Plan'!C7</x:f>
        <x:v>Move the pencil sharpener that is closest to the green pen into the bowl.</x:v>
      </x:c>
      <x:c r="D7" s="44" t="str">
        <x:f>'Evaluation Plan'!D7</x:f>
        <x:v>Reference: green pen at table centre; green pencil sharpener: 10 cm toward robot-right from the reference; red pencil sharpener: 24 cm away toward robot-left from the reference; yellow pen: at the far robot-left corner, outside the distance comparison; Bowl: empty</x:v>
      </x:c>
      <x:c r="E7" s="45" t="str">
        <x:f>'Evaluation Plan'!E7</x:f>
      </x:c>
      <x:c r="F7" s="45" t="str">
        <x:f>'Evaluation Plan'!F7</x:f>
        <x:v>464</x:v>
      </x:c>
      <x:c r="G7" s="44" t="str">
        <x:f>'Evaluation Plan'!G7</x:f>
        <x:v>Exact manifest cell: prompt, relation × candidate-category combination, target identity, and object membership are explicitly represented in training; physical positions are manually recreated with a clear margin.</x:v>
      </x:c>
      <x:c r="H7" s="44" t="str">
        <x:f>'Evaluation Plan'!H7</x:f>
        <x:v>green pencil sharpener</x:v>
      </x:c>
      <x:c r="I7" s="44" t="str"/>
      <x:c r="J7" s="43" t="str">
        <x:f>'Evaluation Plan'!J7</x:f>
        <x:v>In-distribution concept baseline</x:v>
      </x:c>
      <x:c r="K7" s="45" t="str">
        <x:f>'Evaluation Plan'!K7</x:f>
        <x:v>RD-ID06</x:v>
      </x:c>
      <x:c r="L7" s="45" t="str">
        <x:f>'Evaluation Plan'!L7</x:f>
        <x:v>closest</x:v>
      </x:c>
      <x:c r="M7" s="45" t="str">
        <x:f>'Evaluation Plan'!M7</x:f>
        <x:v>pencil sharpener</x:v>
      </x:c>
      <x:c r="N7" s="45" t="n">
        <x:f>'Evaluation Plan'!N7</x:f>
        <x:v>4</x:v>
      </x:c>
      <x:c r="O7" s="45" t="n">
        <x:f>'Evaluation Plan'!O7</x:f>
        <x:v>1</x:v>
      </x:c>
      <x:c r="P7" s="45" t="str">
        <x:f>'Evaluation Plan'!P7</x:f>
        <x:v>Empty</x:v>
      </x:c>
      <x:c r="Q7" s="44" t="str">
        <x:f>'Evaluation Plan'!Q7</x:f>
        <x:v>Exact training-supported relation × candidate-category baseline</x:v>
      </x:c>
      <x:c r="R7" s="45" t="n">
        <x:f>'Evaluation Plan'!R7</x:f>
        <x:v>1</x:v>
      </x:c>
      <x:c r="S7" s="44" t="str">
        <x:f>'Evaluation Plan'!S7</x:f>
        <x:v>Recreate the listed four-object scene with the bowl empty.</x:v>
      </x:c>
      <x:c r="T7" s="44" t="str">
        <x:f>'Evaluation Plan'!T7</x:f>
        <x:v>The relation, candidate category, target identity, and object membership occur together in the cited training episode.</x:v>
      </x:c>
      <x:c r="U7" s="44" t="n">
        <x:f>'Evaluation Plan'!U7</x:f>
        <x:v>0</x:v>
      </x:c>
    </x:row>
    <x:row r="8" ht="51" customHeight="1">
      <x:c r="A8" s="41" t="str">
        <x:v>Not collected</x:v>
      </x:c>
      <x:c r="B8" s="42" t="n">
        <x:f>'Evaluation Plan'!B8</x:f>
        <x:v>6</x:v>
      </x:c>
      <x:c r="C8" s="41" t="str">
        <x:f>'Evaluation Plan'!C8</x:f>
        <x:v>Move the pencil sharpener that is closest to the crushed Pepsi can into the bowl.</x:v>
      </x:c>
      <x:c r="D8" s="41" t="str">
        <x:f>'Evaluation Plan'!D8</x:f>
        <x:v>Reference: crushed Pepsi can at table centre; red pencil sharpener: 10 cm to robot-left of the reference; green pencil sharpener: 24 cm to robot-right of the reference; airplane toy with propellers: at the far robot-left corner, outside the distance comparison; Bowl: empty</x:v>
      </x:c>
      <x:c r="E8" s="42" t="str">
        <x:f>'Evaluation Plan'!E8</x:f>
      </x:c>
      <x:c r="F8" s="42" t="str">
        <x:f>'Evaluation Plan'!F8</x:f>
        <x:v>451</x:v>
      </x:c>
      <x:c r="G8" s="41" t="str">
        <x:f>'Evaluation Plan'!G8</x:f>
        <x:v>Exact manifest cell: prompt, relation × candidate-category combination, target identity, and object membership are explicitly represented in training; physical positions are manually recreated with a clear margin.</x:v>
      </x:c>
      <x:c r="H8" s="41" t="str">
        <x:f>'Evaluation Plan'!H8</x:f>
        <x:v>red pencil sharpener</x:v>
      </x:c>
      <x:c r="I8" s="41" t="str"/>
      <x:c r="J8" s="43" t="str">
        <x:f>'Evaluation Plan'!J8</x:f>
        <x:v>In-distribution concept baseline</x:v>
      </x:c>
      <x:c r="K8" s="42" t="str">
        <x:f>'Evaluation Plan'!K8</x:f>
        <x:v>RD-ID07</x:v>
      </x:c>
      <x:c r="L8" s="42" t="str">
        <x:f>'Evaluation Plan'!L8</x:f>
        <x:v>closest</x:v>
      </x:c>
      <x:c r="M8" s="42" t="str">
        <x:f>'Evaluation Plan'!M8</x:f>
        <x:v>pencil sharpener</x:v>
      </x:c>
      <x:c r="N8" s="42" t="n">
        <x:f>'Evaluation Plan'!N8</x:f>
        <x:v>4</x:v>
      </x:c>
      <x:c r="O8" s="42" t="n">
        <x:f>'Evaluation Plan'!O8</x:f>
        <x:v>1</x:v>
      </x:c>
      <x:c r="P8" s="42" t="str">
        <x:f>'Evaluation Plan'!P8</x:f>
        <x:v>Empty</x:v>
      </x:c>
      <x:c r="Q8" s="41" t="str">
        <x:f>'Evaluation Plan'!Q8</x:f>
        <x:v>Exact training-supported relation × candidate-category baseline</x:v>
      </x:c>
      <x:c r="R8" s="42" t="n">
        <x:f>'Evaluation Plan'!R8</x:f>
        <x:v>1</x:v>
      </x:c>
      <x:c r="S8" s="41" t="str">
        <x:f>'Evaluation Plan'!S8</x:f>
        <x:v>Recreate the listed four-object scene with the bowl empty.</x:v>
      </x:c>
      <x:c r="T8" s="41" t="str">
        <x:f>'Evaluation Plan'!T8</x:f>
        <x:v>The relation, candidate category, target identity, and object membership occur together in the cited training episode.</x:v>
      </x:c>
      <x:c r="U8" s="41" t="n">
        <x:f>'Evaluation Plan'!U8</x:f>
        <x:v>0</x:v>
      </x:c>
    </x:row>
    <x:row r="9" ht="51" customHeight="1">
      <x:c r="A9" s="44" t="str">
        <x:v>Not collected</x:v>
      </x:c>
      <x:c r="B9" s="45" t="n">
        <x:f>'Evaluation Plan'!B9</x:f>
        <x:v>7</x:v>
      </x:c>
      <x:c r="C9" s="44" t="str">
        <x:f>'Evaluation Plan'!C9</x:f>
        <x:v>Put the pencil sharpener closest to the yellow pen in the bowl.</x:v>
      </x:c>
      <x:c r="D9" s="44" t="str">
        <x:f>'Evaluation Plan'!D9</x:f>
        <x:v>Reference: yellow pen at table centre; red pencil sharpener: 10 cm to robot-right of the reference; green pencil sharpener: 24 cm to robot-left of the reference; crushed Coke can: at the far robot-left corner, outside the distance comparison; Bowl: empty</x:v>
      </x:c>
      <x:c r="E9" s="45" t="str">
        <x:f>'Evaluation Plan'!E9</x:f>
      </x:c>
      <x:c r="F9" s="45" t="str">
        <x:f>'Evaluation Plan'!F9</x:f>
        <x:v>453</x:v>
      </x:c>
      <x:c r="G9" s="44" t="str">
        <x:f>'Evaluation Plan'!G9</x:f>
        <x:v>Exact manifest cell: prompt, relation × candidate-category combination, target identity, and object membership are explicitly represented in training; physical positions are manually recreated with a clear margin.</x:v>
      </x:c>
      <x:c r="H9" s="44" t="str">
        <x:f>'Evaluation Plan'!H9</x:f>
        <x:v>red pencil sharpener</x:v>
      </x:c>
      <x:c r="I9" s="44" t="str"/>
      <x:c r="J9" s="43" t="str">
        <x:f>'Evaluation Plan'!J9</x:f>
        <x:v>In-distribution concept baseline</x:v>
      </x:c>
      <x:c r="K9" s="45" t="str">
        <x:f>'Evaluation Plan'!K9</x:f>
        <x:v>RD-ID08</x:v>
      </x:c>
      <x:c r="L9" s="45" t="str">
        <x:f>'Evaluation Plan'!L9</x:f>
        <x:v>closest</x:v>
      </x:c>
      <x:c r="M9" s="45" t="str">
        <x:f>'Evaluation Plan'!M9</x:f>
        <x:v>pencil sharpener</x:v>
      </x:c>
      <x:c r="N9" s="45" t="n">
        <x:f>'Evaluation Plan'!N9</x:f>
        <x:v>4</x:v>
      </x:c>
      <x:c r="O9" s="45" t="n">
        <x:f>'Evaluation Plan'!O9</x:f>
        <x:v>1</x:v>
      </x:c>
      <x:c r="P9" s="45" t="str">
        <x:f>'Evaluation Plan'!P9</x:f>
        <x:v>Empty</x:v>
      </x:c>
      <x:c r="Q9" s="44" t="str">
        <x:f>'Evaluation Plan'!Q9</x:f>
        <x:v>Exact training-supported relation × candidate-category baseline</x:v>
      </x:c>
      <x:c r="R9" s="45" t="n">
        <x:f>'Evaluation Plan'!R9</x:f>
        <x:v>1</x:v>
      </x:c>
      <x:c r="S9" s="44" t="str">
        <x:f>'Evaluation Plan'!S9</x:f>
        <x:v>Recreate the listed four-object scene with the bowl empty.</x:v>
      </x:c>
      <x:c r="T9" s="44" t="str">
        <x:f>'Evaluation Plan'!T9</x:f>
        <x:v>The relation, candidate category, target identity, and object membership occur together in the cited training episode.</x:v>
      </x:c>
      <x:c r="U9" s="44" t="n">
        <x:f>'Evaluation Plan'!U9</x:f>
        <x:v>0</x:v>
      </x:c>
    </x:row>
    <x:row r="10" ht="51" customHeight="1">
      <x:c r="A10" s="41" t="str">
        <x:v>Not collected</x:v>
      </x:c>
      <x:c r="B10" s="42" t="n">
        <x:f>'Evaluation Plan'!B10</x:f>
        <x:v>8</x:v>
      </x:c>
      <x:c r="C10" s="41" t="str">
        <x:f>'Evaluation Plan'!C10</x:f>
        <x:v>Pick up the pencil sharpener furthest from the yellow pen and place it in the bowl.</x:v>
      </x:c>
      <x:c r="D10" s="41" t="str">
        <x:f>'Evaluation Plan'!D10</x:f>
        <x:v>Reference: yellow pen at table centre; red pencil sharpener: 10 cm toward the robot from the reference; green pencil sharpener: 24 cm away from the robot from the reference; airplane toy without propellers: at the far robot-left corner, outside the distance comparison; Bowl: empty</x:v>
      </x:c>
      <x:c r="E10" s="42" t="str">
        <x:f>'Evaluation Plan'!E10</x:f>
      </x:c>
      <x:c r="F10" s="42" t="str">
        <x:f>'Evaluation Plan'!F10</x:f>
        <x:v>466</x:v>
      </x:c>
      <x:c r="G10" s="41" t="str">
        <x:f>'Evaluation Plan'!G10</x:f>
        <x:v>Exact manifest cell: prompt, relation × candidate-category combination, target identity, and object membership are explicitly represented in training; physical positions are manually recreated with a clear margin.</x:v>
      </x:c>
      <x:c r="H10" s="41" t="str">
        <x:f>'Evaluation Plan'!H10</x:f>
        <x:v>green pencil sharpener</x:v>
      </x:c>
      <x:c r="I10" s="41" t="str"/>
      <x:c r="J10" s="43" t="str">
        <x:f>'Evaluation Plan'!J10</x:f>
        <x:v>In-distribution concept baseline</x:v>
      </x:c>
      <x:c r="K10" s="42" t="str">
        <x:f>'Evaluation Plan'!K10</x:f>
        <x:v>RD-ID09</x:v>
      </x:c>
      <x:c r="L10" s="42" t="str">
        <x:f>'Evaluation Plan'!L10</x:f>
        <x:v>furthest</x:v>
      </x:c>
      <x:c r="M10" s="42" t="str">
        <x:f>'Evaluation Plan'!M10</x:f>
        <x:v>pencil sharpener</x:v>
      </x:c>
      <x:c r="N10" s="42" t="n">
        <x:f>'Evaluation Plan'!N10</x:f>
        <x:v>4</x:v>
      </x:c>
      <x:c r="O10" s="42" t="n">
        <x:f>'Evaluation Plan'!O10</x:f>
        <x:v>1</x:v>
      </x:c>
      <x:c r="P10" s="42" t="str">
        <x:f>'Evaluation Plan'!P10</x:f>
        <x:v>Empty</x:v>
      </x:c>
      <x:c r="Q10" s="41" t="str">
        <x:f>'Evaluation Plan'!Q10</x:f>
        <x:v>Exact training-supported relation × candidate-category baseline</x:v>
      </x:c>
      <x:c r="R10" s="42" t="n">
        <x:f>'Evaluation Plan'!R10</x:f>
        <x:v>1</x:v>
      </x:c>
      <x:c r="S10" s="41" t="str">
        <x:f>'Evaluation Plan'!S10</x:f>
        <x:v>Recreate the listed four-object scene with the bowl empty.</x:v>
      </x:c>
      <x:c r="T10" s="41" t="str">
        <x:f>'Evaluation Plan'!T10</x:f>
        <x:v>The relation, candidate category, target identity, and object membership occur together in the cited training episode.</x:v>
      </x:c>
      <x:c r="U10" s="41" t="n">
        <x:f>'Evaluation Plan'!U10</x:f>
        <x:v>0</x:v>
      </x:c>
    </x:row>
    <x:row r="11" ht="51" customHeight="1">
      <x:c r="A11" s="44" t="str">
        <x:v>Not collected</x:v>
      </x:c>
      <x:c r="B11" s="45" t="n">
        <x:f>'Evaluation Plan'!B11</x:f>
        <x:v>9</x:v>
      </x:c>
      <x:c r="C11" s="44" t="str">
        <x:f>'Evaluation Plan'!C11</x:f>
        <x:v>Pick up the pencil sharpener furthest from the airplane toy without propellers and place it in the bowl.</x:v>
      </x:c>
      <x:c r="D11" s="44" t="str">
        <x:f>'Evaluation Plan'!D11</x:f>
        <x:v>Reference: airplane toy without propellers at table centre; red pencil sharpener: 10 cm away from the robot from the reference; green pencil sharpener: 24 cm toward the robot from the reference; crushed Pepsi can: at the far robot-left corner, outside the distance comparison; Bowl: empty</x:v>
      </x:c>
      <x:c r="E11" s="45" t="str">
        <x:f>'Evaluation Plan'!E11</x:f>
      </x:c>
      <x:c r="F11" s="45" t="str">
        <x:f>'Evaluation Plan'!F11</x:f>
        <x:v>468</x:v>
      </x:c>
      <x:c r="G11" s="44" t="str">
        <x:f>'Evaluation Plan'!G11</x:f>
        <x:v>Exact manifest cell: prompt, relation × candidate-category combination, target identity, and object membership are explicitly represented in training; physical positions are manually recreated with a clear margin.</x:v>
      </x:c>
      <x:c r="H11" s="44" t="str">
        <x:f>'Evaluation Plan'!H11</x:f>
        <x:v>green pencil sharpener</x:v>
      </x:c>
      <x:c r="I11" s="44" t="str"/>
      <x:c r="J11" s="43" t="str">
        <x:f>'Evaluation Plan'!J11</x:f>
        <x:v>In-distribution concept baseline</x:v>
      </x:c>
      <x:c r="K11" s="45" t="str">
        <x:f>'Evaluation Plan'!K11</x:f>
        <x:v>RD-ID10</x:v>
      </x:c>
      <x:c r="L11" s="45" t="str">
        <x:f>'Evaluation Plan'!L11</x:f>
        <x:v>furthest</x:v>
      </x:c>
      <x:c r="M11" s="45" t="str">
        <x:f>'Evaluation Plan'!M11</x:f>
        <x:v>pencil sharpener</x:v>
      </x:c>
      <x:c r="N11" s="45" t="n">
        <x:f>'Evaluation Plan'!N11</x:f>
        <x:v>4</x:v>
      </x:c>
      <x:c r="O11" s="45" t="n">
        <x:f>'Evaluation Plan'!O11</x:f>
        <x:v>1</x:v>
      </x:c>
      <x:c r="P11" s="45" t="str">
        <x:f>'Evaluation Plan'!P11</x:f>
        <x:v>Empty</x:v>
      </x:c>
      <x:c r="Q11" s="44" t="str">
        <x:f>'Evaluation Plan'!Q11</x:f>
        <x:v>Exact training-supported relation × candidate-category baseline</x:v>
      </x:c>
      <x:c r="R11" s="45" t="n">
        <x:f>'Evaluation Plan'!R11</x:f>
        <x:v>1</x:v>
      </x:c>
      <x:c r="S11" s="44" t="str">
        <x:f>'Evaluation Plan'!S11</x:f>
        <x:v>Recreate the listed four-object scene with the bowl empty.</x:v>
      </x:c>
      <x:c r="T11" s="44" t="str">
        <x:f>'Evaluation Plan'!T11</x:f>
        <x:v>The relation, candidate category, target identity, and object membership occur together in the cited training episode.</x:v>
      </x:c>
      <x:c r="U11" s="44" t="n">
        <x:f>'Evaluation Plan'!U11</x:f>
        <x:v>0</x:v>
      </x:c>
    </x:row>
    <x:row r="12" ht="51" customHeight="1">
      <x:c r="A12" s="41" t="str">
        <x:v>Not collected</x:v>
      </x:c>
      <x:c r="B12" s="42" t="n">
        <x:f>'Evaluation Plan'!B12</x:f>
        <x:v>10</x:v>
      </x:c>
      <x:c r="C12" s="41" t="str">
        <x:f>'Evaluation Plan'!C12</x:f>
        <x:v>Put the airplane toy closest to the green pencil sharpener in the bowl.</x:v>
      </x:c>
      <x:c r="D12" s="41" t="str">
        <x:f>'Evaluation Plan'!D12</x:f>
        <x:v>Reference: green pencil sharpener at table centre; airplane toy with propellers: 10 cm toward robot-left from the reference; airplane toy without propellers: 24 cm away toward robot-right from the reference; red pencil sharpener: at the far robot-left corner, outside the distance comparison; Bowl: empty</x:v>
      </x:c>
      <x:c r="E12" s="42" t="str">
        <x:f>'Evaluation Plan'!E12</x:f>
      </x:c>
      <x:c r="F12" s="42" t="str">
        <x:f>'Evaluation Plan'!F12</x:f>
        <x:v>564</x:v>
      </x:c>
      <x:c r="G12" s="41" t="str">
        <x:f>'Evaluation Plan'!G12</x:f>
        <x:v>Exact manifest cell: prompt, relation × candidate-category combination, target identity, and object membership are explicitly represented in training; physical positions are manually recreated with a clear margin.</x:v>
      </x:c>
      <x:c r="H12" s="41" t="str">
        <x:f>'Evaluation Plan'!H12</x:f>
        <x:v>airplane toy with propellers</x:v>
      </x:c>
      <x:c r="I12" s="41" t="str"/>
      <x:c r="J12" s="43" t="str">
        <x:f>'Evaluation Plan'!J12</x:f>
        <x:v>In-distribution concept baseline</x:v>
      </x:c>
      <x:c r="K12" s="42" t="str">
        <x:f>'Evaluation Plan'!K12</x:f>
        <x:v>RD-ID11</x:v>
      </x:c>
      <x:c r="L12" s="42" t="str">
        <x:f>'Evaluation Plan'!L12</x:f>
        <x:v>closest</x:v>
      </x:c>
      <x:c r="M12" s="42" t="str">
        <x:f>'Evaluation Plan'!M12</x:f>
        <x:v>airplane toy</x:v>
      </x:c>
      <x:c r="N12" s="42" t="n">
        <x:f>'Evaluation Plan'!N12</x:f>
        <x:v>4</x:v>
      </x:c>
      <x:c r="O12" s="42" t="n">
        <x:f>'Evaluation Plan'!O12</x:f>
        <x:v>1</x:v>
      </x:c>
      <x:c r="P12" s="42" t="str">
        <x:f>'Evaluation Plan'!P12</x:f>
        <x:v>Empty</x:v>
      </x:c>
      <x:c r="Q12" s="41" t="str">
        <x:f>'Evaluation Plan'!Q12</x:f>
        <x:v>Exact training-supported relation × candidate-category baseline</x:v>
      </x:c>
      <x:c r="R12" s="42" t="n">
        <x:f>'Evaluation Plan'!R12</x:f>
        <x:v>1</x:v>
      </x:c>
      <x:c r="S12" s="41" t="str">
        <x:f>'Evaluation Plan'!S12</x:f>
        <x:v>Recreate the listed four-object scene with the bowl empty.</x:v>
      </x:c>
      <x:c r="T12" s="41" t="str">
        <x:f>'Evaluation Plan'!T12</x:f>
        <x:v>The relation, candidate category, target identity, and object membership occur together in the cited training episode.</x:v>
      </x:c>
      <x:c r="U12" s="41" t="n">
        <x:f>'Evaluation Plan'!U12</x:f>
        <x:v>0</x:v>
      </x:c>
    </x:row>
    <x:row r="13" ht="51" customHeight="1">
      <x:c r="A13" s="44" t="str">
        <x:v>Not collected</x:v>
      </x:c>
      <x:c r="B13" s="45" t="n">
        <x:f>'Evaluation Plan'!B13</x:f>
        <x:v>11</x:v>
      </x:c>
      <x:c r="C13" s="44" t="str">
        <x:f>'Evaluation Plan'!C13</x:f>
        <x:v>Pick up the airplane toy nearest to the yellow pen and place it in the bowl.</x:v>
      </x:c>
      <x:c r="D13" s="44" t="str">
        <x:f>'Evaluation Plan'!D13</x:f>
        <x:v>Reference: yellow pen at table centre; airplane toy without propellers: 10 cm toward robot-right from the reference; airplane toy with propellers: 24 cm away toward robot-left from the reference; green pencil sharpener: at the far robot-left corner, outside the distance comparison; Bowl: empty</x:v>
      </x:c>
      <x:c r="E13" s="45" t="str">
        <x:f>'Evaluation Plan'!E13</x:f>
      </x:c>
      <x:c r="F13" s="45" t="str">
        <x:f>'Evaluation Plan'!F13</x:f>
        <x:v>551</x:v>
      </x:c>
      <x:c r="G13" s="44" t="str">
        <x:f>'Evaluation Plan'!G13</x:f>
        <x:v>Exact manifest cell: prompt, relation × candidate-category combination, target identity, and object membership are explicitly represented in training; physical positions are manually recreated with a clear margin.</x:v>
      </x:c>
      <x:c r="H13" s="44" t="str">
        <x:f>'Evaluation Plan'!H13</x:f>
        <x:v>airplane toy without propellers</x:v>
      </x:c>
      <x:c r="I13" s="44" t="str"/>
      <x:c r="J13" s="43" t="str">
        <x:f>'Evaluation Plan'!J13</x:f>
        <x:v>In-distribution concept baseline</x:v>
      </x:c>
      <x:c r="K13" s="45" t="str">
        <x:f>'Evaluation Plan'!K13</x:f>
        <x:v>RD-ID12</x:v>
      </x:c>
      <x:c r="L13" s="45" t="str">
        <x:f>'Evaluation Plan'!L13</x:f>
        <x:v>closest</x:v>
      </x:c>
      <x:c r="M13" s="45" t="str">
        <x:f>'Evaluation Plan'!M13</x:f>
        <x:v>airplane toy</x:v>
      </x:c>
      <x:c r="N13" s="45" t="n">
        <x:f>'Evaluation Plan'!N13</x:f>
        <x:v>4</x:v>
      </x:c>
      <x:c r="O13" s="45" t="n">
        <x:f>'Evaluation Plan'!O13</x:f>
        <x:v>1</x:v>
      </x:c>
      <x:c r="P13" s="45" t="str">
        <x:f>'Evaluation Plan'!P13</x:f>
        <x:v>Empty</x:v>
      </x:c>
      <x:c r="Q13" s="44" t="str">
        <x:f>'Evaluation Plan'!Q13</x:f>
        <x:v>Exact training-supported relation × candidate-category baseline</x:v>
      </x:c>
      <x:c r="R13" s="45" t="n">
        <x:f>'Evaluation Plan'!R13</x:f>
        <x:v>1</x:v>
      </x:c>
      <x:c r="S13" s="44" t="str">
        <x:f>'Evaluation Plan'!S13</x:f>
        <x:v>Recreate the listed four-object scene with the bowl empty.</x:v>
      </x:c>
      <x:c r="T13" s="44" t="str">
        <x:f>'Evaluation Plan'!T13</x:f>
        <x:v>The relation, candidate category, target identity, and object membership occur together in the cited training episode.</x:v>
      </x:c>
      <x:c r="U13" s="44" t="n">
        <x:f>'Evaluation Plan'!U13</x:f>
        <x:v>0</x:v>
      </x:c>
    </x:row>
    <x:row r="14" ht="51" customHeight="1">
      <x:c r="A14" s="41" t="str">
        <x:v>Not collected</x:v>
      </x:c>
      <x:c r="B14" s="42" t="n">
        <x:f>'Evaluation Plan'!B14</x:f>
        <x:v>12</x:v>
      </x:c>
      <x:c r="C14" s="41" t="str">
        <x:f>'Evaluation Plan'!C14</x:f>
        <x:v>Move the airplane toy lying between the crushed Pepsi can and the red pencil sharpener into the bowl.</x:v>
      </x:c>
      <x:c r="D14" s="41" t="str">
        <x:f>'Evaluation Plan'!D14</x:f>
        <x:v>Reference A: crushed Pepsi can at 14 cm to robot-left of table centre; Reference B: red pencil sharpener at 14 cm to robot-right of table centre; airplane toy with propellers: at table centre on the straight Reference A–B segment; airplane toy without propellers: 12 cm toward the robot from table centre, off the Reference A–B segment; Bowl: empty</x:v>
      </x:c>
      <x:c r="E14" s="42" t="str">
        <x:f>'Evaluation Plan'!E14</x:f>
      </x:c>
      <x:c r="F14" s="42" t="str">
        <x:f>'Evaluation Plan'!F14</x:f>
        <x:v>582</x:v>
      </x:c>
      <x:c r="G14" s="41" t="str">
        <x:f>'Evaluation Plan'!G14</x:f>
        <x:v>Exact manifest cell: prompt, relation × candidate-category combination, target identity, and object membership are explicitly represented in training; physical positions are manually recreated with a clear margin.</x:v>
      </x:c>
      <x:c r="H14" s="41" t="str">
        <x:f>'Evaluation Plan'!H14</x:f>
        <x:v>airplane toy with propellers</x:v>
      </x:c>
      <x:c r="I14" s="41" t="str"/>
      <x:c r="J14" s="43" t="str">
        <x:f>'Evaluation Plan'!J14</x:f>
        <x:v>In-distribution concept baseline</x:v>
      </x:c>
      <x:c r="K14" s="42" t="str">
        <x:f>'Evaluation Plan'!K14</x:f>
        <x:v>RD-ID13</x:v>
      </x:c>
      <x:c r="L14" s="42" t="str">
        <x:f>'Evaluation Plan'!L14</x:f>
        <x:v>between</x:v>
      </x:c>
      <x:c r="M14" s="42" t="str">
        <x:f>'Evaluation Plan'!M14</x:f>
        <x:v>airplane toy</x:v>
      </x:c>
      <x:c r="N14" s="42" t="n">
        <x:f>'Evaluation Plan'!N14</x:f>
        <x:v>4</x:v>
      </x:c>
      <x:c r="O14" s="42" t="n">
        <x:f>'Evaluation Plan'!O14</x:f>
        <x:v>1</x:v>
      </x:c>
      <x:c r="P14" s="42" t="str">
        <x:f>'Evaluation Plan'!P14</x:f>
        <x:v>Empty</x:v>
      </x:c>
      <x:c r="Q14" s="41" t="str">
        <x:f>'Evaluation Plan'!Q14</x:f>
        <x:v>Exact training-supported relation × candidate-category baseline</x:v>
      </x:c>
      <x:c r="R14" s="42" t="n">
        <x:f>'Evaluation Plan'!R14</x:f>
        <x:v>1</x:v>
      </x:c>
      <x:c r="S14" s="41" t="str">
        <x:f>'Evaluation Plan'!S14</x:f>
        <x:v>Recreate the listed four-object scene with the bowl empty.</x:v>
      </x:c>
      <x:c r="T14" s="41" t="str">
        <x:f>'Evaluation Plan'!T14</x:f>
        <x:v>The relation, candidate category, target identity, and object membership occur together in the cited training episode.</x:v>
      </x:c>
      <x:c r="U14" s="41" t="n">
        <x:f>'Evaluation Plan'!U14</x:f>
        <x:v>0</x:v>
      </x:c>
    </x:row>
    <x:row r="15" ht="51" customHeight="1">
      <x:c r="A15" s="44" t="str">
        <x:v>Not collected</x:v>
      </x:c>
      <x:c r="B15" s="45" t="n">
        <x:f>'Evaluation Plan'!B15</x:f>
        <x:v>13</x:v>
      </x:c>
      <x:c r="C15" s="44" t="str">
        <x:f>'Evaluation Plan'!C15</x:f>
        <x:v>Put the airplane toy between the crushed Coke can and the green pen in the bowl.</x:v>
      </x:c>
      <x:c r="D15" s="44" t="str">
        <x:f>'Evaluation Plan'!D15</x:f>
        <x:v>Reference A: crushed Coke can at 14 cm toward the robot from table centre; Reference B: green pen at 14 cm away from the robot from table centre; airplane toy without propellers: at table centre on the straight Reference A–B segment; airplane toy with propellers: 12 cm to robot-right of table centre, off the Reference A–B segment; Bowl: empty</x:v>
      </x:c>
      <x:c r="E15" s="45" t="str">
        <x:f>'Evaluation Plan'!E15</x:f>
      </x:c>
      <x:c r="F15" s="45" t="str">
        <x:f>'Evaluation Plan'!F15</x:f>
        <x:v>586</x:v>
      </x:c>
      <x:c r="G15" s="44" t="str">
        <x:f>'Evaluation Plan'!G15</x:f>
        <x:v>Exact manifest cell: prompt, relation × candidate-category combination, target identity, and object membership are explicitly represented in training; physical positions are manually recreated with a clear margin.</x:v>
      </x:c>
      <x:c r="H15" s="44" t="str">
        <x:f>'Evaluation Plan'!H15</x:f>
        <x:v>airplane toy without propellers</x:v>
      </x:c>
      <x:c r="I15" s="44" t="str"/>
      <x:c r="J15" s="43" t="str">
        <x:f>'Evaluation Plan'!J15</x:f>
        <x:v>In-distribution concept baseline</x:v>
      </x:c>
      <x:c r="K15" s="45" t="str">
        <x:f>'Evaluation Plan'!K15</x:f>
        <x:v>RD-ID14</x:v>
      </x:c>
      <x:c r="L15" s="45" t="str">
        <x:f>'Evaluation Plan'!L15</x:f>
        <x:v>between</x:v>
      </x:c>
      <x:c r="M15" s="45" t="str">
        <x:f>'Evaluation Plan'!M15</x:f>
        <x:v>airplane toy</x:v>
      </x:c>
      <x:c r="N15" s="45" t="n">
        <x:f>'Evaluation Plan'!N15</x:f>
        <x:v>4</x:v>
      </x:c>
      <x:c r="O15" s="45" t="n">
        <x:f>'Evaluation Plan'!O15</x:f>
        <x:v>1</x:v>
      </x:c>
      <x:c r="P15" s="45" t="str">
        <x:f>'Evaluation Plan'!P15</x:f>
        <x:v>Empty</x:v>
      </x:c>
      <x:c r="Q15" s="44" t="str">
        <x:f>'Evaluation Plan'!Q15</x:f>
        <x:v>Exact training-supported relation × candidate-category baseline</x:v>
      </x:c>
      <x:c r="R15" s="45" t="n">
        <x:f>'Evaluation Plan'!R15</x:f>
        <x:v>1</x:v>
      </x:c>
      <x:c r="S15" s="44" t="str">
        <x:f>'Evaluation Plan'!S15</x:f>
        <x:v>Recreate the listed four-object scene with the bowl empty.</x:v>
      </x:c>
      <x:c r="T15" s="44" t="str">
        <x:f>'Evaluation Plan'!T15</x:f>
        <x:v>The relation, candidate category, target identity, and object membership occur together in the cited training episode.</x:v>
      </x:c>
      <x:c r="U15" s="44" t="n">
        <x:f>'Evaluation Plan'!U15</x:f>
        <x:v>0</x:v>
      </x:c>
    </x:row>
    <x:row r="16" ht="51" customHeight="1">
      <x:c r="A16" s="41" t="str">
        <x:v>Not collected</x:v>
      </x:c>
      <x:c r="B16" s="42" t="n">
        <x:f>'Evaluation Plan'!B16</x:f>
        <x:v>14</x:v>
      </x:c>
      <x:c r="C16" s="41" t="str">
        <x:f>'Evaluation Plan'!C16</x:f>
        <x:v>Pick up the airplane toy positioned between the green pencil sharpener and the yellow pen, then place it in the bowl.</x:v>
      </x:c>
      <x:c r="D16" s="41" t="str">
        <x:f>'Evaluation Plan'!D16</x:f>
        <x:v>Reference A: green pencil sharpener at 14 cm toward robot-left from table centre; Reference B: yellow pen at 14 cm away toward robot-right from table centre; airplane toy with propellers: at table centre on the straight Reference A–B segment; airplane toy without propellers: 12 cm toward robot-right from table centre, off the Reference A–B segment; Bowl: empty</x:v>
      </x:c>
      <x:c r="E16" s="42" t="str">
        <x:f>'Evaluation Plan'!E16</x:f>
      </x:c>
      <x:c r="F16" s="42" t="str">
        <x:f>'Evaluation Plan'!F16</x:f>
        <x:v>583</x:v>
      </x:c>
      <x:c r="G16" s="41" t="str">
        <x:f>'Evaluation Plan'!G16</x:f>
        <x:v>Exact manifest cell: prompt, relation × candidate-category combination, target identity, and object membership are explicitly represented in training; physical positions are manually recreated with a clear margin.</x:v>
      </x:c>
      <x:c r="H16" s="41" t="str">
        <x:f>'Evaluation Plan'!H16</x:f>
        <x:v>airplane toy with propellers</x:v>
      </x:c>
      <x:c r="I16" s="41" t="str"/>
      <x:c r="J16" s="43" t="str">
        <x:f>'Evaluation Plan'!J16</x:f>
        <x:v>In-distribution concept baseline</x:v>
      </x:c>
      <x:c r="K16" s="42" t="str">
        <x:f>'Evaluation Plan'!K16</x:f>
        <x:v>RD-ID15</x:v>
      </x:c>
      <x:c r="L16" s="42" t="str">
        <x:f>'Evaluation Plan'!L16</x:f>
        <x:v>between</x:v>
      </x:c>
      <x:c r="M16" s="42" t="str">
        <x:f>'Evaluation Plan'!M16</x:f>
        <x:v>airplane toy</x:v>
      </x:c>
      <x:c r="N16" s="42" t="n">
        <x:f>'Evaluation Plan'!N16</x:f>
        <x:v>4</x:v>
      </x:c>
      <x:c r="O16" s="42" t="n">
        <x:f>'Evaluation Plan'!O16</x:f>
        <x:v>1</x:v>
      </x:c>
      <x:c r="P16" s="42" t="str">
        <x:f>'Evaluation Plan'!P16</x:f>
        <x:v>Empty</x:v>
      </x:c>
      <x:c r="Q16" s="41" t="str">
        <x:f>'Evaluation Plan'!Q16</x:f>
        <x:v>Exact training-supported relation × candidate-category baseline</x:v>
      </x:c>
      <x:c r="R16" s="42" t="n">
        <x:f>'Evaluation Plan'!R16</x:f>
        <x:v>1</x:v>
      </x:c>
      <x:c r="S16" s="41" t="str">
        <x:f>'Evaluation Plan'!S16</x:f>
        <x:v>Recreate the listed four-object scene with the bowl empty.</x:v>
      </x:c>
      <x:c r="T16" s="41" t="str">
        <x:f>'Evaluation Plan'!T16</x:f>
        <x:v>The relation, candidate category, target identity, and object membership occur together in the cited training episode.</x:v>
      </x:c>
      <x:c r="U16" s="41" t="n">
        <x:f>'Evaluation Plan'!U16</x:f>
        <x:v>0</x:v>
      </x:c>
    </x:row>
    <x:row r="17" ht="51" customHeight="1">
      <x:c r="A17" s="44" t="str">
        <x:v>Not collected</x:v>
      </x:c>
      <x:c r="B17" s="45" t="n">
        <x:f>'Evaluation Plan'!B17</x:f>
        <x:v>15</x:v>
      </x:c>
      <x:c r="C17" s="44" t="str">
        <x:f>'Evaluation Plan'!C17</x:f>
        <x:v>Put the pen closest to the crushed Coke can in the bowl.</x:v>
      </x:c>
      <x:c r="D17" s="44" t="str">
        <x:f>'Evaluation Plan'!D17</x:f>
        <x:v>Reference: crushed Coke can at table centre; green pen: 10 cm away from the robot from the reference; yellow pen: 24 cm toward the robot from the reference; crushed Pepsi can: at the far robot-left corner, outside the distance comparison; Bowl: empty</x:v>
      </x:c>
      <x:c r="E17" s="45" t="str">
        <x:f>'Evaluation Plan'!E17</x:f>
      </x:c>
      <x:c r="F17" s="45" t="str">
        <x:f>'Evaluation Plan'!F17</x:f>
        <x:v>514</x:v>
      </x:c>
      <x:c r="G17" s="44" t="str">
        <x:f>'Evaluation Plan'!G17</x:f>
        <x:v>Exact manifest cell: prompt, relation × candidate-category combination, target identity, and object membership are explicitly represented in training; physical positions are manually recreated with a clear margin.</x:v>
      </x:c>
      <x:c r="H17" s="44" t="str">
        <x:f>'Evaluation Plan'!H17</x:f>
        <x:v>green pen</x:v>
      </x:c>
      <x:c r="I17" s="44" t="str"/>
      <x:c r="J17" s="43" t="str">
        <x:f>'Evaluation Plan'!J17</x:f>
        <x:v>In-distribution concept baseline</x:v>
      </x:c>
      <x:c r="K17" s="45" t="str">
        <x:f>'Evaluation Plan'!K17</x:f>
        <x:v>RD-ID16</x:v>
      </x:c>
      <x:c r="L17" s="45" t="str">
        <x:f>'Evaluation Plan'!L17</x:f>
        <x:v>closest</x:v>
      </x:c>
      <x:c r="M17" s="45" t="str">
        <x:f>'Evaluation Plan'!M17</x:f>
        <x:v>pen</x:v>
      </x:c>
      <x:c r="N17" s="45" t="n">
        <x:f>'Evaluation Plan'!N17</x:f>
        <x:v>4</x:v>
      </x:c>
      <x:c r="O17" s="45" t="n">
        <x:f>'Evaluation Plan'!O17</x:f>
        <x:v>1</x:v>
      </x:c>
      <x:c r="P17" s="45" t="str">
        <x:f>'Evaluation Plan'!P17</x:f>
        <x:v>Empty</x:v>
      </x:c>
      <x:c r="Q17" s="44" t="str">
        <x:f>'Evaluation Plan'!Q17</x:f>
        <x:v>Exact training-supported relation × candidate-category baseline</x:v>
      </x:c>
      <x:c r="R17" s="45" t="n">
        <x:f>'Evaluation Plan'!R17</x:f>
        <x:v>1</x:v>
      </x:c>
      <x:c r="S17" s="44" t="str">
        <x:f>'Evaluation Plan'!S17</x:f>
        <x:v>Recreate the listed four-object scene with the bowl empty.</x:v>
      </x:c>
      <x:c r="T17" s="44" t="str">
        <x:f>'Evaluation Plan'!T17</x:f>
        <x:v>The relation, candidate category, target identity, and object membership occur together in the cited training episode.</x:v>
      </x:c>
      <x:c r="U17" s="44" t="n">
        <x:f>'Evaluation Plan'!U17</x:f>
        <x:v>0</x:v>
      </x:c>
    </x:row>
    <x:row r="18" ht="51" customHeight="1">
      <x:c r="A18" s="41" t="str">
        <x:v>Not collected</x:v>
      </x:c>
      <x:c r="B18" s="42" t="n">
        <x:f>'Evaluation Plan'!B18</x:f>
        <x:v>16</x:v>
      </x:c>
      <x:c r="C18" s="41" t="str">
        <x:f>'Evaluation Plan'!C18</x:f>
        <x:v>Put the pen closest to the red pencil sharpener in the bowl.</x:v>
      </x:c>
      <x:c r="D18" s="41" t="str">
        <x:f>'Evaluation Plan'!D18</x:f>
        <x:v>Reference: red pencil sharpener at table centre; yellow pen: 10 cm toward robot-left from the reference; green pen: 24 cm away toward robot-right from the reference; airplane toy without propellers: at the far robot-left corner, outside the distance comparison; Bowl: empty</x:v>
      </x:c>
      <x:c r="E18" s="42" t="str">
        <x:f>'Evaluation Plan'!E18</x:f>
      </x:c>
      <x:c r="F18" s="42" t="str">
        <x:f>'Evaluation Plan'!F18</x:f>
        <x:v>501</x:v>
      </x:c>
      <x:c r="G18" s="41" t="str">
        <x:f>'Evaluation Plan'!G18</x:f>
        <x:v>Exact manifest cell: prompt, relation × candidate-category combination, target identity, and object membership are explicitly represented in training; physical positions are manually recreated with a clear margin.</x:v>
      </x:c>
      <x:c r="H18" s="41" t="str">
        <x:f>'Evaluation Plan'!H18</x:f>
        <x:v>yellow pen</x:v>
      </x:c>
      <x:c r="I18" s="41" t="str"/>
      <x:c r="J18" s="43" t="str">
        <x:f>'Evaluation Plan'!J18</x:f>
        <x:v>In-distribution concept baseline</x:v>
      </x:c>
      <x:c r="K18" s="42" t="str">
        <x:f>'Evaluation Plan'!K18</x:f>
        <x:v>RD-ID17</x:v>
      </x:c>
      <x:c r="L18" s="42" t="str">
        <x:f>'Evaluation Plan'!L18</x:f>
        <x:v>closest</x:v>
      </x:c>
      <x:c r="M18" s="42" t="str">
        <x:f>'Evaluation Plan'!M18</x:f>
        <x:v>pen</x:v>
      </x:c>
      <x:c r="N18" s="42" t="n">
        <x:f>'Evaluation Plan'!N18</x:f>
        <x:v>4</x:v>
      </x:c>
      <x:c r="O18" s="42" t="n">
        <x:f>'Evaluation Plan'!O18</x:f>
        <x:v>1</x:v>
      </x:c>
      <x:c r="P18" s="42" t="str">
        <x:f>'Evaluation Plan'!P18</x:f>
        <x:v>Empty</x:v>
      </x:c>
      <x:c r="Q18" s="41" t="str">
        <x:f>'Evaluation Plan'!Q18</x:f>
        <x:v>Exact training-supported relation × candidate-category baseline</x:v>
      </x:c>
      <x:c r="R18" s="42" t="n">
        <x:f>'Evaluation Plan'!R18</x:f>
        <x:v>1</x:v>
      </x:c>
      <x:c r="S18" s="41" t="str">
        <x:f>'Evaluation Plan'!S18</x:f>
        <x:v>Recreate the listed four-object scene with the bowl empty.</x:v>
      </x:c>
      <x:c r="T18" s="41" t="str">
        <x:f>'Evaluation Plan'!T18</x:f>
        <x:v>The relation, candidate category, target identity, and object membership occur together in the cited training episode.</x:v>
      </x:c>
      <x:c r="U18" s="41" t="n">
        <x:f>'Evaluation Plan'!U18</x:f>
        <x:v>0</x:v>
      </x:c>
    </x:row>
    <x:row r="19" ht="51" customHeight="1">
      <x:c r="A19" s="44" t="str">
        <x:v>Not collected</x:v>
      </x:c>
      <x:c r="B19" s="45" t="n">
        <x:f>'Evaluation Plan'!B19</x:f>
        <x:v>17</x:v>
      </x:c>
      <x:c r="C19" s="44" t="str">
        <x:f>'Evaluation Plan'!C19</x:f>
        <x:v>Pick up the pen furthest from the crushed Pepsi can and place it in the bowl.</x:v>
      </x:c>
      <x:c r="D19" s="44" t="str">
        <x:f>'Evaluation Plan'!D19</x:f>
        <x:v>Reference: crushed Pepsi can at table centre; yellow pen: 10 cm toward robot-right from the reference; green pen: 24 cm away toward robot-left from the reference; green pencil sharpener: at the far robot-left corner, outside the distance comparison; Bowl: empty</x:v>
      </x:c>
      <x:c r="E19" s="45" t="str">
        <x:f>'Evaluation Plan'!E19</x:f>
      </x:c>
      <x:c r="F19" s="45" t="str">
        <x:f>'Evaluation Plan'!F19</x:f>
        <x:v>516</x:v>
      </x:c>
      <x:c r="G19" s="44" t="str">
        <x:f>'Evaluation Plan'!G19</x:f>
        <x:v>Exact manifest cell: prompt, relation × candidate-category combination, target identity, and object membership are explicitly represented in training; physical positions are manually recreated with a clear margin.</x:v>
      </x:c>
      <x:c r="H19" s="44" t="str">
        <x:f>'Evaluation Plan'!H19</x:f>
        <x:v>green pen</x:v>
      </x:c>
      <x:c r="I19" s="44" t="str"/>
      <x:c r="J19" s="43" t="str">
        <x:f>'Evaluation Plan'!J19</x:f>
        <x:v>In-distribution concept baseline</x:v>
      </x:c>
      <x:c r="K19" s="45" t="str">
        <x:f>'Evaluation Plan'!K19</x:f>
        <x:v>RD-ID18</x:v>
      </x:c>
      <x:c r="L19" s="45" t="str">
        <x:f>'Evaluation Plan'!L19</x:f>
        <x:v>furthest</x:v>
      </x:c>
      <x:c r="M19" s="45" t="str">
        <x:f>'Evaluation Plan'!M19</x:f>
        <x:v>pen</x:v>
      </x:c>
      <x:c r="N19" s="45" t="n">
        <x:f>'Evaluation Plan'!N19</x:f>
        <x:v>4</x:v>
      </x:c>
      <x:c r="O19" s="45" t="n">
        <x:f>'Evaluation Plan'!O19</x:f>
        <x:v>1</x:v>
      </x:c>
      <x:c r="P19" s="45" t="str">
        <x:f>'Evaluation Plan'!P19</x:f>
        <x:v>Empty</x:v>
      </x:c>
      <x:c r="Q19" s="44" t="str">
        <x:f>'Evaluation Plan'!Q19</x:f>
        <x:v>Exact training-supported relation × candidate-category baseline</x:v>
      </x:c>
      <x:c r="R19" s="45" t="n">
        <x:f>'Evaluation Plan'!R19</x:f>
        <x:v>1</x:v>
      </x:c>
      <x:c r="S19" s="44" t="str">
        <x:f>'Evaluation Plan'!S19</x:f>
        <x:v>Recreate the listed four-object scene with the bowl empty.</x:v>
      </x:c>
      <x:c r="T19" s="44" t="str">
        <x:f>'Evaluation Plan'!T19</x:f>
        <x:v>The relation, candidate category, target identity, and object membership occur together in the cited training episode.</x:v>
      </x:c>
      <x:c r="U19" s="44" t="n">
        <x:f>'Evaluation Plan'!U19</x:f>
        <x:v>0</x:v>
      </x:c>
    </x:row>
    <x:row r="20" ht="51" customHeight="1">
      <x:c r="A20" s="41" t="str">
        <x:v>Not collected</x:v>
      </x:c>
      <x:c r="B20" s="42" t="n">
        <x:f>'Evaluation Plan'!B20</x:f>
        <x:v>18</x:v>
      </x:c>
      <x:c r="C20" s="41" t="str">
        <x:f>'Evaluation Plan'!C20</x:f>
        <x:v>Pick up the pen furthest from the airplane toy without propellers and place it in the bowl.</x:v>
      </x:c>
      <x:c r="D20" s="41" t="str">
        <x:f>'Evaluation Plan'!D20</x:f>
        <x:v>Reference: airplane toy without propellers at table centre; yellow pen: 10 cm to robot-left of the reference; green pen: 24 cm to robot-right of the reference; crushed Coke can: at the far robot-left corner, outside the distance comparison; Bowl: empty</x:v>
      </x:c>
      <x:c r="E20" s="42" t="str">
        <x:f>'Evaluation Plan'!E20</x:f>
      </x:c>
      <x:c r="F20" s="42" t="str">
        <x:f>'Evaluation Plan'!F20</x:f>
        <x:v>518</x:v>
      </x:c>
      <x:c r="G20" s="41" t="str">
        <x:f>'Evaluation Plan'!G20</x:f>
        <x:v>Exact manifest cell: prompt, relation × candidate-category combination, target identity, and object membership are explicitly represented in training; physical positions are manually recreated with a clear margin.</x:v>
      </x:c>
      <x:c r="H20" s="41" t="str">
        <x:f>'Evaluation Plan'!H20</x:f>
        <x:v>green pen</x:v>
      </x:c>
      <x:c r="I20" s="41" t="str"/>
      <x:c r="J20" s="43" t="str">
        <x:f>'Evaluation Plan'!J20</x:f>
        <x:v>In-distribution concept baseline</x:v>
      </x:c>
      <x:c r="K20" s="42" t="str">
        <x:f>'Evaluation Plan'!K20</x:f>
        <x:v>RD-ID19</x:v>
      </x:c>
      <x:c r="L20" s="42" t="str">
        <x:f>'Evaluation Plan'!L20</x:f>
        <x:v>furthest</x:v>
      </x:c>
      <x:c r="M20" s="42" t="str">
        <x:f>'Evaluation Plan'!M20</x:f>
        <x:v>pen</x:v>
      </x:c>
      <x:c r="N20" s="42" t="n">
        <x:f>'Evaluation Plan'!N20</x:f>
        <x:v>4</x:v>
      </x:c>
      <x:c r="O20" s="42" t="n">
        <x:f>'Evaluation Plan'!O20</x:f>
        <x:v>1</x:v>
      </x:c>
      <x:c r="P20" s="42" t="str">
        <x:f>'Evaluation Plan'!P20</x:f>
        <x:v>Empty</x:v>
      </x:c>
      <x:c r="Q20" s="41" t="str">
        <x:f>'Evaluation Plan'!Q20</x:f>
        <x:v>Exact training-supported relation × candidate-category baseline</x:v>
      </x:c>
      <x:c r="R20" s="42" t="n">
        <x:f>'Evaluation Plan'!R20</x:f>
        <x:v>1</x:v>
      </x:c>
      <x:c r="S20" s="41" t="str">
        <x:f>'Evaluation Plan'!S20</x:f>
        <x:v>Recreate the listed four-object scene with the bowl empty.</x:v>
      </x:c>
      <x:c r="T20" s="41" t="str">
        <x:f>'Evaluation Plan'!T20</x:f>
        <x:v>The relation, candidate category, target identity, and object membership occur together in the cited training episode.</x:v>
      </x:c>
      <x:c r="U20" s="41" t="n">
        <x:f>'Evaluation Plan'!U20</x:f>
        <x:v>0</x:v>
      </x:c>
    </x:row>
    <x:row r="21" ht="51" customHeight="1">
      <x:c r="A21" s="44" t="str">
        <x:v>Not collected</x:v>
      </x:c>
      <x:c r="B21" s="45" t="n">
        <x:f>'Evaluation Plan'!B21</x:f>
        <x:v>19</x:v>
      </x:c>
      <x:c r="C21" s="44" t="str">
        <x:f>'Evaluation Plan'!C21</x:f>
        <x:v>Pick up the pen furthest from the red pencil sharpener and place it in the bowl.</x:v>
      </x:c>
      <x:c r="D21" s="44" t="str">
        <x:f>'Evaluation Plan'!D21</x:f>
        <x:v>Reference: red pencil sharpener at table centre; yellow pen: 10 cm to robot-right of the reference; green pen: 24 cm to robot-left of the reference; green pencil sharpener: at the far robot-left corner, outside the distance comparison; Bowl: empty</x:v>
      </x:c>
      <x:c r="E21" s="45" t="str">
        <x:f>'Evaluation Plan'!E21</x:f>
      </x:c>
      <x:c r="F21" s="45" t="str">
        <x:f>'Evaluation Plan'!F21</x:f>
        <x:v>520</x:v>
      </x:c>
      <x:c r="G21" s="44" t="str">
        <x:f>'Evaluation Plan'!G21</x:f>
        <x:v>Exact manifest cell: prompt, relation × candidate-category combination, target identity, and object membership are explicitly represented in training; physical positions are manually recreated with a clear margin.</x:v>
      </x:c>
      <x:c r="H21" s="44" t="str">
        <x:f>'Evaluation Plan'!H21</x:f>
        <x:v>green pen</x:v>
      </x:c>
      <x:c r="I21" s="44" t="str"/>
      <x:c r="J21" s="43" t="str">
        <x:f>'Evaluation Plan'!J21</x:f>
        <x:v>In-distribution concept baseline</x:v>
      </x:c>
      <x:c r="K21" s="45" t="str">
        <x:f>'Evaluation Plan'!K21</x:f>
        <x:v>RD-ID20</x:v>
      </x:c>
      <x:c r="L21" s="45" t="str">
        <x:f>'Evaluation Plan'!L21</x:f>
        <x:v>furthest</x:v>
      </x:c>
      <x:c r="M21" s="45" t="str">
        <x:f>'Evaluation Plan'!M21</x:f>
        <x:v>pen</x:v>
      </x:c>
      <x:c r="N21" s="45" t="n">
        <x:f>'Evaluation Plan'!N21</x:f>
        <x:v>4</x:v>
      </x:c>
      <x:c r="O21" s="45" t="n">
        <x:f>'Evaluation Plan'!O21</x:f>
        <x:v>1</x:v>
      </x:c>
      <x:c r="P21" s="45" t="str">
        <x:f>'Evaluation Plan'!P21</x:f>
        <x:v>Empty</x:v>
      </x:c>
      <x:c r="Q21" s="44" t="str">
        <x:f>'Evaluation Plan'!Q21</x:f>
        <x:v>Exact training-supported relation × candidate-category baseline</x:v>
      </x:c>
      <x:c r="R21" s="45" t="n">
        <x:f>'Evaluation Plan'!R21</x:f>
        <x:v>1</x:v>
      </x:c>
      <x:c r="S21" s="44" t="str">
        <x:f>'Evaluation Plan'!S21</x:f>
        <x:v>Recreate the listed four-object scene with the bowl empty.</x:v>
      </x:c>
      <x:c r="T21" s="44" t="str">
        <x:f>'Evaluation Plan'!T21</x:f>
        <x:v>The relation, candidate category, target identity, and object membership occur together in the cited training episode.</x:v>
      </x:c>
      <x:c r="U21" s="44" t="n">
        <x:f>'Evaluation Plan'!U21</x:f>
        <x:v>0</x:v>
      </x:c>
    </x:row>
    <x:row r="22" ht="51" customHeight="1">
      <x:c r="A22" s="41" t="str">
        <x:v>Not collected</x:v>
      </x:c>
      <x:c r="B22" s="42" t="n">
        <x:f>'Evaluation Plan'!B22</x:f>
        <x:v>20</x:v>
      </x:c>
      <x:c r="C22" s="41" t="str">
        <x:f>'Evaluation Plan'!C22</x:f>
        <x:v>Pick up the airplane toy furthest from the green pen and place it in the bowl.</x:v>
      </x:c>
      <x:c r="D22" s="41" t="str">
        <x:f>'Evaluation Plan'!D22</x:f>
        <x:v>Reference: green pen at table centre; airplane toy without propellers: 10 cm to robot-left of the reference; airplane toy with propellers: 24 cm to robot-right of the reference; crushed Coke can: at the far robot-left corner, outside the distance comparison; Bowl: empty</x:v>
      </x:c>
      <x:c r="E22" s="42" t="str">
        <x:f>'Evaluation Plan'!E22</x:f>
      </x:c>
      <x:c r="F22" s="42" t="str">
        <x:f>'Evaluation Plan'!F22</x:f>
        <x:v>566</x:v>
      </x:c>
      <x:c r="G22" s="41" t="str">
        <x:f>'Evaluation Plan'!G22</x:f>
        <x:v>Masked source trajectory: the target identity and physical manipulation are trained under a direct-name prompt, while this relation × candidate-category composition is intentionally absent.</x:v>
      </x:c>
      <x:c r="H22" s="41" t="str">
        <x:f>'Evaluation Plan'!H22</x:f>
        <x:v>airplane toy with propellers</x:v>
      </x:c>
      <x:c r="I22" s="41" t="str"/>
      <x:c r="J22" s="46" t="str">
        <x:f>'Evaluation Plan'!J22</x:f>
        <x:v>Concept/compositional transfer</x:v>
      </x:c>
      <x:c r="K22" s="42" t="str">
        <x:f>'Evaluation Plan'!K22</x:f>
        <x:v>RD-CT01</x:v>
      </x:c>
      <x:c r="L22" s="42" t="str">
        <x:f>'Evaluation Plan'!L22</x:f>
        <x:v>furthest</x:v>
      </x:c>
      <x:c r="M22" s="42" t="str">
        <x:f>'Evaluation Plan'!M22</x:f>
        <x:v>airplane toy</x:v>
      </x:c>
      <x:c r="N22" s="42" t="n">
        <x:f>'Evaluation Plan'!N22</x:f>
        <x:v>4</x:v>
      </x:c>
      <x:c r="O22" s="42" t="n">
        <x:f>'Evaluation Plan'!O22</x:f>
        <x:v>1</x:v>
      </x:c>
      <x:c r="P22" s="42" t="str">
        <x:f>'Evaluation Plan'!P22</x:f>
        <x:v>Empty</x:v>
      </x:c>
      <x:c r="Q22" s="41" t="str">
        <x:f>'Evaluation Plan'!Q22</x:f>
        <x:v>Primary held-out relation × candidate-category composition — Pick up</x:v>
      </x:c>
      <x:c r="R22" s="42" t="n">
        <x:f>'Evaluation Plan'!R22</x:f>
        <x:v>2</x:v>
      </x:c>
      <x:c r="S22" s="41" t="str">
        <x:f>'Evaluation Plan'!S22</x:f>
        <x:v>Build the listed relation scene with the bowl empty.</x:v>
      </x:c>
      <x:c r="T22" s="41" t="str">
        <x:f>'Evaluation Plan'!T22</x:f>
        <x:v>Both candidates are present. The held-out relation is the only information that identifies the target.</x:v>
      </x:c>
      <x:c r="U22" s="41" t="n">
        <x:f>'Evaluation Plan'!U22</x:f>
        <x:v>0</x:v>
      </x:c>
    </x:row>
    <x:row r="23" ht="51" customHeight="1">
      <x:c r="A23" s="32" t="str">
        <x:v>Not collected</x:v>
      </x:c>
      <x:c r="B23" s="34" t="n">
        <x:f>'Evaluation Plan'!B23</x:f>
        <x:v>21</x:v>
      </x:c>
      <x:c r="C23" s="32" t="str">
        <x:f>'Evaluation Plan'!C23</x:f>
        <x:v>Put the airplane toy with propellers in the bowl.</x:v>
      </x:c>
      <x:c r="D23" s="32" t="str">
        <x:f>'Evaluation Plan'!D23</x:f>
        <x:v>Reference: green pen at table centre; airplane toy without propellers: 10 cm to robot-left of the reference; airplane toy with propellers: 24 cm to robot-right of the reference; crushed Coke can: at the far robot-left corner, outside the distance comparison; Bowl: empty</x:v>
      </x:c>
      <x:c r="E23" s="34" t="n">
        <x:f>'Evaluation Plan'!E23</x:f>
        <x:v>20</x:v>
      </x:c>
      <x:c r="F23" s="34" t="str">
        <x:f>'Evaluation Plan'!F23</x:f>
        <x:v>566</x:v>
      </x:c>
      <x:c r="G23" s="32" t="str">
        <x:f>'Evaluation Plan'!G23</x:f>
        <x:v>Exact masked-cell training prompt for the same target identity. The evaluation scene and physical endpoint are identical to the paired transfer row.</x:v>
      </x:c>
      <x:c r="H23" s="32" t="str">
        <x:f>'Evaluation Plan'!H23</x:f>
        <x:v>airplane toy with propellers</x:v>
      </x:c>
      <x:c r="I23" s="32" t="str"/>
      <x:c r="J23" s="37" t="str">
        <x:f>'Evaluation Plan'!J23</x:f>
        <x:v>Matched manipulation control</x:v>
      </x:c>
      <x:c r="K23" s="34" t="str">
        <x:f>'Evaluation Plan'!K23</x:f>
        <x:v>RD-CT01</x:v>
      </x:c>
      <x:c r="L23" s="34" t="str">
        <x:f>'Evaluation Plan'!L23</x:f>
        <x:v>direct name</x:v>
      </x:c>
      <x:c r="M23" s="34" t="str">
        <x:f>'Evaluation Plan'!M23</x:f>
        <x:v>airplane toy</x:v>
      </x:c>
      <x:c r="N23" s="34" t="n">
        <x:f>'Evaluation Plan'!N23</x:f>
        <x:v>4</x:v>
      </x:c>
      <x:c r="O23" s="34" t="n">
        <x:f>'Evaluation Plan'!O23</x:f>
        <x:v>1</x:v>
      </x:c>
      <x:c r="P23" s="34" t="str">
        <x:f>'Evaluation Plan'!P23</x:f>
        <x:v>Empty</x:v>
      </x:c>
      <x:c r="Q23" s="32" t="str">
        <x:f>'Evaluation Plan'!Q23</x:f>
        <x:v>Exact-scene direct-identity manipulation control</x:v>
      </x:c>
      <x:c r="R23" s="34" t="n">
        <x:f>'Evaluation Plan'!R23</x:f>
        <x:v>2</x:v>
      </x:c>
      <x:c r="S23" s="32" t="str">
        <x:f>'Evaluation Plan'!S23</x:f>
        <x:v>Reset the moved object exactly; preserve the scene; change only the instruction.</x:v>
      </x:c>
      <x:c r="T23" s="32" t="str">
        <x:f>'Evaluation Plan'!T23</x:f>
        <x:v>Controls recognition and manipulation of the same target without requiring referential reasoning.</x:v>
      </x:c>
      <x:c r="U23" s="32" t="n">
        <x:f>'Evaluation Plan'!U23</x:f>
        <x:v>0</x:v>
      </x:c>
    </x:row>
    <x:row r="24" ht="51" customHeight="1">
      <x:c r="A24" s="31" t="str">
        <x:v>Not collected</x:v>
      </x:c>
      <x:c r="B24" s="33" t="n">
        <x:f>'Evaluation Plan'!B24</x:f>
        <x:v>22</x:v>
      </x:c>
      <x:c r="C24" s="31" t="str">
        <x:f>'Evaluation Plan'!C24</x:f>
        <x:v>Choose the airplane toy farthest from the green pen and put it in the bowl.</x:v>
      </x:c>
      <x:c r="D24" s="31" t="str">
        <x:f>'Evaluation Plan'!D24</x:f>
        <x:v>Reference: green pen at table centre; airplane toy without propellers: 10 cm to robot-left of the reference; airplane toy with propellers: 24 cm to robot-right of the reference; crushed Coke can: at the far robot-left corner, outside the distance comparison; Bowl: empty</x:v>
      </x:c>
      <x:c r="E24" s="33" t="n">
        <x:f>'Evaluation Plan'!E24</x:f>
        <x:v>20</x:v>
      </x:c>
      <x:c r="F24" s="33" t="str">
        <x:f>'Evaluation Plan'!F24</x:f>
        <x:v>566</x:v>
      </x:c>
      <x:c r="G24" s="31" t="str">
        <x:f>'Evaluation Plan'!G24</x:f>
        <x:v>Exact canonical transfer scene and masked trajectory reference; only the instruction wording changes. This remains a separate language diagnostic.</x:v>
      </x:c>
      <x:c r="H24" s="31" t="str">
        <x:f>'Evaluation Plan'!H24</x:f>
        <x:v>airplane toy with propellers</x:v>
      </x:c>
      <x:c r="I24" s="31" t="str"/>
      <x:c r="J24" s="38" t="str">
        <x:f>'Evaluation Plan'!J24</x:f>
        <x:v>Language robustness</x:v>
      </x:c>
      <x:c r="K24" s="33" t="str">
        <x:f>'Evaluation Plan'!K24</x:f>
        <x:v>RD-CT01</x:v>
      </x:c>
      <x:c r="L24" s="33" t="str">
        <x:f>'Evaluation Plan'!L24</x:f>
        <x:v>furthest</x:v>
      </x:c>
      <x:c r="M24" s="33" t="str">
        <x:f>'Evaluation Plan'!M24</x:f>
        <x:v>airplane toy</x:v>
      </x:c>
      <x:c r="N24" s="33" t="n">
        <x:f>'Evaluation Plan'!N24</x:f>
        <x:v>4</x:v>
      </x:c>
      <x:c r="O24" s="33" t="n">
        <x:f>'Evaluation Plan'!O24</x:f>
        <x:v>1</x:v>
      </x:c>
      <x:c r="P24" s="33" t="str">
        <x:f>'Evaluation Plan'!P24</x:f>
        <x:v>Empty</x:v>
      </x:c>
      <x:c r="Q24" s="31" t="str">
        <x:f>'Evaluation Plan'!Q24</x:f>
        <x:v>Primary compositional-transfer prompt paraphrase</x:v>
      </x:c>
      <x:c r="R24" s="33" t="n">
        <x:f>'Evaluation Plan'!R24</x:f>
        <x:v>2</x:v>
      </x:c>
      <x:c r="S24" s="31" t="str">
        <x:f>'Evaluation Plan'!S24</x:f>
        <x:v>Reset the moved object exactly; preserve the scene; change only the wording.</x:v>
      </x:c>
      <x:c r="T24" s="31" t="str">
        <x:f>'Evaluation Plan'!T24</x:f>
        <x:v>One of 10 exact-scene paraphrases of canonical transfer trials.</x:v>
      </x:c>
      <x:c r="U24" s="31" t="n">
        <x:f>'Evaluation Plan'!U24</x:f>
        <x:v>0</x:v>
      </x:c>
    </x:row>
    <x:row r="25" ht="51" customHeight="1">
      <x:c r="A25" s="32" t="str">
        <x:v>Not collected</x:v>
      </x:c>
      <x:c r="B25" s="34" t="n">
        <x:f>'Evaluation Plan'!B25</x:f>
        <x:v>23</x:v>
      </x:c>
      <x:c r="C25" s="32" t="str">
        <x:f>'Evaluation Plan'!C25</x:f>
        <x:v>Take the airplane toy with propellers and set it in the bowl.</x:v>
      </x:c>
      <x:c r="D25" s="32" t="str">
        <x:f>'Evaluation Plan'!D25</x:f>
        <x:v>Reference: green pen at table centre; airplane toy without propellers: 10 cm to robot-left of the reference; airplane toy with propellers: 24 cm to robot-right of the reference; crushed Coke can: at the far robot-left corner, outside the distance comparison; Bowl: empty</x:v>
      </x:c>
      <x:c r="E25" s="34" t="n">
        <x:f>'Evaluation Plan'!E25</x:f>
        <x:v>21</x:v>
      </x:c>
      <x:c r="F25" s="34" t="str">
        <x:f>'Evaluation Plan'!F25</x:f>
        <x:v>566</x:v>
      </x:c>
      <x:c r="G25" s="32" t="str">
        <x:f>'Evaluation Plan'!G25</x:f>
        <x:v>Exact matched-control scene and target; only the direct-name instruction wording changes.</x:v>
      </x:c>
      <x:c r="H25" s="32" t="str">
        <x:f>'Evaluation Plan'!H25</x:f>
        <x:v>airplane toy with propellers</x:v>
      </x:c>
      <x:c r="I25" s="32" t="str"/>
      <x:c r="J25" s="38" t="str">
        <x:f>'Evaluation Plan'!J25</x:f>
        <x:v>Language robustness</x:v>
      </x:c>
      <x:c r="K25" s="34" t="str">
        <x:f>'Evaluation Plan'!K25</x:f>
        <x:v>RD-CT01</x:v>
      </x:c>
      <x:c r="L25" s="34" t="str">
        <x:f>'Evaluation Plan'!L25</x:f>
        <x:v>direct-name paraphrase</x:v>
      </x:c>
      <x:c r="M25" s="34" t="str">
        <x:f>'Evaluation Plan'!M25</x:f>
        <x:v>airplane toy</x:v>
      </x:c>
      <x:c r="N25" s="34" t="n">
        <x:f>'Evaluation Plan'!N25</x:f>
        <x:v>4</x:v>
      </x:c>
      <x:c r="O25" s="34" t="n">
        <x:f>'Evaluation Plan'!O25</x:f>
        <x:v>1</x:v>
      </x:c>
      <x:c r="P25" s="34" t="str">
        <x:f>'Evaluation Plan'!P25</x:f>
        <x:v>Empty</x:v>
      </x:c>
      <x:c r="Q25" s="32" t="str">
        <x:f>'Evaluation Plan'!Q25</x:f>
        <x:v>Matched-control direct-name prompt paraphrase</x:v>
      </x:c>
      <x:c r="R25" s="34" t="n">
        <x:f>'Evaluation Plan'!R25</x:f>
        <x:v>2</x:v>
      </x:c>
      <x:c r="S25" s="32" t="str">
        <x:f>'Evaluation Plan'!S25</x:f>
        <x:v>Reset the moved object exactly; preserve the scene; change only the wording.</x:v>
      </x:c>
      <x:c r="T25" s="32" t="str">
        <x:f>'Evaluation Plan'!T25</x:f>
        <x:v>One of 10 exact-scene paraphrases of matched manipulation controls.</x:v>
      </x:c>
      <x:c r="U25" s="32" t="n">
        <x:f>'Evaluation Plan'!U25</x:f>
        <x:v>0</x:v>
      </x:c>
    </x:row>
    <x:row r="26" ht="51" customHeight="1">
      <x:c r="A26" s="41" t="str">
        <x:v>Not collected</x:v>
      </x:c>
      <x:c r="B26" s="42" t="n">
        <x:f>'Evaluation Plan'!B26</x:f>
        <x:v>24</x:v>
      </x:c>
      <x:c r="C26" s="41" t="str">
        <x:f>'Evaluation Plan'!C26</x:f>
        <x:v>Pick up the crushed soda can closest to the green pen and place it in the bowl.</x:v>
      </x:c>
      <x:c r="D26" s="41" t="str">
        <x:f>'Evaluation Plan'!D26</x:f>
        <x:v>Reference: green pen at table centre; crushed Coke can: 10 cm to robot-left of the reference; crushed Pepsi can: 24 cm to robot-right of the reference; yellow pen: at the far robot-left corner, outside the distance comparison; Bowl: empty</x:v>
      </x:c>
      <x:c r="E26" s="42" t="str">
        <x:f>'Evaluation Plan'!E26</x:f>
      </x:c>
      <x:c r="F26" s="42" t="str">
        <x:f>'Evaluation Plan'!F26</x:f>
        <x:v>400</x:v>
      </x:c>
      <x:c r="G26" s="41" t="str">
        <x:f>'Evaluation Plan'!G26</x:f>
        <x:v>Masked source trajectory: the target identity and physical manipulation are trained under a direct-name prompt, while this relation × candidate-category composition is intentionally absent.</x:v>
      </x:c>
      <x:c r="H26" s="41" t="str">
        <x:f>'Evaluation Plan'!H26</x:f>
        <x:v>crushed Coke can</x:v>
      </x:c>
      <x:c r="I26" s="41" t="str"/>
      <x:c r="J26" s="46" t="str">
        <x:f>'Evaluation Plan'!J26</x:f>
        <x:v>Concept/compositional transfer</x:v>
      </x:c>
      <x:c r="K26" s="42" t="str">
        <x:f>'Evaluation Plan'!K26</x:f>
        <x:v>RD-CT02</x:v>
      </x:c>
      <x:c r="L26" s="42" t="str">
        <x:f>'Evaluation Plan'!L26</x:f>
        <x:v>closest</x:v>
      </x:c>
      <x:c r="M26" s="42" t="str">
        <x:f>'Evaluation Plan'!M26</x:f>
        <x:v>crushed soda can</x:v>
      </x:c>
      <x:c r="N26" s="42" t="n">
        <x:f>'Evaluation Plan'!N26</x:f>
        <x:v>4</x:v>
      </x:c>
      <x:c r="O26" s="42" t="n">
        <x:f>'Evaluation Plan'!O26</x:f>
        <x:v>1</x:v>
      </x:c>
      <x:c r="P26" s="42" t="str">
        <x:f>'Evaluation Plan'!P26</x:f>
        <x:v>Empty</x:v>
      </x:c>
      <x:c r="Q26" s="41" t="str">
        <x:f>'Evaluation Plan'!Q26</x:f>
        <x:v>Primary held-out relation × candidate-category composition — Pick up</x:v>
      </x:c>
      <x:c r="R26" s="42" t="n">
        <x:f>'Evaluation Plan'!R26</x:f>
        <x:v>2</x:v>
      </x:c>
      <x:c r="S26" s="41" t="str">
        <x:f>'Evaluation Plan'!S26</x:f>
        <x:v>Build the listed relation scene with the bowl empty.</x:v>
      </x:c>
      <x:c r="T26" s="41" t="str">
        <x:f>'Evaluation Plan'!T26</x:f>
        <x:v>Both candidates are present. The held-out relation is the only information that identifies the target.</x:v>
      </x:c>
      <x:c r="U26" s="41" t="n">
        <x:f>'Evaluation Plan'!U26</x:f>
        <x:v>0</x:v>
      </x:c>
    </x:row>
    <x:row r="27" ht="51" customHeight="1">
      <x:c r="A27" s="32" t="str">
        <x:v>Not collected</x:v>
      </x:c>
      <x:c r="B27" s="34" t="n">
        <x:f>'Evaluation Plan'!B27</x:f>
        <x:v>25</x:v>
      </x:c>
      <x:c r="C27" s="32" t="str">
        <x:f>'Evaluation Plan'!C27</x:f>
        <x:v>Put the crushed Coke can in the bowl.</x:v>
      </x:c>
      <x:c r="D27" s="32" t="str">
        <x:f>'Evaluation Plan'!D27</x:f>
        <x:v>Reference: green pen at table centre; crushed Coke can: 10 cm to robot-left of the reference; crushed Pepsi can: 24 cm to robot-right of the reference; yellow pen: at the far robot-left corner, outside the distance comparison; Bowl: empty</x:v>
      </x:c>
      <x:c r="E27" s="34" t="n">
        <x:f>'Evaluation Plan'!E27</x:f>
        <x:v>24</x:v>
      </x:c>
      <x:c r="F27" s="34" t="str">
        <x:f>'Evaluation Plan'!F27</x:f>
        <x:v>400</x:v>
      </x:c>
      <x:c r="G27" s="32" t="str">
        <x:f>'Evaluation Plan'!G27</x:f>
        <x:v>Exact masked-cell training prompt for the same target identity. The evaluation scene and physical endpoint are identical to the paired transfer row.</x:v>
      </x:c>
      <x:c r="H27" s="32" t="str">
        <x:f>'Evaluation Plan'!H27</x:f>
        <x:v>crushed Coke can</x:v>
      </x:c>
      <x:c r="I27" s="32" t="str"/>
      <x:c r="J27" s="37" t="str">
        <x:f>'Evaluation Plan'!J27</x:f>
        <x:v>Matched manipulation control</x:v>
      </x:c>
      <x:c r="K27" s="34" t="str">
        <x:f>'Evaluation Plan'!K27</x:f>
        <x:v>RD-CT02</x:v>
      </x:c>
      <x:c r="L27" s="34" t="str">
        <x:f>'Evaluation Plan'!L27</x:f>
        <x:v>direct name</x:v>
      </x:c>
      <x:c r="M27" s="34" t="str">
        <x:f>'Evaluation Plan'!M27</x:f>
        <x:v>crushed soda can</x:v>
      </x:c>
      <x:c r="N27" s="34" t="n">
        <x:f>'Evaluation Plan'!N27</x:f>
        <x:v>4</x:v>
      </x:c>
      <x:c r="O27" s="34" t="n">
        <x:f>'Evaluation Plan'!O27</x:f>
        <x:v>1</x:v>
      </x:c>
      <x:c r="P27" s="34" t="str">
        <x:f>'Evaluation Plan'!P27</x:f>
        <x:v>Empty</x:v>
      </x:c>
      <x:c r="Q27" s="32" t="str">
        <x:f>'Evaluation Plan'!Q27</x:f>
        <x:v>Exact-scene direct-identity manipulation control</x:v>
      </x:c>
      <x:c r="R27" s="34" t="n">
        <x:f>'Evaluation Plan'!R27</x:f>
        <x:v>2</x:v>
      </x:c>
      <x:c r="S27" s="32" t="str">
        <x:f>'Evaluation Plan'!S27</x:f>
        <x:v>Reset the moved object exactly; preserve the scene; change only the instruction.</x:v>
      </x:c>
      <x:c r="T27" s="32" t="str">
        <x:f>'Evaluation Plan'!T27</x:f>
        <x:v>Controls recognition and manipulation of the same target without requiring referential reasoning.</x:v>
      </x:c>
      <x:c r="U27" s="32" t="n">
        <x:f>'Evaluation Plan'!U27</x:f>
        <x:v>0</x:v>
      </x:c>
    </x:row>
    <x:row r="28" ht="51" customHeight="1">
      <x:c r="A28" s="31" t="str">
        <x:v>Not collected</x:v>
      </x:c>
      <x:c r="B28" s="33" t="n">
        <x:f>'Evaluation Plan'!B28</x:f>
        <x:v>26</x:v>
      </x:c>
      <x:c r="C28" s="31" t="str">
        <x:f>'Evaluation Plan'!C28</x:f>
        <x:v>Choose the crushed soda can nearest to the green pen and put it in the bowl.</x:v>
      </x:c>
      <x:c r="D28" s="31" t="str">
        <x:f>'Evaluation Plan'!D28</x:f>
        <x:v>Reference: green pen at table centre; crushed Coke can: 10 cm to robot-left of the reference; crushed Pepsi can: 24 cm to robot-right of the reference; yellow pen: at the far robot-left corner, outside the distance comparison; Bowl: empty</x:v>
      </x:c>
      <x:c r="E28" s="33" t="n">
        <x:f>'Evaluation Plan'!E28</x:f>
        <x:v>24</x:v>
      </x:c>
      <x:c r="F28" s="33" t="str">
        <x:f>'Evaluation Plan'!F28</x:f>
        <x:v>400</x:v>
      </x:c>
      <x:c r="G28" s="31" t="str">
        <x:f>'Evaluation Plan'!G28</x:f>
        <x:v>Exact canonical transfer scene and masked trajectory reference; only the instruction wording changes. This remains a separate language diagnostic.</x:v>
      </x:c>
      <x:c r="H28" s="31" t="str">
        <x:f>'Evaluation Plan'!H28</x:f>
        <x:v>crushed Coke can</x:v>
      </x:c>
      <x:c r="I28" s="31" t="str"/>
      <x:c r="J28" s="38" t="str">
        <x:f>'Evaluation Plan'!J28</x:f>
        <x:v>Language robustness</x:v>
      </x:c>
      <x:c r="K28" s="33" t="str">
        <x:f>'Evaluation Plan'!K28</x:f>
        <x:v>RD-CT02</x:v>
      </x:c>
      <x:c r="L28" s="33" t="str">
        <x:f>'Evaluation Plan'!L28</x:f>
        <x:v>closest</x:v>
      </x:c>
      <x:c r="M28" s="33" t="str">
        <x:f>'Evaluation Plan'!M28</x:f>
        <x:v>crushed soda can</x:v>
      </x:c>
      <x:c r="N28" s="33" t="n">
        <x:f>'Evaluation Plan'!N28</x:f>
        <x:v>4</x:v>
      </x:c>
      <x:c r="O28" s="33" t="n">
        <x:f>'Evaluation Plan'!O28</x:f>
        <x:v>1</x:v>
      </x:c>
      <x:c r="P28" s="33" t="str">
        <x:f>'Evaluation Plan'!P28</x:f>
        <x:v>Empty</x:v>
      </x:c>
      <x:c r="Q28" s="31" t="str">
        <x:f>'Evaluation Plan'!Q28</x:f>
        <x:v>Primary compositional-transfer prompt paraphrase</x:v>
      </x:c>
      <x:c r="R28" s="33" t="n">
        <x:f>'Evaluation Plan'!R28</x:f>
        <x:v>2</x:v>
      </x:c>
      <x:c r="S28" s="31" t="str">
        <x:f>'Evaluation Plan'!S28</x:f>
        <x:v>Reset the moved object exactly; preserve the scene; change only the wording.</x:v>
      </x:c>
      <x:c r="T28" s="31" t="str">
        <x:f>'Evaluation Plan'!T28</x:f>
        <x:v>One of 10 exact-scene paraphrases of canonical transfer trials.</x:v>
      </x:c>
      <x:c r="U28" s="31" t="n">
        <x:f>'Evaluation Plan'!U28</x:f>
        <x:v>0</x:v>
      </x:c>
    </x:row>
    <x:row r="29" ht="51" customHeight="1">
      <x:c r="A29" s="32" t="str">
        <x:v>Not collected</x:v>
      </x:c>
      <x:c r="B29" s="34" t="n">
        <x:f>'Evaluation Plan'!B29</x:f>
        <x:v>27</x:v>
      </x:c>
      <x:c r="C29" s="32" t="str">
        <x:f>'Evaluation Plan'!C29</x:f>
        <x:v>Take the crushed Coke can and set it in the bowl.</x:v>
      </x:c>
      <x:c r="D29" s="32" t="str">
        <x:f>'Evaluation Plan'!D29</x:f>
        <x:v>Reference: green pen at table centre; crushed Coke can: 10 cm to robot-left of the reference; crushed Pepsi can: 24 cm to robot-right of the reference; yellow pen: at the far robot-left corner, outside the distance comparison; Bowl: empty</x:v>
      </x:c>
      <x:c r="E29" s="34" t="n">
        <x:f>'Evaluation Plan'!E29</x:f>
        <x:v>25</x:v>
      </x:c>
      <x:c r="F29" s="34" t="str">
        <x:f>'Evaluation Plan'!F29</x:f>
        <x:v>400</x:v>
      </x:c>
      <x:c r="G29" s="32" t="str">
        <x:f>'Evaluation Plan'!G29</x:f>
        <x:v>Exact matched-control scene and target; only the direct-name instruction wording changes.</x:v>
      </x:c>
      <x:c r="H29" s="32" t="str">
        <x:f>'Evaluation Plan'!H29</x:f>
        <x:v>crushed Coke can</x:v>
      </x:c>
      <x:c r="I29" s="32" t="str"/>
      <x:c r="J29" s="38" t="str">
        <x:f>'Evaluation Plan'!J29</x:f>
        <x:v>Language robustness</x:v>
      </x:c>
      <x:c r="K29" s="34" t="str">
        <x:f>'Evaluation Plan'!K29</x:f>
        <x:v>RD-CT02</x:v>
      </x:c>
      <x:c r="L29" s="34" t="str">
        <x:f>'Evaluation Plan'!L29</x:f>
        <x:v>direct-name paraphrase</x:v>
      </x:c>
      <x:c r="M29" s="34" t="str">
        <x:f>'Evaluation Plan'!M29</x:f>
        <x:v>crushed soda can</x:v>
      </x:c>
      <x:c r="N29" s="34" t="n">
        <x:f>'Evaluation Plan'!N29</x:f>
        <x:v>4</x:v>
      </x:c>
      <x:c r="O29" s="34" t="n">
        <x:f>'Evaluation Plan'!O29</x:f>
        <x:v>1</x:v>
      </x:c>
      <x:c r="P29" s="34" t="str">
        <x:f>'Evaluation Plan'!P29</x:f>
        <x:v>Empty</x:v>
      </x:c>
      <x:c r="Q29" s="32" t="str">
        <x:f>'Evaluation Plan'!Q29</x:f>
        <x:v>Matched-control direct-name prompt paraphrase</x:v>
      </x:c>
      <x:c r="R29" s="34" t="n">
        <x:f>'Evaluation Plan'!R29</x:f>
        <x:v>2</x:v>
      </x:c>
      <x:c r="S29" s="32" t="str">
        <x:f>'Evaluation Plan'!S29</x:f>
        <x:v>Reset the moved object exactly; preserve the scene; change only the wording.</x:v>
      </x:c>
      <x:c r="T29" s="32" t="str">
        <x:f>'Evaluation Plan'!T29</x:f>
        <x:v>One of 10 exact-scene paraphrases of matched manipulation controls.</x:v>
      </x:c>
      <x:c r="U29" s="32" t="n">
        <x:f>'Evaluation Plan'!U29</x:f>
        <x:v>0</x:v>
      </x:c>
    </x:row>
    <x:row r="30" ht="51" customHeight="1">
      <x:c r="A30" s="41" t="str">
        <x:v>Not collected</x:v>
      </x:c>
      <x:c r="B30" s="42" t="n">
        <x:f>'Evaluation Plan'!B30</x:f>
        <x:v>28</x:v>
      </x:c>
      <x:c r="C30" s="41" t="str">
        <x:f>'Evaluation Plan'!C30</x:f>
        <x:v>Pick up the pencil sharpener between the green pen and the crushed Coke can and place it in the bowl.</x:v>
      </x:c>
      <x:c r="D30" s="41" t="str">
        <x:f>'Evaluation Plan'!D30</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0" s="42" t="str">
        <x:f>'Evaluation Plan'!E30</x:f>
      </x:c>
      <x:c r="F30" s="42" t="str">
        <x:f>'Evaluation Plan'!F30</x:f>
        <x:v>482</x:v>
      </x:c>
      <x:c r="G30" s="41" t="str">
        <x:f>'Evaluation Plan'!G30</x:f>
        <x:v>Masked source trajectory: the target identity and physical manipulation are trained under a direct-name prompt, while this relation × candidate-category composition is intentionally absent.</x:v>
      </x:c>
      <x:c r="H30" s="41" t="str">
        <x:f>'Evaluation Plan'!H30</x:f>
        <x:v>green pencil sharpener</x:v>
      </x:c>
      <x:c r="I30" s="41" t="str"/>
      <x:c r="J30" s="46" t="str">
        <x:f>'Evaluation Plan'!J30</x:f>
        <x:v>Concept/compositional transfer</x:v>
      </x:c>
      <x:c r="K30" s="42" t="str">
        <x:f>'Evaluation Plan'!K30</x:f>
        <x:v>RD-CT03</x:v>
      </x:c>
      <x:c r="L30" s="42" t="str">
        <x:f>'Evaluation Plan'!L30</x:f>
        <x:v>between</x:v>
      </x:c>
      <x:c r="M30" s="42" t="str">
        <x:f>'Evaluation Plan'!M30</x:f>
        <x:v>pencil sharpener</x:v>
      </x:c>
      <x:c r="N30" s="42" t="n">
        <x:f>'Evaluation Plan'!N30</x:f>
        <x:v>4</x:v>
      </x:c>
      <x:c r="O30" s="42" t="n">
        <x:f>'Evaluation Plan'!O30</x:f>
        <x:v>1</x:v>
      </x:c>
      <x:c r="P30" s="42" t="str">
        <x:f>'Evaluation Plan'!P30</x:f>
        <x:v>Empty</x:v>
      </x:c>
      <x:c r="Q30" s="41" t="str">
        <x:f>'Evaluation Plan'!Q30</x:f>
        <x:v>Primary held-out relation × candidate-category composition — Pick up</x:v>
      </x:c>
      <x:c r="R30" s="42" t="n">
        <x:f>'Evaluation Plan'!R30</x:f>
        <x:v>2</x:v>
      </x:c>
      <x:c r="S30" s="41" t="str">
        <x:f>'Evaluation Plan'!S30</x:f>
        <x:v>Build the listed relation scene with the bowl empty.</x:v>
      </x:c>
      <x:c r="T30" s="41" t="str">
        <x:f>'Evaluation Plan'!T30</x:f>
        <x:v>Both candidates are present. The held-out relation is the only information that identifies the target.</x:v>
      </x:c>
      <x:c r="U30" s="41" t="n">
        <x:f>'Evaluation Plan'!U30</x:f>
        <x:v>0</x:v>
      </x:c>
    </x:row>
    <x:row r="31" ht="51" customHeight="1">
      <x:c r="A31" s="32" t="str">
        <x:v>Not collected</x:v>
      </x:c>
      <x:c r="B31" s="34" t="n">
        <x:f>'Evaluation Plan'!B31</x:f>
        <x:v>29</x:v>
      </x:c>
      <x:c r="C31" s="32" t="str">
        <x:f>'Evaluation Plan'!C31</x:f>
        <x:v>Pick up the green pencil sharpener and place it in the bowl.</x:v>
      </x:c>
      <x:c r="D31" s="32" t="str">
        <x:f>'Evaluation Plan'!D31</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1" s="34" t="n">
        <x:f>'Evaluation Plan'!E31</x:f>
        <x:v>28</x:v>
      </x:c>
      <x:c r="F31" s="34" t="str">
        <x:f>'Evaluation Plan'!F31</x:f>
        <x:v>482</x:v>
      </x:c>
      <x:c r="G31" s="32" t="str">
        <x:f>'Evaluation Plan'!G31</x:f>
        <x:v>Exact masked-cell training prompt for the same target identity. The evaluation scene and physical endpoint are identical to the paired transfer row.</x:v>
      </x:c>
      <x:c r="H31" s="32" t="str">
        <x:f>'Evaluation Plan'!H31</x:f>
        <x:v>green pencil sharpener</x:v>
      </x:c>
      <x:c r="I31" s="32" t="str"/>
      <x:c r="J31" s="37" t="str">
        <x:f>'Evaluation Plan'!J31</x:f>
        <x:v>Matched manipulation control</x:v>
      </x:c>
      <x:c r="K31" s="34" t="str">
        <x:f>'Evaluation Plan'!K31</x:f>
        <x:v>RD-CT03</x:v>
      </x:c>
      <x:c r="L31" s="34" t="str">
        <x:f>'Evaluation Plan'!L31</x:f>
        <x:v>direct name</x:v>
      </x:c>
      <x:c r="M31" s="34" t="str">
        <x:f>'Evaluation Plan'!M31</x:f>
        <x:v>pencil sharpener</x:v>
      </x:c>
      <x:c r="N31" s="34" t="n">
        <x:f>'Evaluation Plan'!N31</x:f>
        <x:v>4</x:v>
      </x:c>
      <x:c r="O31" s="34" t="n">
        <x:f>'Evaluation Plan'!O31</x:f>
        <x:v>1</x:v>
      </x:c>
      <x:c r="P31" s="34" t="str">
        <x:f>'Evaluation Plan'!P31</x:f>
        <x:v>Empty</x:v>
      </x:c>
      <x:c r="Q31" s="32" t="str">
        <x:f>'Evaluation Plan'!Q31</x:f>
        <x:v>Exact-scene direct-identity manipulation control</x:v>
      </x:c>
      <x:c r="R31" s="34" t="n">
        <x:f>'Evaluation Plan'!R31</x:f>
        <x:v>2</x:v>
      </x:c>
      <x:c r="S31" s="32" t="str">
        <x:f>'Evaluation Plan'!S31</x:f>
        <x:v>Reset the moved object exactly; preserve the scene; change only the instruction.</x:v>
      </x:c>
      <x:c r="T31" s="32" t="str">
        <x:f>'Evaluation Plan'!T31</x:f>
        <x:v>Controls recognition and manipulation of the same target without requiring referential reasoning.</x:v>
      </x:c>
      <x:c r="U31" s="32" t="n">
        <x:f>'Evaluation Plan'!U31</x:f>
        <x:v>0</x:v>
      </x:c>
    </x:row>
    <x:row r="32" ht="51" customHeight="1">
      <x:c r="A32" s="31" t="str">
        <x:v>Not collected</x:v>
      </x:c>
      <x:c r="B32" s="33" t="n">
        <x:f>'Evaluation Plan'!B32</x:f>
        <x:v>30</x:v>
      </x:c>
      <x:c r="C32" s="31" t="str">
        <x:f>'Evaluation Plan'!C32</x:f>
        <x:v>Choose the pencil sharpener located in the middle of the green pen and the crushed Coke can, then put it in the bowl.</x:v>
      </x:c>
      <x:c r="D32" s="31" t="str">
        <x:f>'Evaluation Plan'!D32</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2" s="33" t="n">
        <x:f>'Evaluation Plan'!E32</x:f>
        <x:v>28</x:v>
      </x:c>
      <x:c r="F32" s="33" t="str">
        <x:f>'Evaluation Plan'!F32</x:f>
        <x:v>482</x:v>
      </x:c>
      <x:c r="G32" s="31" t="str">
        <x:f>'Evaluation Plan'!G32</x:f>
        <x:v>Exact canonical transfer scene and masked trajectory reference; only the instruction wording changes. This remains a separate language diagnostic.</x:v>
      </x:c>
      <x:c r="H32" s="31" t="str">
        <x:f>'Evaluation Plan'!H32</x:f>
        <x:v>green pencil sharpener</x:v>
      </x:c>
      <x:c r="I32" s="31" t="str"/>
      <x:c r="J32" s="38" t="str">
        <x:f>'Evaluation Plan'!J32</x:f>
        <x:v>Language robustness</x:v>
      </x:c>
      <x:c r="K32" s="33" t="str">
        <x:f>'Evaluation Plan'!K32</x:f>
        <x:v>RD-CT03</x:v>
      </x:c>
      <x:c r="L32" s="33" t="str">
        <x:f>'Evaluation Plan'!L32</x:f>
        <x:v>between</x:v>
      </x:c>
      <x:c r="M32" s="33" t="str">
        <x:f>'Evaluation Plan'!M32</x:f>
        <x:v>pencil sharpener</x:v>
      </x:c>
      <x:c r="N32" s="33" t="n">
        <x:f>'Evaluation Plan'!N32</x:f>
        <x:v>4</x:v>
      </x:c>
      <x:c r="O32" s="33" t="n">
        <x:f>'Evaluation Plan'!O32</x:f>
        <x:v>1</x:v>
      </x:c>
      <x:c r="P32" s="33" t="str">
        <x:f>'Evaluation Plan'!P32</x:f>
        <x:v>Empty</x:v>
      </x:c>
      <x:c r="Q32" s="31" t="str">
        <x:f>'Evaluation Plan'!Q32</x:f>
        <x:v>Primary compositional-transfer prompt paraphrase</x:v>
      </x:c>
      <x:c r="R32" s="33" t="n">
        <x:f>'Evaluation Plan'!R32</x:f>
        <x:v>2</x:v>
      </x:c>
      <x:c r="S32" s="31" t="str">
        <x:f>'Evaluation Plan'!S32</x:f>
        <x:v>Reset the moved object exactly; preserve the scene; change only the wording.</x:v>
      </x:c>
      <x:c r="T32" s="31" t="str">
        <x:f>'Evaluation Plan'!T32</x:f>
        <x:v>One of 10 exact-scene paraphrases of canonical transfer trials.</x:v>
      </x:c>
      <x:c r="U32" s="31" t="n">
        <x:f>'Evaluation Plan'!U32</x:f>
        <x:v>0</x:v>
      </x:c>
    </x:row>
    <x:row r="33" ht="51" customHeight="1">
      <x:c r="A33" s="32" t="str">
        <x:v>Not collected</x:v>
      </x:c>
      <x:c r="B33" s="34" t="n">
        <x:f>'Evaluation Plan'!B33</x:f>
        <x:v>31</x:v>
      </x:c>
      <x:c r="C33" s="32" t="str">
        <x:f>'Evaluation Plan'!C33</x:f>
        <x:v>Take the green pencil sharpener and set it in the bowl.</x:v>
      </x:c>
      <x:c r="D33" s="32" t="str">
        <x:f>'Evaluation Plan'!D33</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Bowl: empty</x:v>
      </x:c>
      <x:c r="E33" s="34" t="n">
        <x:f>'Evaluation Plan'!E33</x:f>
        <x:v>29</x:v>
      </x:c>
      <x:c r="F33" s="34" t="str">
        <x:f>'Evaluation Plan'!F33</x:f>
        <x:v>482</x:v>
      </x:c>
      <x:c r="G33" s="32" t="str">
        <x:f>'Evaluation Plan'!G33</x:f>
        <x:v>Exact matched-control scene and target; only the direct-name instruction wording changes.</x:v>
      </x:c>
      <x:c r="H33" s="32" t="str">
        <x:f>'Evaluation Plan'!H33</x:f>
        <x:v>green pencil sharpener</x:v>
      </x:c>
      <x:c r="I33" s="32" t="str"/>
      <x:c r="J33" s="38" t="str">
        <x:f>'Evaluation Plan'!J33</x:f>
        <x:v>Language robustness</x:v>
      </x:c>
      <x:c r="K33" s="34" t="str">
        <x:f>'Evaluation Plan'!K33</x:f>
        <x:v>RD-CT03</x:v>
      </x:c>
      <x:c r="L33" s="34" t="str">
        <x:f>'Evaluation Plan'!L33</x:f>
        <x:v>direct-name paraphrase</x:v>
      </x:c>
      <x:c r="M33" s="34" t="str">
        <x:f>'Evaluation Plan'!M33</x:f>
        <x:v>pencil sharpener</x:v>
      </x:c>
      <x:c r="N33" s="34" t="n">
        <x:f>'Evaluation Plan'!N33</x:f>
        <x:v>4</x:v>
      </x:c>
      <x:c r="O33" s="34" t="n">
        <x:f>'Evaluation Plan'!O33</x:f>
        <x:v>1</x:v>
      </x:c>
      <x:c r="P33" s="34" t="str">
        <x:f>'Evaluation Plan'!P33</x:f>
        <x:v>Empty</x:v>
      </x:c>
      <x:c r="Q33" s="32" t="str">
        <x:f>'Evaluation Plan'!Q33</x:f>
        <x:v>Matched-control direct-name prompt paraphrase</x:v>
      </x:c>
      <x:c r="R33" s="34" t="n">
        <x:f>'Evaluation Plan'!R33</x:f>
        <x:v>2</x:v>
      </x:c>
      <x:c r="S33" s="32" t="str">
        <x:f>'Evaluation Plan'!S33</x:f>
        <x:v>Reset the moved object exactly; preserve the scene; change only the wording.</x:v>
      </x:c>
      <x:c r="T33" s="32" t="str">
        <x:f>'Evaluation Plan'!T33</x:f>
        <x:v>One of 10 exact-scene paraphrases of matched manipulation controls.</x:v>
      </x:c>
      <x:c r="U33" s="32" t="n">
        <x:f>'Evaluation Plan'!U33</x:f>
        <x:v>0</x:v>
      </x:c>
    </x:row>
    <x:row r="34" ht="51" customHeight="1">
      <x:c r="A34" s="41" t="str">
        <x:v>Not collected</x:v>
      </x:c>
      <x:c r="B34" s="42" t="n">
        <x:f>'Evaluation Plan'!B34</x:f>
        <x:v>32</x:v>
      </x:c>
      <x:c r="C34" s="41" t="str">
        <x:f>'Evaluation Plan'!C34</x:f>
        <x:v>Put the airplane toy furthest from the crushed Coke can in the bowl.</x:v>
      </x:c>
      <x:c r="D34" s="41" t="str">
        <x:f>'Evaluation Plan'!D34</x:f>
        <x:v>Reference: crushed Coke can at table centre; airplane toy without propellers: 10 cm to robot-right of the reference; airplane toy with propellers: 24 cm to robot-left of the reference; green pen: at the far robot-left corner, outside the distance comparison; Bowl: empty</x:v>
      </x:c>
      <x:c r="E34" s="42" t="str">
        <x:f>'Evaluation Plan'!E34</x:f>
      </x:c>
      <x:c r="F34" s="42" t="str">
        <x:f>'Evaluation Plan'!F34</x:f>
        <x:v>568</x:v>
      </x:c>
      <x:c r="G34" s="41" t="str">
        <x:f>'Evaluation Plan'!G34</x:f>
        <x:v>Masked source trajectory: the target identity and physical manipulation are trained under a direct-name prompt, while this relation × candidate-category composition is intentionally absent.</x:v>
      </x:c>
      <x:c r="H34" s="41" t="str">
        <x:f>'Evaluation Plan'!H34</x:f>
        <x:v>airplane toy with propellers</x:v>
      </x:c>
      <x:c r="I34" s="41" t="str"/>
      <x:c r="J34" s="46" t="str">
        <x:f>'Evaluation Plan'!J34</x:f>
        <x:v>Concept/compositional transfer</x:v>
      </x:c>
      <x:c r="K34" s="42" t="str">
        <x:f>'Evaluation Plan'!K34</x:f>
        <x:v>RD-CT04</x:v>
      </x:c>
      <x:c r="L34" s="42" t="str">
        <x:f>'Evaluation Plan'!L34</x:f>
        <x:v>furthest</x:v>
      </x:c>
      <x:c r="M34" s="42" t="str">
        <x:f>'Evaluation Plan'!M34</x:f>
        <x:v>airplane toy</x:v>
      </x:c>
      <x:c r="N34" s="42" t="n">
        <x:f>'Evaluation Plan'!N34</x:f>
        <x:v>4</x:v>
      </x:c>
      <x:c r="O34" s="42" t="n">
        <x:f>'Evaluation Plan'!O34</x:f>
        <x:v>1</x:v>
      </x:c>
      <x:c r="P34" s="42" t="str">
        <x:f>'Evaluation Plan'!P34</x:f>
        <x:v>Empty</x:v>
      </x:c>
      <x:c r="Q34" s="41" t="str">
        <x:f>'Evaluation Plan'!Q34</x:f>
        <x:v>Primary held-out relation × candidate-category composition — Put</x:v>
      </x:c>
      <x:c r="R34" s="42" t="n">
        <x:f>'Evaluation Plan'!R34</x:f>
        <x:v>2</x:v>
      </x:c>
      <x:c r="S34" s="41" t="str">
        <x:f>'Evaluation Plan'!S34</x:f>
        <x:v>Build the listed relation scene with the bowl empty.</x:v>
      </x:c>
      <x:c r="T34" s="41" t="str">
        <x:f>'Evaluation Plan'!T34</x:f>
        <x:v>Both candidates are present. The held-out relation is the only information that identifies the target.</x:v>
      </x:c>
      <x:c r="U34" s="41" t="n">
        <x:f>'Evaluation Plan'!U34</x:f>
        <x:v>0</x:v>
      </x:c>
    </x:row>
    <x:row r="35" ht="51" customHeight="1">
      <x:c r="A35" s="32" t="str">
        <x:v>Not collected</x:v>
      </x:c>
      <x:c r="B35" s="34" t="n">
        <x:f>'Evaluation Plan'!B35</x:f>
        <x:v>33</x:v>
      </x:c>
      <x:c r="C35" s="32" t="str">
        <x:f>'Evaluation Plan'!C35</x:f>
        <x:v>Move the airplane toy with propellers into the bowl.</x:v>
      </x:c>
      <x:c r="D35" s="32" t="str">
        <x:f>'Evaluation Plan'!D35</x:f>
        <x:v>Reference: crushed Coke can at table centre; airplane toy without propellers: 10 cm to robot-right of the reference; airplane toy with propellers: 24 cm to robot-left of the reference; green pen: at the far robot-left corner, outside the distance comparison; Bowl: empty</x:v>
      </x:c>
      <x:c r="E35" s="34" t="n">
        <x:f>'Evaluation Plan'!E35</x:f>
        <x:v>32</x:v>
      </x:c>
      <x:c r="F35" s="34" t="str">
        <x:f>'Evaluation Plan'!F35</x:f>
        <x:v>568</x:v>
      </x:c>
      <x:c r="G35" s="32" t="str">
        <x:f>'Evaluation Plan'!G35</x:f>
        <x:v>Exact masked-cell training prompt for the same target identity. The evaluation scene and physical endpoint are identical to the paired transfer row.</x:v>
      </x:c>
      <x:c r="H35" s="32" t="str">
        <x:f>'Evaluation Plan'!H35</x:f>
        <x:v>airplane toy with propellers</x:v>
      </x:c>
      <x:c r="I35" s="32" t="str"/>
      <x:c r="J35" s="37" t="str">
        <x:f>'Evaluation Plan'!J35</x:f>
        <x:v>Matched manipulation control</x:v>
      </x:c>
      <x:c r="K35" s="34" t="str">
        <x:f>'Evaluation Plan'!K35</x:f>
        <x:v>RD-CT04</x:v>
      </x:c>
      <x:c r="L35" s="34" t="str">
        <x:f>'Evaluation Plan'!L35</x:f>
        <x:v>direct name</x:v>
      </x:c>
      <x:c r="M35" s="34" t="str">
        <x:f>'Evaluation Plan'!M35</x:f>
        <x:v>airplane toy</x:v>
      </x:c>
      <x:c r="N35" s="34" t="n">
        <x:f>'Evaluation Plan'!N35</x:f>
        <x:v>4</x:v>
      </x:c>
      <x:c r="O35" s="34" t="n">
        <x:f>'Evaluation Plan'!O35</x:f>
        <x:v>1</x:v>
      </x:c>
      <x:c r="P35" s="34" t="str">
        <x:f>'Evaluation Plan'!P35</x:f>
        <x:v>Empty</x:v>
      </x:c>
      <x:c r="Q35" s="32" t="str">
        <x:f>'Evaluation Plan'!Q35</x:f>
        <x:v>Exact-scene direct-identity manipulation control</x:v>
      </x:c>
      <x:c r="R35" s="34" t="n">
        <x:f>'Evaluation Plan'!R35</x:f>
        <x:v>2</x:v>
      </x:c>
      <x:c r="S35" s="32" t="str">
        <x:f>'Evaluation Plan'!S35</x:f>
        <x:v>Reset the moved object exactly; preserve the scene; change only the instruction.</x:v>
      </x:c>
      <x:c r="T35" s="32" t="str">
        <x:f>'Evaluation Plan'!T35</x:f>
        <x:v>Controls recognition and manipulation of the same target without requiring referential reasoning.</x:v>
      </x:c>
      <x:c r="U35" s="32" t="n">
        <x:f>'Evaluation Plan'!U35</x:f>
        <x:v>0</x:v>
      </x:c>
    </x:row>
    <x:row r="36" ht="51" customHeight="1">
      <x:c r="A36" s="31" t="str">
        <x:v>Not collected</x:v>
      </x:c>
      <x:c r="B36" s="33" t="n">
        <x:f>'Evaluation Plan'!B36</x:f>
        <x:v>34</x:v>
      </x:c>
      <x:c r="C36" s="31" t="str">
        <x:f>'Evaluation Plan'!C36</x:f>
        <x:v>Place the airplane toy with the greatest distance from the crushed Coke can in the bowl.</x:v>
      </x:c>
      <x:c r="D36" s="31" t="str">
        <x:f>'Evaluation Plan'!D36</x:f>
        <x:v>Reference: crushed Coke can at table centre; airplane toy without propellers: 10 cm to robot-right of the reference; airplane toy with propellers: 24 cm to robot-left of the reference; green pen: at the far robot-left corner, outside the distance comparison; Bowl: empty</x:v>
      </x:c>
      <x:c r="E36" s="33" t="n">
        <x:f>'Evaluation Plan'!E36</x:f>
        <x:v>32</x:v>
      </x:c>
      <x:c r="F36" s="33" t="str">
        <x:f>'Evaluation Plan'!F36</x:f>
        <x:v>568</x:v>
      </x:c>
      <x:c r="G36" s="31" t="str">
        <x:f>'Evaluation Plan'!G36</x:f>
        <x:v>Exact canonical transfer scene and masked trajectory reference; only the instruction wording changes. This remains a separate language diagnostic.</x:v>
      </x:c>
      <x:c r="H36" s="31" t="str">
        <x:f>'Evaluation Plan'!H36</x:f>
        <x:v>airplane toy with propellers</x:v>
      </x:c>
      <x:c r="I36" s="31" t="str"/>
      <x:c r="J36" s="38" t="str">
        <x:f>'Evaluation Plan'!J36</x:f>
        <x:v>Language robustness</x:v>
      </x:c>
      <x:c r="K36" s="33" t="str">
        <x:f>'Evaluation Plan'!K36</x:f>
        <x:v>RD-CT04</x:v>
      </x:c>
      <x:c r="L36" s="33" t="str">
        <x:f>'Evaluation Plan'!L36</x:f>
        <x:v>furthest</x:v>
      </x:c>
      <x:c r="M36" s="33" t="str">
        <x:f>'Evaluation Plan'!M36</x:f>
        <x:v>airplane toy</x:v>
      </x:c>
      <x:c r="N36" s="33" t="n">
        <x:f>'Evaluation Plan'!N36</x:f>
        <x:v>4</x:v>
      </x:c>
      <x:c r="O36" s="33" t="n">
        <x:f>'Evaluation Plan'!O36</x:f>
        <x:v>1</x:v>
      </x:c>
      <x:c r="P36" s="33" t="str">
        <x:f>'Evaluation Plan'!P36</x:f>
        <x:v>Empty</x:v>
      </x:c>
      <x:c r="Q36" s="31" t="str">
        <x:f>'Evaluation Plan'!Q36</x:f>
        <x:v>Primary compositional-transfer prompt paraphrase</x:v>
      </x:c>
      <x:c r="R36" s="33" t="n">
        <x:f>'Evaluation Plan'!R36</x:f>
        <x:v>2</x:v>
      </x:c>
      <x:c r="S36" s="31" t="str">
        <x:f>'Evaluation Plan'!S36</x:f>
        <x:v>Reset the moved object exactly; preserve the scene; change only the wording.</x:v>
      </x:c>
      <x:c r="T36" s="31" t="str">
        <x:f>'Evaluation Plan'!T36</x:f>
        <x:v>One of 10 exact-scene paraphrases of canonical transfer trials.</x:v>
      </x:c>
      <x:c r="U36" s="31" t="n">
        <x:f>'Evaluation Plan'!U36</x:f>
        <x:v>0</x:v>
      </x:c>
    </x:row>
    <x:row r="37" ht="51" customHeight="1">
      <x:c r="A37" s="32" t="str">
        <x:v>Not collected</x:v>
      </x:c>
      <x:c r="B37" s="34" t="n">
        <x:f>'Evaluation Plan'!B37</x:f>
        <x:v>35</x:v>
      </x:c>
      <x:c r="C37" s="32" t="str">
        <x:f>'Evaluation Plan'!C37</x:f>
        <x:v>Transfer the airplane toy with propellers into the bowl.</x:v>
      </x:c>
      <x:c r="D37" s="32" t="str">
        <x:f>'Evaluation Plan'!D37</x:f>
        <x:v>Reference: crushed Coke can at table centre; airplane toy without propellers: 10 cm to robot-right of the reference; airplane toy with propellers: 24 cm to robot-left of the reference; green pen: at the far robot-left corner, outside the distance comparison; Bowl: empty</x:v>
      </x:c>
      <x:c r="E37" s="34" t="n">
        <x:f>'Evaluation Plan'!E37</x:f>
        <x:v>33</x:v>
      </x:c>
      <x:c r="F37" s="34" t="str">
        <x:f>'Evaluation Plan'!F37</x:f>
        <x:v>568</x:v>
      </x:c>
      <x:c r="G37" s="32" t="str">
        <x:f>'Evaluation Plan'!G37</x:f>
        <x:v>Exact matched-control scene and target; only the direct-name instruction wording changes.</x:v>
      </x:c>
      <x:c r="H37" s="32" t="str">
        <x:f>'Evaluation Plan'!H37</x:f>
        <x:v>airplane toy with propellers</x:v>
      </x:c>
      <x:c r="I37" s="32" t="str"/>
      <x:c r="J37" s="38" t="str">
        <x:f>'Evaluation Plan'!J37</x:f>
        <x:v>Language robustness</x:v>
      </x:c>
      <x:c r="K37" s="34" t="str">
        <x:f>'Evaluation Plan'!K37</x:f>
        <x:v>RD-CT04</x:v>
      </x:c>
      <x:c r="L37" s="34" t="str">
        <x:f>'Evaluation Plan'!L37</x:f>
        <x:v>direct-name paraphrase</x:v>
      </x:c>
      <x:c r="M37" s="34" t="str">
        <x:f>'Evaluation Plan'!M37</x:f>
        <x:v>airplane toy</x:v>
      </x:c>
      <x:c r="N37" s="34" t="n">
        <x:f>'Evaluation Plan'!N37</x:f>
        <x:v>4</x:v>
      </x:c>
      <x:c r="O37" s="34" t="n">
        <x:f>'Evaluation Plan'!O37</x:f>
        <x:v>1</x:v>
      </x:c>
      <x:c r="P37" s="34" t="str">
        <x:f>'Evaluation Plan'!P37</x:f>
        <x:v>Empty</x:v>
      </x:c>
      <x:c r="Q37" s="32" t="str">
        <x:f>'Evaluation Plan'!Q37</x:f>
        <x:v>Matched-control direct-name prompt paraphrase</x:v>
      </x:c>
      <x:c r="R37" s="34" t="n">
        <x:f>'Evaluation Plan'!R37</x:f>
        <x:v>2</x:v>
      </x:c>
      <x:c r="S37" s="32" t="str">
        <x:f>'Evaluation Plan'!S37</x:f>
        <x:v>Reset the moved object exactly; preserve the scene; change only the wording.</x:v>
      </x:c>
      <x:c r="T37" s="32" t="str">
        <x:f>'Evaluation Plan'!T37</x:f>
        <x:v>One of 10 exact-scene paraphrases of matched manipulation controls.</x:v>
      </x:c>
      <x:c r="U37" s="32" t="n">
        <x:f>'Evaluation Plan'!U37</x:f>
        <x:v>0</x:v>
      </x:c>
    </x:row>
    <x:row r="38" ht="51" customHeight="1">
      <x:c r="A38" s="41" t="str">
        <x:v>Not collected</x:v>
      </x:c>
      <x:c r="B38" s="42" t="n">
        <x:f>'Evaluation Plan'!B38</x:f>
        <x:v>36</x:v>
      </x:c>
      <x:c r="C38" s="41" t="str">
        <x:f>'Evaluation Plan'!C38</x:f>
        <x:v>Put the crushed soda can closest to the airplane toy with propellers in the bowl.</x:v>
      </x:c>
      <x:c r="D38" s="41" t="str">
        <x:f>'Evaluation Plan'!D38</x:f>
        <x:v>Reference: airplane toy with propellers at table centre; crushed Coke can: 10 cm to robot-right of the reference; crushed Pepsi can: 24 cm to robot-left of the reference; green pencil sharpener: at the far robot-left corner, outside the distance comparison; Bowl: empty</x:v>
      </x:c>
      <x:c r="E38" s="42" t="str">
        <x:f>'Evaluation Plan'!E38</x:f>
      </x:c>
      <x:c r="F38" s="42" t="str">
        <x:f>'Evaluation Plan'!F38</x:f>
        <x:v>402</x:v>
      </x:c>
      <x:c r="G38" s="41" t="str">
        <x:f>'Evaluation Plan'!G38</x:f>
        <x:v>Masked source trajectory: the target identity and physical manipulation are trained under a direct-name prompt, while this relation × candidate-category composition is intentionally absent.</x:v>
      </x:c>
      <x:c r="H38" s="41" t="str">
        <x:f>'Evaluation Plan'!H38</x:f>
        <x:v>crushed Coke can</x:v>
      </x:c>
      <x:c r="I38" s="41" t="str"/>
      <x:c r="J38" s="46" t="str">
        <x:f>'Evaluation Plan'!J38</x:f>
        <x:v>Concept/compositional transfer</x:v>
      </x:c>
      <x:c r="K38" s="42" t="str">
        <x:f>'Evaluation Plan'!K38</x:f>
        <x:v>RD-CT05</x:v>
      </x:c>
      <x:c r="L38" s="42" t="str">
        <x:f>'Evaluation Plan'!L38</x:f>
        <x:v>closest</x:v>
      </x:c>
      <x:c r="M38" s="42" t="str">
        <x:f>'Evaluation Plan'!M38</x:f>
        <x:v>crushed soda can</x:v>
      </x:c>
      <x:c r="N38" s="42" t="n">
        <x:f>'Evaluation Plan'!N38</x:f>
        <x:v>4</x:v>
      </x:c>
      <x:c r="O38" s="42" t="n">
        <x:f>'Evaluation Plan'!O38</x:f>
        <x:v>1</x:v>
      </x:c>
      <x:c r="P38" s="42" t="str">
        <x:f>'Evaluation Plan'!P38</x:f>
        <x:v>Empty</x:v>
      </x:c>
      <x:c r="Q38" s="41" t="str">
        <x:f>'Evaluation Plan'!Q38</x:f>
        <x:v>Primary held-out relation × candidate-category composition — Put</x:v>
      </x:c>
      <x:c r="R38" s="42" t="n">
        <x:f>'Evaluation Plan'!R38</x:f>
        <x:v>2</x:v>
      </x:c>
      <x:c r="S38" s="41" t="str">
        <x:f>'Evaluation Plan'!S38</x:f>
        <x:v>Build the listed relation scene with the bowl empty.</x:v>
      </x:c>
      <x:c r="T38" s="41" t="str">
        <x:f>'Evaluation Plan'!T38</x:f>
        <x:v>Both candidates are present. The held-out relation is the only information that identifies the target.</x:v>
      </x:c>
      <x:c r="U38" s="41" t="n">
        <x:f>'Evaluation Plan'!U38</x:f>
        <x:v>0</x:v>
      </x:c>
    </x:row>
    <x:row r="39" ht="51" customHeight="1">
      <x:c r="A39" s="32" t="str">
        <x:v>Not collected</x:v>
      </x:c>
      <x:c r="B39" s="34" t="n">
        <x:f>'Evaluation Plan'!B39</x:f>
        <x:v>37</x:v>
      </x:c>
      <x:c r="C39" s="32" t="str">
        <x:f>'Evaluation Plan'!C39</x:f>
        <x:v>Move the crushed Coke can into the bowl.</x:v>
      </x:c>
      <x:c r="D39" s="32" t="str">
        <x:f>'Evaluation Plan'!D39</x:f>
        <x:v>Reference: airplane toy with propellers at table centre; crushed Coke can: 10 cm to robot-right of the reference; crushed Pepsi can: 24 cm to robot-left of the reference; green pencil sharpener: at the far robot-left corner, outside the distance comparison; Bowl: empty</x:v>
      </x:c>
      <x:c r="E39" s="34" t="n">
        <x:f>'Evaluation Plan'!E39</x:f>
        <x:v>36</x:v>
      </x:c>
      <x:c r="F39" s="34" t="str">
        <x:f>'Evaluation Plan'!F39</x:f>
        <x:v>402</x:v>
      </x:c>
      <x:c r="G39" s="32" t="str">
        <x:f>'Evaluation Plan'!G39</x:f>
        <x:v>Exact masked-cell training prompt for the same target identity. The evaluation scene and physical endpoint are identical to the paired transfer row.</x:v>
      </x:c>
      <x:c r="H39" s="32" t="str">
        <x:f>'Evaluation Plan'!H39</x:f>
        <x:v>crushed Coke can</x:v>
      </x:c>
      <x:c r="I39" s="32" t="str"/>
      <x:c r="J39" s="37" t="str">
        <x:f>'Evaluation Plan'!J39</x:f>
        <x:v>Matched manipulation control</x:v>
      </x:c>
      <x:c r="K39" s="34" t="str">
        <x:f>'Evaluation Plan'!K39</x:f>
        <x:v>RD-CT05</x:v>
      </x:c>
      <x:c r="L39" s="34" t="str">
        <x:f>'Evaluation Plan'!L39</x:f>
        <x:v>direct name</x:v>
      </x:c>
      <x:c r="M39" s="34" t="str">
        <x:f>'Evaluation Plan'!M39</x:f>
        <x:v>crushed soda can</x:v>
      </x:c>
      <x:c r="N39" s="34" t="n">
        <x:f>'Evaluation Plan'!N39</x:f>
        <x:v>4</x:v>
      </x:c>
      <x:c r="O39" s="34" t="n">
        <x:f>'Evaluation Plan'!O39</x:f>
        <x:v>1</x:v>
      </x:c>
      <x:c r="P39" s="34" t="str">
        <x:f>'Evaluation Plan'!P39</x:f>
        <x:v>Empty</x:v>
      </x:c>
      <x:c r="Q39" s="32" t="str">
        <x:f>'Evaluation Plan'!Q39</x:f>
        <x:v>Exact-scene direct-identity manipulation control</x:v>
      </x:c>
      <x:c r="R39" s="34" t="n">
        <x:f>'Evaluation Plan'!R39</x:f>
        <x:v>2</x:v>
      </x:c>
      <x:c r="S39" s="32" t="str">
        <x:f>'Evaluation Plan'!S39</x:f>
        <x:v>Reset the moved object exactly; preserve the scene; change only the instruction.</x:v>
      </x:c>
      <x:c r="T39" s="32" t="str">
        <x:f>'Evaluation Plan'!T39</x:f>
        <x:v>Controls recognition and manipulation of the same target without requiring referential reasoning.</x:v>
      </x:c>
      <x:c r="U39" s="32" t="n">
        <x:f>'Evaluation Plan'!U39</x:f>
        <x:v>0</x:v>
      </x:c>
    </x:row>
    <x:row r="40" ht="51" customHeight="1">
      <x:c r="A40" s="31" t="str">
        <x:v>Not collected</x:v>
      </x:c>
      <x:c r="B40" s="33" t="n">
        <x:f>'Evaluation Plan'!B40</x:f>
        <x:v>38</x:v>
      </x:c>
      <x:c r="C40" s="31" t="str">
        <x:f>'Evaluation Plan'!C40</x:f>
        <x:v>Place the crushed soda can with the shortest distance to the airplane toy with propellers in the bowl.</x:v>
      </x:c>
      <x:c r="D40" s="31" t="str">
        <x:f>'Evaluation Plan'!D40</x:f>
        <x:v>Reference: airplane toy with propellers at table centre; crushed Coke can: 10 cm to robot-right of the reference; crushed Pepsi can: 24 cm to robot-left of the reference; green pencil sharpener: at the far robot-left corner, outside the distance comparison; Bowl: empty</x:v>
      </x:c>
      <x:c r="E40" s="33" t="n">
        <x:f>'Evaluation Plan'!E40</x:f>
        <x:v>36</x:v>
      </x:c>
      <x:c r="F40" s="33" t="str">
        <x:f>'Evaluation Plan'!F40</x:f>
        <x:v>402</x:v>
      </x:c>
      <x:c r="G40" s="31" t="str">
        <x:f>'Evaluation Plan'!G40</x:f>
        <x:v>Exact canonical transfer scene and masked trajectory reference; only the instruction wording changes. This remains a separate language diagnostic.</x:v>
      </x:c>
      <x:c r="H40" s="31" t="str">
        <x:f>'Evaluation Plan'!H40</x:f>
        <x:v>crushed Coke can</x:v>
      </x:c>
      <x:c r="I40" s="31" t="str"/>
      <x:c r="J40" s="38" t="str">
        <x:f>'Evaluation Plan'!J40</x:f>
        <x:v>Language robustness</x:v>
      </x:c>
      <x:c r="K40" s="33" t="str">
        <x:f>'Evaluation Plan'!K40</x:f>
        <x:v>RD-CT05</x:v>
      </x:c>
      <x:c r="L40" s="33" t="str">
        <x:f>'Evaluation Plan'!L40</x:f>
        <x:v>closest</x:v>
      </x:c>
      <x:c r="M40" s="33" t="str">
        <x:f>'Evaluation Plan'!M40</x:f>
        <x:v>crushed soda can</x:v>
      </x:c>
      <x:c r="N40" s="33" t="n">
        <x:f>'Evaluation Plan'!N40</x:f>
        <x:v>4</x:v>
      </x:c>
      <x:c r="O40" s="33" t="n">
        <x:f>'Evaluation Plan'!O40</x:f>
        <x:v>1</x:v>
      </x:c>
      <x:c r="P40" s="33" t="str">
        <x:f>'Evaluation Plan'!P40</x:f>
        <x:v>Empty</x:v>
      </x:c>
      <x:c r="Q40" s="31" t="str">
        <x:f>'Evaluation Plan'!Q40</x:f>
        <x:v>Primary compositional-transfer prompt paraphrase</x:v>
      </x:c>
      <x:c r="R40" s="33" t="n">
        <x:f>'Evaluation Plan'!R40</x:f>
        <x:v>2</x:v>
      </x:c>
      <x:c r="S40" s="31" t="str">
        <x:f>'Evaluation Plan'!S40</x:f>
        <x:v>Reset the moved object exactly; preserve the scene; change only the wording.</x:v>
      </x:c>
      <x:c r="T40" s="31" t="str">
        <x:f>'Evaluation Plan'!T40</x:f>
        <x:v>One of 10 exact-scene paraphrases of canonical transfer trials.</x:v>
      </x:c>
      <x:c r="U40" s="31" t="n">
        <x:f>'Evaluation Plan'!U40</x:f>
        <x:v>0</x:v>
      </x:c>
    </x:row>
    <x:row r="41" ht="51" customHeight="1">
      <x:c r="A41" s="32" t="str">
        <x:v>Not collected</x:v>
      </x:c>
      <x:c r="B41" s="34" t="n">
        <x:f>'Evaluation Plan'!B41</x:f>
        <x:v>39</x:v>
      </x:c>
      <x:c r="C41" s="32" t="str">
        <x:f>'Evaluation Plan'!C41</x:f>
        <x:v>Transfer the crushed Coke can into the bowl.</x:v>
      </x:c>
      <x:c r="D41" s="32" t="str">
        <x:f>'Evaluation Plan'!D41</x:f>
        <x:v>Reference: airplane toy with propellers at table centre; crushed Coke can: 10 cm to robot-right of the reference; crushed Pepsi can: 24 cm to robot-left of the reference; green pencil sharpener: at the far robot-left corner, outside the distance comparison; Bowl: empty</x:v>
      </x:c>
      <x:c r="E41" s="34" t="n">
        <x:f>'Evaluation Plan'!E41</x:f>
        <x:v>37</x:v>
      </x:c>
      <x:c r="F41" s="34" t="str">
        <x:f>'Evaluation Plan'!F41</x:f>
        <x:v>402</x:v>
      </x:c>
      <x:c r="G41" s="32" t="str">
        <x:f>'Evaluation Plan'!G41</x:f>
        <x:v>Exact matched-control scene and target; only the direct-name instruction wording changes.</x:v>
      </x:c>
      <x:c r="H41" s="32" t="str">
        <x:f>'Evaluation Plan'!H41</x:f>
        <x:v>crushed Coke can</x:v>
      </x:c>
      <x:c r="I41" s="32" t="str"/>
      <x:c r="J41" s="38" t="str">
        <x:f>'Evaluation Plan'!J41</x:f>
        <x:v>Language robustness</x:v>
      </x:c>
      <x:c r="K41" s="34" t="str">
        <x:f>'Evaluation Plan'!K41</x:f>
        <x:v>RD-CT05</x:v>
      </x:c>
      <x:c r="L41" s="34" t="str">
        <x:f>'Evaluation Plan'!L41</x:f>
        <x:v>direct-name paraphrase</x:v>
      </x:c>
      <x:c r="M41" s="34" t="str">
        <x:f>'Evaluation Plan'!M41</x:f>
        <x:v>crushed soda can</x:v>
      </x:c>
      <x:c r="N41" s="34" t="n">
        <x:f>'Evaluation Plan'!N41</x:f>
        <x:v>4</x:v>
      </x:c>
      <x:c r="O41" s="34" t="n">
        <x:f>'Evaluation Plan'!O41</x:f>
        <x:v>1</x:v>
      </x:c>
      <x:c r="P41" s="34" t="str">
        <x:f>'Evaluation Plan'!P41</x:f>
        <x:v>Empty</x:v>
      </x:c>
      <x:c r="Q41" s="32" t="str">
        <x:f>'Evaluation Plan'!Q41</x:f>
        <x:v>Matched-control direct-name prompt paraphrase</x:v>
      </x:c>
      <x:c r="R41" s="34" t="n">
        <x:f>'Evaluation Plan'!R41</x:f>
        <x:v>2</x:v>
      </x:c>
      <x:c r="S41" s="32" t="str">
        <x:f>'Evaluation Plan'!S41</x:f>
        <x:v>Reset the moved object exactly; preserve the scene; change only the wording.</x:v>
      </x:c>
      <x:c r="T41" s="32" t="str">
        <x:f>'Evaluation Plan'!T41</x:f>
        <x:v>One of 10 exact-scene paraphrases of matched manipulation controls.</x:v>
      </x:c>
      <x:c r="U41" s="32" t="n">
        <x:f>'Evaluation Plan'!U41</x:f>
        <x:v>0</x:v>
      </x:c>
    </x:row>
    <x:row r="42" ht="51" customHeight="1">
      <x:c r="A42" s="41" t="str">
        <x:v>Not collected</x:v>
      </x:c>
      <x:c r="B42" s="42" t="n">
        <x:f>'Evaluation Plan'!B42</x:f>
        <x:v>40</x:v>
      </x:c>
      <x:c r="C42" s="41" t="str">
        <x:f>'Evaluation Plan'!C42</x:f>
        <x:v>Put the pencil sharpener between the airplane toy with propellers and the yellow pen in the bowl.</x:v>
      </x:c>
      <x:c r="D42" s="41" t="str">
        <x:f>'Evaluation Plan'!D42</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2" s="42" t="str">
        <x:f>'Evaluation Plan'!E42</x:f>
      </x:c>
      <x:c r="F42" s="42" t="str">
        <x:f>'Evaluation Plan'!F42</x:f>
        <x:v>483</x:v>
      </x:c>
      <x:c r="G42" s="41" t="str">
        <x:f>'Evaluation Plan'!G42</x:f>
        <x:v>Masked source trajectory: the target identity and physical manipulation are trained under a direct-name prompt, while this relation × candidate-category composition is intentionally absent.</x:v>
      </x:c>
      <x:c r="H42" s="41" t="str">
        <x:f>'Evaluation Plan'!H42</x:f>
        <x:v>green pencil sharpener</x:v>
      </x:c>
      <x:c r="I42" s="41" t="str"/>
      <x:c r="J42" s="46" t="str">
        <x:f>'Evaluation Plan'!J42</x:f>
        <x:v>Concept/compositional transfer</x:v>
      </x:c>
      <x:c r="K42" s="42" t="str">
        <x:f>'Evaluation Plan'!K42</x:f>
        <x:v>RD-CT06</x:v>
      </x:c>
      <x:c r="L42" s="42" t="str">
        <x:f>'Evaluation Plan'!L42</x:f>
        <x:v>between</x:v>
      </x:c>
      <x:c r="M42" s="42" t="str">
        <x:f>'Evaluation Plan'!M42</x:f>
        <x:v>pencil sharpener</x:v>
      </x:c>
      <x:c r="N42" s="42" t="n">
        <x:f>'Evaluation Plan'!N42</x:f>
        <x:v>4</x:v>
      </x:c>
      <x:c r="O42" s="42" t="n">
        <x:f>'Evaluation Plan'!O42</x:f>
        <x:v>1</x:v>
      </x:c>
      <x:c r="P42" s="42" t="str">
        <x:f>'Evaluation Plan'!P42</x:f>
        <x:v>Empty</x:v>
      </x:c>
      <x:c r="Q42" s="41" t="str">
        <x:f>'Evaluation Plan'!Q42</x:f>
        <x:v>Primary held-out relation × candidate-category composition — Put</x:v>
      </x:c>
      <x:c r="R42" s="42" t="n">
        <x:f>'Evaluation Plan'!R42</x:f>
        <x:v>2</x:v>
      </x:c>
      <x:c r="S42" s="41" t="str">
        <x:f>'Evaluation Plan'!S42</x:f>
        <x:v>Build the listed relation scene with the bowl empty.</x:v>
      </x:c>
      <x:c r="T42" s="41" t="str">
        <x:f>'Evaluation Plan'!T42</x:f>
        <x:v>Both candidates are present. The held-out relation is the only information that identifies the target.</x:v>
      </x:c>
      <x:c r="U42" s="41" t="n">
        <x:f>'Evaluation Plan'!U42</x:f>
        <x:v>0</x:v>
      </x:c>
    </x:row>
    <x:row r="43" ht="51" customHeight="1">
      <x:c r="A43" s="32" t="str">
        <x:v>Not collected</x:v>
      </x:c>
      <x:c r="B43" s="34" t="n">
        <x:f>'Evaluation Plan'!B43</x:f>
        <x:v>41</x:v>
      </x:c>
      <x:c r="C43" s="32" t="str">
        <x:f>'Evaluation Plan'!C43</x:f>
        <x:v>Move the green pencil sharpener into the bowl.</x:v>
      </x:c>
      <x:c r="D43" s="32" t="str">
        <x:f>'Evaluation Plan'!D43</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3" s="34" t="n">
        <x:f>'Evaluation Plan'!E43</x:f>
        <x:v>40</x:v>
      </x:c>
      <x:c r="F43" s="34" t="str">
        <x:f>'Evaluation Plan'!F43</x:f>
        <x:v>483</x:v>
      </x:c>
      <x:c r="G43" s="32" t="str">
        <x:f>'Evaluation Plan'!G43</x:f>
        <x:v>Exact masked-cell training prompt for the same target identity. The evaluation scene and physical endpoint are identical to the paired transfer row.</x:v>
      </x:c>
      <x:c r="H43" s="32" t="str">
        <x:f>'Evaluation Plan'!H43</x:f>
        <x:v>green pencil sharpener</x:v>
      </x:c>
      <x:c r="I43" s="32" t="str"/>
      <x:c r="J43" s="37" t="str">
        <x:f>'Evaluation Plan'!J43</x:f>
        <x:v>Matched manipulation control</x:v>
      </x:c>
      <x:c r="K43" s="34" t="str">
        <x:f>'Evaluation Plan'!K43</x:f>
        <x:v>RD-CT06</x:v>
      </x:c>
      <x:c r="L43" s="34" t="str">
        <x:f>'Evaluation Plan'!L43</x:f>
        <x:v>direct name</x:v>
      </x:c>
      <x:c r="M43" s="34" t="str">
        <x:f>'Evaluation Plan'!M43</x:f>
        <x:v>pencil sharpener</x:v>
      </x:c>
      <x:c r="N43" s="34" t="n">
        <x:f>'Evaluation Plan'!N43</x:f>
        <x:v>4</x:v>
      </x:c>
      <x:c r="O43" s="34" t="n">
        <x:f>'Evaluation Plan'!O43</x:f>
        <x:v>1</x:v>
      </x:c>
      <x:c r="P43" s="34" t="str">
        <x:f>'Evaluation Plan'!P43</x:f>
        <x:v>Empty</x:v>
      </x:c>
      <x:c r="Q43" s="32" t="str">
        <x:f>'Evaluation Plan'!Q43</x:f>
        <x:v>Exact-scene direct-identity manipulation control</x:v>
      </x:c>
      <x:c r="R43" s="34" t="n">
        <x:f>'Evaluation Plan'!R43</x:f>
        <x:v>2</x:v>
      </x:c>
      <x:c r="S43" s="32" t="str">
        <x:f>'Evaluation Plan'!S43</x:f>
        <x:v>Reset the moved object exactly; preserve the scene; change only the instruction.</x:v>
      </x:c>
      <x:c r="T43" s="32" t="str">
        <x:f>'Evaluation Plan'!T43</x:f>
        <x:v>Controls recognition and manipulation of the same target without requiring referential reasoning.</x:v>
      </x:c>
      <x:c r="U43" s="32" t="n">
        <x:f>'Evaluation Plan'!U43</x:f>
        <x:v>0</x:v>
      </x:c>
    </x:row>
    <x:row r="44" ht="51" customHeight="1">
      <x:c r="A44" s="31" t="str">
        <x:v>Not collected</x:v>
      </x:c>
      <x:c r="B44" s="33" t="n">
        <x:f>'Evaluation Plan'!B44</x:f>
        <x:v>42</x:v>
      </x:c>
      <x:c r="C44" s="31" t="str">
        <x:f>'Evaluation Plan'!C44</x:f>
        <x:v>Place the pencil sharpener sitting between the airplane toy with propellers and the yellow pen in the bowl.</x:v>
      </x:c>
      <x:c r="D44" s="31" t="str">
        <x:f>'Evaluation Plan'!D44</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4" s="33" t="n">
        <x:f>'Evaluation Plan'!E44</x:f>
        <x:v>40</x:v>
      </x:c>
      <x:c r="F44" s="33" t="str">
        <x:f>'Evaluation Plan'!F44</x:f>
        <x:v>483</x:v>
      </x:c>
      <x:c r="G44" s="31" t="str">
        <x:f>'Evaluation Plan'!G44</x:f>
        <x:v>Exact canonical transfer scene and masked trajectory reference; only the instruction wording changes. This remains a separate language diagnostic.</x:v>
      </x:c>
      <x:c r="H44" s="31" t="str">
        <x:f>'Evaluation Plan'!H44</x:f>
        <x:v>green pencil sharpener</x:v>
      </x:c>
      <x:c r="I44" s="31" t="str"/>
      <x:c r="J44" s="38" t="str">
        <x:f>'Evaluation Plan'!J44</x:f>
        <x:v>Language robustness</x:v>
      </x:c>
      <x:c r="K44" s="33" t="str">
        <x:f>'Evaluation Plan'!K44</x:f>
        <x:v>RD-CT06</x:v>
      </x:c>
      <x:c r="L44" s="33" t="str">
        <x:f>'Evaluation Plan'!L44</x:f>
        <x:v>between</x:v>
      </x:c>
      <x:c r="M44" s="33" t="str">
        <x:f>'Evaluation Plan'!M44</x:f>
        <x:v>pencil sharpener</x:v>
      </x:c>
      <x:c r="N44" s="33" t="n">
        <x:f>'Evaluation Plan'!N44</x:f>
        <x:v>4</x:v>
      </x:c>
      <x:c r="O44" s="33" t="n">
        <x:f>'Evaluation Plan'!O44</x:f>
        <x:v>1</x:v>
      </x:c>
      <x:c r="P44" s="33" t="str">
        <x:f>'Evaluation Plan'!P44</x:f>
        <x:v>Empty</x:v>
      </x:c>
      <x:c r="Q44" s="31" t="str">
        <x:f>'Evaluation Plan'!Q44</x:f>
        <x:v>Primary compositional-transfer prompt paraphrase</x:v>
      </x:c>
      <x:c r="R44" s="33" t="n">
        <x:f>'Evaluation Plan'!R44</x:f>
        <x:v>2</x:v>
      </x:c>
      <x:c r="S44" s="31" t="str">
        <x:f>'Evaluation Plan'!S44</x:f>
        <x:v>Reset the moved object exactly; preserve the scene; change only the wording.</x:v>
      </x:c>
      <x:c r="T44" s="31" t="str">
        <x:f>'Evaluation Plan'!T44</x:f>
        <x:v>One of 10 exact-scene paraphrases of canonical transfer trials.</x:v>
      </x:c>
      <x:c r="U44" s="31" t="n">
        <x:f>'Evaluation Plan'!U44</x:f>
        <x:v>0</x:v>
      </x:c>
    </x:row>
    <x:row r="45" ht="51" customHeight="1">
      <x:c r="A45" s="32" t="str">
        <x:v>Not collected</x:v>
      </x:c>
      <x:c r="B45" s="34" t="n">
        <x:f>'Evaluation Plan'!B45</x:f>
        <x:v>43</x:v>
      </x:c>
      <x:c r="C45" s="32" t="str">
        <x:f>'Evaluation Plan'!C45</x:f>
        <x:v>Transfer the green pencil sharpener into the bowl.</x:v>
      </x:c>
      <x:c r="D45" s="32" t="str">
        <x:f>'Evaluation Plan'!D45</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Bowl: empty</x:v>
      </x:c>
      <x:c r="E45" s="34" t="n">
        <x:f>'Evaluation Plan'!E45</x:f>
        <x:v>41</x:v>
      </x:c>
      <x:c r="F45" s="34" t="str">
        <x:f>'Evaluation Plan'!F45</x:f>
        <x:v>483</x:v>
      </x:c>
      <x:c r="G45" s="32" t="str">
        <x:f>'Evaluation Plan'!G45</x:f>
        <x:v>Exact matched-control scene and target; only the direct-name instruction wording changes.</x:v>
      </x:c>
      <x:c r="H45" s="32" t="str">
        <x:f>'Evaluation Plan'!H45</x:f>
        <x:v>green pencil sharpener</x:v>
      </x:c>
      <x:c r="I45" s="32" t="str"/>
      <x:c r="J45" s="38" t="str">
        <x:f>'Evaluation Plan'!J45</x:f>
        <x:v>Language robustness</x:v>
      </x:c>
      <x:c r="K45" s="34" t="str">
        <x:f>'Evaluation Plan'!K45</x:f>
        <x:v>RD-CT06</x:v>
      </x:c>
      <x:c r="L45" s="34" t="str">
        <x:f>'Evaluation Plan'!L45</x:f>
        <x:v>direct-name paraphrase</x:v>
      </x:c>
      <x:c r="M45" s="34" t="str">
        <x:f>'Evaluation Plan'!M45</x:f>
        <x:v>pencil sharpener</x:v>
      </x:c>
      <x:c r="N45" s="34" t="n">
        <x:f>'Evaluation Plan'!N45</x:f>
        <x:v>4</x:v>
      </x:c>
      <x:c r="O45" s="34" t="n">
        <x:f>'Evaluation Plan'!O45</x:f>
        <x:v>1</x:v>
      </x:c>
      <x:c r="P45" s="34" t="str">
        <x:f>'Evaluation Plan'!P45</x:f>
        <x:v>Empty</x:v>
      </x:c>
      <x:c r="Q45" s="32" t="str">
        <x:f>'Evaluation Plan'!Q45</x:f>
        <x:v>Matched-control direct-name prompt paraphrase</x:v>
      </x:c>
      <x:c r="R45" s="34" t="n">
        <x:f>'Evaluation Plan'!R45</x:f>
        <x:v>2</x:v>
      </x:c>
      <x:c r="S45" s="32" t="str">
        <x:f>'Evaluation Plan'!S45</x:f>
        <x:v>Reset the moved object exactly; preserve the scene; change only the wording.</x:v>
      </x:c>
      <x:c r="T45" s="32" t="str">
        <x:f>'Evaluation Plan'!T45</x:f>
        <x:v>One of 10 exact-scene paraphrases of matched manipulation controls.</x:v>
      </x:c>
      <x:c r="U45" s="32" t="n">
        <x:f>'Evaluation Plan'!U45</x:f>
        <x:v>0</x:v>
      </x:c>
    </x:row>
    <x:row r="46" ht="51" customHeight="1">
      <x:c r="A46" s="41" t="str">
        <x:v>Not collected</x:v>
      </x:c>
      <x:c r="B46" s="42" t="n">
        <x:f>'Evaluation Plan'!B46</x:f>
        <x:v>44</x:v>
      </x:c>
      <x:c r="C46" s="41" t="str">
        <x:f>'Evaluation Plan'!C46</x:f>
        <x:v>Move the airplane toy furthest from the green pencil sharpener into the bowl.</x:v>
      </x:c>
      <x:c r="D46" s="41" t="str">
        <x:f>'Evaluation Plan'!D46</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6" s="42" t="str">
        <x:f>'Evaluation Plan'!E46</x:f>
      </x:c>
      <x:c r="F46" s="42" t="str">
        <x:f>'Evaluation Plan'!F46</x:f>
        <x:v>565</x:v>
      </x:c>
      <x:c r="G46" s="41" t="str">
        <x:f>'Evaluation Plan'!G46</x:f>
        <x:v>Masked source trajectory: the target identity and physical manipulation are trained under a direct-name prompt, while this relation × candidate-category composition is intentionally absent.</x:v>
      </x:c>
      <x:c r="H46" s="41" t="str">
        <x:f>'Evaluation Plan'!H46</x:f>
        <x:v>airplane toy without propellers</x:v>
      </x:c>
      <x:c r="I46" s="41" t="str"/>
      <x:c r="J46" s="46" t="str">
        <x:f>'Evaluation Plan'!J46</x:f>
        <x:v>Concept/compositional transfer</x:v>
      </x:c>
      <x:c r="K46" s="42" t="str">
        <x:f>'Evaluation Plan'!K46</x:f>
        <x:v>RD-CT07</x:v>
      </x:c>
      <x:c r="L46" s="42" t="str">
        <x:f>'Evaluation Plan'!L46</x:f>
        <x:v>furthest</x:v>
      </x:c>
      <x:c r="M46" s="42" t="str">
        <x:f>'Evaluation Plan'!M46</x:f>
        <x:v>airplane toy</x:v>
      </x:c>
      <x:c r="N46" s="42" t="n">
        <x:f>'Evaluation Plan'!N46</x:f>
        <x:v>4</x:v>
      </x:c>
      <x:c r="O46" s="42" t="n">
        <x:f>'Evaluation Plan'!O46</x:f>
        <x:v>1</x:v>
      </x:c>
      <x:c r="P46" s="42" t="str">
        <x:f>'Evaluation Plan'!P46</x:f>
        <x:v>Empty</x:v>
      </x:c>
      <x:c r="Q46" s="41" t="str">
        <x:f>'Evaluation Plan'!Q46</x:f>
        <x:v>Primary held-out relation × candidate-category composition — Move</x:v>
      </x:c>
      <x:c r="R46" s="42" t="n">
        <x:f>'Evaluation Plan'!R46</x:f>
        <x:v>2</x:v>
      </x:c>
      <x:c r="S46" s="41" t="str">
        <x:f>'Evaluation Plan'!S46</x:f>
        <x:v>Build the listed relation scene with the bowl empty.</x:v>
      </x:c>
      <x:c r="T46" s="41" t="str">
        <x:f>'Evaluation Plan'!T46</x:f>
        <x:v>Both candidates are present. The held-out relation is the only information that identifies the target.</x:v>
      </x:c>
      <x:c r="U46" s="41" t="n">
        <x:f>'Evaluation Plan'!U46</x:f>
        <x:v>0</x:v>
      </x:c>
    </x:row>
    <x:row r="47" ht="51" customHeight="1">
      <x:c r="A47" s="32" t="str">
        <x:v>Not collected</x:v>
      </x:c>
      <x:c r="B47" s="34" t="n">
        <x:f>'Evaluation Plan'!B47</x:f>
        <x:v>45</x:v>
      </x:c>
      <x:c r="C47" s="32" t="str">
        <x:f>'Evaluation Plan'!C47</x:f>
        <x:v>Pick up the airplane toy without propellers and place it in the bowl.</x:v>
      </x:c>
      <x:c r="D47" s="32" t="str">
        <x:f>'Evaluation Plan'!D47</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7" s="34" t="n">
        <x:f>'Evaluation Plan'!E47</x:f>
        <x:v>44</x:v>
      </x:c>
      <x:c r="F47" s="34" t="str">
        <x:f>'Evaluation Plan'!F47</x:f>
        <x:v>565</x:v>
      </x:c>
      <x:c r="G47" s="32" t="str">
        <x:f>'Evaluation Plan'!G47</x:f>
        <x:v>Exact masked-cell training prompt for the same target identity. The evaluation scene and physical endpoint are identical to the paired transfer row.</x:v>
      </x:c>
      <x:c r="H47" s="32" t="str">
        <x:f>'Evaluation Plan'!H47</x:f>
        <x:v>airplane toy without propellers</x:v>
      </x:c>
      <x:c r="I47" s="32" t="str"/>
      <x:c r="J47" s="37" t="str">
        <x:f>'Evaluation Plan'!J47</x:f>
        <x:v>Matched manipulation control</x:v>
      </x:c>
      <x:c r="K47" s="34" t="str">
        <x:f>'Evaluation Plan'!K47</x:f>
        <x:v>RD-CT07</x:v>
      </x:c>
      <x:c r="L47" s="34" t="str">
        <x:f>'Evaluation Plan'!L47</x:f>
        <x:v>direct name</x:v>
      </x:c>
      <x:c r="M47" s="34" t="str">
        <x:f>'Evaluation Plan'!M47</x:f>
        <x:v>airplane toy</x:v>
      </x:c>
      <x:c r="N47" s="34" t="n">
        <x:f>'Evaluation Plan'!N47</x:f>
        <x:v>4</x:v>
      </x:c>
      <x:c r="O47" s="34" t="n">
        <x:f>'Evaluation Plan'!O47</x:f>
        <x:v>1</x:v>
      </x:c>
      <x:c r="P47" s="34" t="str">
        <x:f>'Evaluation Plan'!P47</x:f>
        <x:v>Empty</x:v>
      </x:c>
      <x:c r="Q47" s="32" t="str">
        <x:f>'Evaluation Plan'!Q47</x:f>
        <x:v>Exact-scene direct-identity manipulation control</x:v>
      </x:c>
      <x:c r="R47" s="34" t="n">
        <x:f>'Evaluation Plan'!R47</x:f>
        <x:v>2</x:v>
      </x:c>
      <x:c r="S47" s="32" t="str">
        <x:f>'Evaluation Plan'!S47</x:f>
        <x:v>Reset the moved object exactly; preserve the scene; change only the instruction.</x:v>
      </x:c>
      <x:c r="T47" s="32" t="str">
        <x:f>'Evaluation Plan'!T47</x:f>
        <x:v>Controls recognition and manipulation of the same target without requiring referential reasoning.</x:v>
      </x:c>
      <x:c r="U47" s="32" t="n">
        <x:f>'Evaluation Plan'!U47</x:f>
        <x:v>0</x:v>
      </x:c>
    </x:row>
    <x:row r="48" ht="51" customHeight="1">
      <x:c r="A48" s="31" t="str">
        <x:v>Not collected</x:v>
      </x:c>
      <x:c r="B48" s="33" t="n">
        <x:f>'Evaluation Plan'!B48</x:f>
        <x:v>46</x:v>
      </x:c>
      <x:c r="C48" s="31" t="str">
        <x:f>'Evaluation Plan'!C48</x:f>
        <x:v>Move whichever airplane toy is most distant from the green pencil sharpener into the bowl.</x:v>
      </x:c>
      <x:c r="D48" s="31" t="str">
        <x:f>'Evaluation Plan'!D48</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8" s="33" t="n">
        <x:f>'Evaluation Plan'!E48</x:f>
        <x:v>44</x:v>
      </x:c>
      <x:c r="F48" s="33" t="str">
        <x:f>'Evaluation Plan'!F48</x:f>
        <x:v>565</x:v>
      </x:c>
      <x:c r="G48" s="31" t="str">
        <x:f>'Evaluation Plan'!G48</x:f>
        <x:v>Exact canonical transfer scene and masked trajectory reference; only the instruction wording changes. This remains a separate language diagnostic.</x:v>
      </x:c>
      <x:c r="H48" s="31" t="str">
        <x:f>'Evaluation Plan'!H48</x:f>
        <x:v>airplane toy without propellers</x:v>
      </x:c>
      <x:c r="I48" s="31" t="str"/>
      <x:c r="J48" s="38" t="str">
        <x:f>'Evaluation Plan'!J48</x:f>
        <x:v>Language robustness</x:v>
      </x:c>
      <x:c r="K48" s="33" t="str">
        <x:f>'Evaluation Plan'!K48</x:f>
        <x:v>RD-CT07</x:v>
      </x:c>
      <x:c r="L48" s="33" t="str">
        <x:f>'Evaluation Plan'!L48</x:f>
        <x:v>furthest</x:v>
      </x:c>
      <x:c r="M48" s="33" t="str">
        <x:f>'Evaluation Plan'!M48</x:f>
        <x:v>airplane toy</x:v>
      </x:c>
      <x:c r="N48" s="33" t="n">
        <x:f>'Evaluation Plan'!N48</x:f>
        <x:v>4</x:v>
      </x:c>
      <x:c r="O48" s="33" t="n">
        <x:f>'Evaluation Plan'!O48</x:f>
        <x:v>1</x:v>
      </x:c>
      <x:c r="P48" s="33" t="str">
        <x:f>'Evaluation Plan'!P48</x:f>
        <x:v>Empty</x:v>
      </x:c>
      <x:c r="Q48" s="31" t="str">
        <x:f>'Evaluation Plan'!Q48</x:f>
        <x:v>Primary compositional-transfer prompt paraphrase</x:v>
      </x:c>
      <x:c r="R48" s="33" t="n">
        <x:f>'Evaluation Plan'!R48</x:f>
        <x:v>2</x:v>
      </x:c>
      <x:c r="S48" s="31" t="str">
        <x:f>'Evaluation Plan'!S48</x:f>
        <x:v>Reset the moved object exactly; preserve the scene; change only the wording.</x:v>
      </x:c>
      <x:c r="T48" s="31" t="str">
        <x:f>'Evaluation Plan'!T48</x:f>
        <x:v>One of 10 exact-scene paraphrases of canonical transfer trials.</x:v>
      </x:c>
      <x:c r="U48" s="31" t="n">
        <x:f>'Evaluation Plan'!U48</x:f>
        <x:v>0</x:v>
      </x:c>
    </x:row>
    <x:row r="49" ht="51" customHeight="1">
      <x:c r="A49" s="32" t="str">
        <x:v>Not collected</x:v>
      </x:c>
      <x:c r="B49" s="34" t="n">
        <x:f>'Evaluation Plan'!B49</x:f>
        <x:v>47</x:v>
      </x:c>
      <x:c r="C49" s="32" t="str">
        <x:f>'Evaluation Plan'!C49</x:f>
        <x:v>Set the airplane toy without propellers inside the bowl.</x:v>
      </x:c>
      <x:c r="D49" s="32" t="str">
        <x:f>'Evaluation Plan'!D49</x:f>
        <x:v>Reference: green pencil sharpener at table centre; airplane toy with propellers: 10 cm toward the robot from the reference; airplane toy without propellers: 24 cm away from the robot from the reference; crushed Pepsi can: at the far robot-left corner, outside the distance comparison; Bowl: empty</x:v>
      </x:c>
      <x:c r="E49" s="34" t="n">
        <x:f>'Evaluation Plan'!E49</x:f>
        <x:v>45</x:v>
      </x:c>
      <x:c r="F49" s="34" t="str">
        <x:f>'Evaluation Plan'!F49</x:f>
        <x:v>565</x:v>
      </x:c>
      <x:c r="G49" s="32" t="str">
        <x:f>'Evaluation Plan'!G49</x:f>
        <x:v>Exact matched-control scene and target; only the direct-name instruction wording changes.</x:v>
      </x:c>
      <x:c r="H49" s="32" t="str">
        <x:f>'Evaluation Plan'!H49</x:f>
        <x:v>airplane toy without propellers</x:v>
      </x:c>
      <x:c r="I49" s="32" t="str"/>
      <x:c r="J49" s="38" t="str">
        <x:f>'Evaluation Plan'!J49</x:f>
        <x:v>Language robustness</x:v>
      </x:c>
      <x:c r="K49" s="34" t="str">
        <x:f>'Evaluation Plan'!K49</x:f>
        <x:v>RD-CT07</x:v>
      </x:c>
      <x:c r="L49" s="34" t="str">
        <x:f>'Evaluation Plan'!L49</x:f>
        <x:v>direct-name paraphrase</x:v>
      </x:c>
      <x:c r="M49" s="34" t="str">
        <x:f>'Evaluation Plan'!M49</x:f>
        <x:v>airplane toy</x:v>
      </x:c>
      <x:c r="N49" s="34" t="n">
        <x:f>'Evaluation Plan'!N49</x:f>
        <x:v>4</x:v>
      </x:c>
      <x:c r="O49" s="34" t="n">
        <x:f>'Evaluation Plan'!O49</x:f>
        <x:v>1</x:v>
      </x:c>
      <x:c r="P49" s="34" t="str">
        <x:f>'Evaluation Plan'!P49</x:f>
        <x:v>Empty</x:v>
      </x:c>
      <x:c r="Q49" s="32" t="str">
        <x:f>'Evaluation Plan'!Q49</x:f>
        <x:v>Matched-control direct-name prompt paraphrase</x:v>
      </x:c>
      <x:c r="R49" s="34" t="n">
        <x:f>'Evaluation Plan'!R49</x:f>
        <x:v>2</x:v>
      </x:c>
      <x:c r="S49" s="32" t="str">
        <x:f>'Evaluation Plan'!S49</x:f>
        <x:v>Reset the moved object exactly; preserve the scene; change only the wording.</x:v>
      </x:c>
      <x:c r="T49" s="32" t="str">
        <x:f>'Evaluation Plan'!T49</x:f>
        <x:v>One of 10 exact-scene paraphrases of matched manipulation controls.</x:v>
      </x:c>
      <x:c r="U49" s="32" t="n">
        <x:f>'Evaluation Plan'!U49</x:f>
        <x:v>0</x:v>
      </x:c>
    </x:row>
    <x:row r="50" ht="51" customHeight="1">
      <x:c r="A50" s="41" t="str">
        <x:v>Not collected</x:v>
      </x:c>
      <x:c r="B50" s="42" t="n">
        <x:f>'Evaluation Plan'!B50</x:f>
        <x:v>48</x:v>
      </x:c>
      <x:c r="C50" s="41" t="str">
        <x:f>'Evaluation Plan'!C50</x:f>
        <x:v>Move the crushed soda can closest to the green pencil sharpener into the bowl.</x:v>
      </x:c>
      <x:c r="D50" s="41" t="str">
        <x:f>'Evaluation Plan'!D50</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0" s="42" t="str">
        <x:f>'Evaluation Plan'!E50</x:f>
      </x:c>
      <x:c r="F50" s="42" t="str">
        <x:f>'Evaluation Plan'!F50</x:f>
        <x:v>401</x:v>
      </x:c>
      <x:c r="G50" s="41" t="str">
        <x:f>'Evaluation Plan'!G50</x:f>
        <x:v>Masked source trajectory: the target identity and physical manipulation are trained under a direct-name prompt, while this relation × candidate-category composition is intentionally absent.</x:v>
      </x:c>
      <x:c r="H50" s="41" t="str">
        <x:f>'Evaluation Plan'!H50</x:f>
        <x:v>crushed Pepsi can</x:v>
      </x:c>
      <x:c r="I50" s="41" t="str"/>
      <x:c r="J50" s="46" t="str">
        <x:f>'Evaluation Plan'!J50</x:f>
        <x:v>Concept/compositional transfer</x:v>
      </x:c>
      <x:c r="K50" s="42" t="str">
        <x:f>'Evaluation Plan'!K50</x:f>
        <x:v>RD-CT08</x:v>
      </x:c>
      <x:c r="L50" s="42" t="str">
        <x:f>'Evaluation Plan'!L50</x:f>
        <x:v>closest</x:v>
      </x:c>
      <x:c r="M50" s="42" t="str">
        <x:f>'Evaluation Plan'!M50</x:f>
        <x:v>crushed soda can</x:v>
      </x:c>
      <x:c r="N50" s="42" t="n">
        <x:f>'Evaluation Plan'!N50</x:f>
        <x:v>4</x:v>
      </x:c>
      <x:c r="O50" s="42" t="n">
        <x:f>'Evaluation Plan'!O50</x:f>
        <x:v>1</x:v>
      </x:c>
      <x:c r="P50" s="42" t="str">
        <x:f>'Evaluation Plan'!P50</x:f>
        <x:v>Empty</x:v>
      </x:c>
      <x:c r="Q50" s="41" t="str">
        <x:f>'Evaluation Plan'!Q50</x:f>
        <x:v>Primary held-out relation × candidate-category composition — Move</x:v>
      </x:c>
      <x:c r="R50" s="42" t="n">
        <x:f>'Evaluation Plan'!R50</x:f>
        <x:v>2</x:v>
      </x:c>
      <x:c r="S50" s="41" t="str">
        <x:f>'Evaluation Plan'!S50</x:f>
        <x:v>Build the listed relation scene with the bowl empty.</x:v>
      </x:c>
      <x:c r="T50" s="41" t="str">
        <x:f>'Evaluation Plan'!T50</x:f>
        <x:v>Both candidates are present. The held-out relation is the only information that identifies the target.</x:v>
      </x:c>
      <x:c r="U50" s="41" t="n">
        <x:f>'Evaluation Plan'!U50</x:f>
        <x:v>0</x:v>
      </x:c>
    </x:row>
    <x:row r="51" ht="51" customHeight="1">
      <x:c r="A51" s="32" t="str">
        <x:v>Not collected</x:v>
      </x:c>
      <x:c r="B51" s="34" t="n">
        <x:f>'Evaluation Plan'!B51</x:f>
        <x:v>49</x:v>
      </x:c>
      <x:c r="C51" s="32" t="str">
        <x:f>'Evaluation Plan'!C51</x:f>
        <x:v>Pick up the crushed Pepsi can and place it in the bowl.</x:v>
      </x:c>
      <x:c r="D51" s="32" t="str">
        <x:f>'Evaluation Plan'!D51</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1" s="34" t="n">
        <x:f>'Evaluation Plan'!E51</x:f>
        <x:v>48</x:v>
      </x:c>
      <x:c r="F51" s="34" t="str">
        <x:f>'Evaluation Plan'!F51</x:f>
        <x:v>401</x:v>
      </x:c>
      <x:c r="G51" s="32" t="str">
        <x:f>'Evaluation Plan'!G51</x:f>
        <x:v>Exact masked-cell training prompt for the same target identity. The evaluation scene and physical endpoint are identical to the paired transfer row.</x:v>
      </x:c>
      <x:c r="H51" s="32" t="str">
        <x:f>'Evaluation Plan'!H51</x:f>
        <x:v>crushed Pepsi can</x:v>
      </x:c>
      <x:c r="I51" s="32" t="str"/>
      <x:c r="J51" s="37" t="str">
        <x:f>'Evaluation Plan'!J51</x:f>
        <x:v>Matched manipulation control</x:v>
      </x:c>
      <x:c r="K51" s="34" t="str">
        <x:f>'Evaluation Plan'!K51</x:f>
        <x:v>RD-CT08</x:v>
      </x:c>
      <x:c r="L51" s="34" t="str">
        <x:f>'Evaluation Plan'!L51</x:f>
        <x:v>direct name</x:v>
      </x:c>
      <x:c r="M51" s="34" t="str">
        <x:f>'Evaluation Plan'!M51</x:f>
        <x:v>crushed soda can</x:v>
      </x:c>
      <x:c r="N51" s="34" t="n">
        <x:f>'Evaluation Plan'!N51</x:f>
        <x:v>4</x:v>
      </x:c>
      <x:c r="O51" s="34" t="n">
        <x:f>'Evaluation Plan'!O51</x:f>
        <x:v>1</x:v>
      </x:c>
      <x:c r="P51" s="34" t="str">
        <x:f>'Evaluation Plan'!P51</x:f>
        <x:v>Empty</x:v>
      </x:c>
      <x:c r="Q51" s="32" t="str">
        <x:f>'Evaluation Plan'!Q51</x:f>
        <x:v>Exact-scene direct-identity manipulation control</x:v>
      </x:c>
      <x:c r="R51" s="34" t="n">
        <x:f>'Evaluation Plan'!R51</x:f>
        <x:v>2</x:v>
      </x:c>
      <x:c r="S51" s="32" t="str">
        <x:f>'Evaluation Plan'!S51</x:f>
        <x:v>Reset the moved object exactly; preserve the scene; change only the instruction.</x:v>
      </x:c>
      <x:c r="T51" s="32" t="str">
        <x:f>'Evaluation Plan'!T51</x:f>
        <x:v>Controls recognition and manipulation of the same target without requiring referential reasoning.</x:v>
      </x:c>
      <x:c r="U51" s="32" t="n">
        <x:f>'Evaluation Plan'!U51</x:f>
        <x:v>0</x:v>
      </x:c>
    </x:row>
    <x:row r="52" ht="51" customHeight="1">
      <x:c r="A52" s="31" t="str">
        <x:v>Not collected</x:v>
      </x:c>
      <x:c r="B52" s="33" t="n">
        <x:f>'Evaluation Plan'!B52</x:f>
        <x:v>50</x:v>
      </x:c>
      <x:c r="C52" s="31" t="str">
        <x:f>'Evaluation Plan'!C52</x:f>
        <x:v>Move whichever crushed soda can is nearer to the green pencil sharpener into the bowl.</x:v>
      </x:c>
      <x:c r="D52" s="31" t="str">
        <x:f>'Evaluation Plan'!D52</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2" s="33" t="n">
        <x:f>'Evaluation Plan'!E52</x:f>
        <x:v>48</x:v>
      </x:c>
      <x:c r="F52" s="33" t="str">
        <x:f>'Evaluation Plan'!F52</x:f>
        <x:v>401</x:v>
      </x:c>
      <x:c r="G52" s="31" t="str">
        <x:f>'Evaluation Plan'!G52</x:f>
        <x:v>Exact canonical transfer scene and masked trajectory reference; only the instruction wording changes. This remains a separate language diagnostic.</x:v>
      </x:c>
      <x:c r="H52" s="31" t="str">
        <x:f>'Evaluation Plan'!H52</x:f>
        <x:v>crushed Pepsi can</x:v>
      </x:c>
      <x:c r="I52" s="31" t="str"/>
      <x:c r="J52" s="38" t="str">
        <x:f>'Evaluation Plan'!J52</x:f>
        <x:v>Language robustness</x:v>
      </x:c>
      <x:c r="K52" s="33" t="str">
        <x:f>'Evaluation Plan'!K52</x:f>
        <x:v>RD-CT08</x:v>
      </x:c>
      <x:c r="L52" s="33" t="str">
        <x:f>'Evaluation Plan'!L52</x:f>
        <x:v>closest</x:v>
      </x:c>
      <x:c r="M52" s="33" t="str">
        <x:f>'Evaluation Plan'!M52</x:f>
        <x:v>crushed soda can</x:v>
      </x:c>
      <x:c r="N52" s="33" t="n">
        <x:f>'Evaluation Plan'!N52</x:f>
        <x:v>4</x:v>
      </x:c>
      <x:c r="O52" s="33" t="n">
        <x:f>'Evaluation Plan'!O52</x:f>
        <x:v>1</x:v>
      </x:c>
      <x:c r="P52" s="33" t="str">
        <x:f>'Evaluation Plan'!P52</x:f>
        <x:v>Empty</x:v>
      </x:c>
      <x:c r="Q52" s="31" t="str">
        <x:f>'Evaluation Plan'!Q52</x:f>
        <x:v>Primary compositional-transfer prompt paraphrase</x:v>
      </x:c>
      <x:c r="R52" s="33" t="n">
        <x:f>'Evaluation Plan'!R52</x:f>
        <x:v>2</x:v>
      </x:c>
      <x:c r="S52" s="31" t="str">
        <x:f>'Evaluation Plan'!S52</x:f>
        <x:v>Reset the moved object exactly; preserve the scene; change only the wording.</x:v>
      </x:c>
      <x:c r="T52" s="31" t="str">
        <x:f>'Evaluation Plan'!T52</x:f>
        <x:v>One of 10 exact-scene paraphrases of canonical transfer trials.</x:v>
      </x:c>
      <x:c r="U52" s="31" t="n">
        <x:f>'Evaluation Plan'!U52</x:f>
        <x:v>0</x:v>
      </x:c>
    </x:row>
    <x:row r="53" ht="51" customHeight="1">
      <x:c r="A53" s="32" t="str">
        <x:v>Not collected</x:v>
      </x:c>
      <x:c r="B53" s="34" t="n">
        <x:f>'Evaluation Plan'!B53</x:f>
        <x:v>51</x:v>
      </x:c>
      <x:c r="C53" s="32" t="str">
        <x:f>'Evaluation Plan'!C53</x:f>
        <x:v>Set the crushed Pepsi can inside the bowl.</x:v>
      </x:c>
      <x:c r="D53" s="32" t="str">
        <x:f>'Evaluation Plan'!D53</x:f>
        <x:v>Reference: green pencil sharpener at table centre; crushed Pepsi can: 10 cm toward the robot from the reference; crushed Coke can: 24 cm away from the robot from the reference; airplane toy with propellers: at the far robot-left corner, outside the distance comparison; Bowl: empty</x:v>
      </x:c>
      <x:c r="E53" s="34" t="n">
        <x:f>'Evaluation Plan'!E53</x:f>
        <x:v>49</x:v>
      </x:c>
      <x:c r="F53" s="34" t="str">
        <x:f>'Evaluation Plan'!F53</x:f>
        <x:v>401</x:v>
      </x:c>
      <x:c r="G53" s="32" t="str">
        <x:f>'Evaluation Plan'!G53</x:f>
        <x:v>Exact matched-control scene and target; only the direct-name instruction wording changes.</x:v>
      </x:c>
      <x:c r="H53" s="32" t="str">
        <x:f>'Evaluation Plan'!H53</x:f>
        <x:v>crushed Pepsi can</x:v>
      </x:c>
      <x:c r="I53" s="32" t="str"/>
      <x:c r="J53" s="38" t="str">
        <x:f>'Evaluation Plan'!J53</x:f>
        <x:v>Language robustness</x:v>
      </x:c>
      <x:c r="K53" s="34" t="str">
        <x:f>'Evaluation Plan'!K53</x:f>
        <x:v>RD-CT08</x:v>
      </x:c>
      <x:c r="L53" s="34" t="str">
        <x:f>'Evaluation Plan'!L53</x:f>
        <x:v>direct-name paraphrase</x:v>
      </x:c>
      <x:c r="M53" s="34" t="str">
        <x:f>'Evaluation Plan'!M53</x:f>
        <x:v>crushed soda can</x:v>
      </x:c>
      <x:c r="N53" s="34" t="n">
        <x:f>'Evaluation Plan'!N53</x:f>
        <x:v>4</x:v>
      </x:c>
      <x:c r="O53" s="34" t="n">
        <x:f>'Evaluation Plan'!O53</x:f>
        <x:v>1</x:v>
      </x:c>
      <x:c r="P53" s="34" t="str">
        <x:f>'Evaluation Plan'!P53</x:f>
        <x:v>Empty</x:v>
      </x:c>
      <x:c r="Q53" s="32" t="str">
        <x:f>'Evaluation Plan'!Q53</x:f>
        <x:v>Matched-control direct-name prompt paraphrase</x:v>
      </x:c>
      <x:c r="R53" s="34" t="n">
        <x:f>'Evaluation Plan'!R53</x:f>
        <x:v>2</x:v>
      </x:c>
      <x:c r="S53" s="32" t="str">
        <x:f>'Evaluation Plan'!S53</x:f>
        <x:v>Reset the moved object exactly; preserve the scene; change only the wording.</x:v>
      </x:c>
      <x:c r="T53" s="32" t="str">
        <x:f>'Evaluation Plan'!T53</x:f>
        <x:v>One of 10 exact-scene paraphrases of matched manipulation controls.</x:v>
      </x:c>
      <x:c r="U53" s="32" t="n">
        <x:f>'Evaluation Plan'!U53</x:f>
        <x:v>0</x:v>
      </x:c>
    </x:row>
    <x:row r="54" ht="51" customHeight="1">
      <x:c r="A54" s="41" t="str">
        <x:v>Not collected</x:v>
      </x:c>
      <x:c r="B54" s="42" t="n">
        <x:f>'Evaluation Plan'!B54</x:f>
        <x:v>52</x:v>
      </x:c>
      <x:c r="C54" s="41" t="str">
        <x:f>'Evaluation Plan'!C54</x:f>
        <x:v>Move the pencil sharpener between the crushed Pepsi can and the airplane toy without propellers into the bowl.</x:v>
      </x:c>
      <x:c r="D54" s="41" t="str">
        <x:f>'Evaluation Plan'!D54</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4" s="42" t="str">
        <x:f>'Evaluation Plan'!E54</x:f>
      </x:c>
      <x:c r="F54" s="42" t="str">
        <x:f>'Evaluation Plan'!F54</x:f>
        <x:v>480</x:v>
      </x:c>
      <x:c r="G54" s="41" t="str">
        <x:f>'Evaluation Plan'!G54</x:f>
        <x:v>Masked source trajectory: the target identity and physical manipulation are trained under a direct-name prompt, while this relation × candidate-category composition is intentionally absent.</x:v>
      </x:c>
      <x:c r="H54" s="41" t="str">
        <x:f>'Evaluation Plan'!H54</x:f>
        <x:v>red pencil sharpener</x:v>
      </x:c>
      <x:c r="I54" s="41" t="str"/>
      <x:c r="J54" s="46" t="str">
        <x:f>'Evaluation Plan'!J54</x:f>
        <x:v>Concept/compositional transfer</x:v>
      </x:c>
      <x:c r="K54" s="42" t="str">
        <x:f>'Evaluation Plan'!K54</x:f>
        <x:v>RD-CT09</x:v>
      </x:c>
      <x:c r="L54" s="42" t="str">
        <x:f>'Evaluation Plan'!L54</x:f>
        <x:v>between</x:v>
      </x:c>
      <x:c r="M54" s="42" t="str">
        <x:f>'Evaluation Plan'!M54</x:f>
        <x:v>pencil sharpener</x:v>
      </x:c>
      <x:c r="N54" s="42" t="n">
        <x:f>'Evaluation Plan'!N54</x:f>
        <x:v>4</x:v>
      </x:c>
      <x:c r="O54" s="42" t="n">
        <x:f>'Evaluation Plan'!O54</x:f>
        <x:v>1</x:v>
      </x:c>
      <x:c r="P54" s="42" t="str">
        <x:f>'Evaluation Plan'!P54</x:f>
        <x:v>Empty</x:v>
      </x:c>
      <x:c r="Q54" s="41" t="str">
        <x:f>'Evaluation Plan'!Q54</x:f>
        <x:v>Primary held-out relation × candidate-category composition — Move</x:v>
      </x:c>
      <x:c r="R54" s="42" t="n">
        <x:f>'Evaluation Plan'!R54</x:f>
        <x:v>2</x:v>
      </x:c>
      <x:c r="S54" s="41" t="str">
        <x:f>'Evaluation Plan'!S54</x:f>
        <x:v>Build the listed relation scene with the bowl empty.</x:v>
      </x:c>
      <x:c r="T54" s="41" t="str">
        <x:f>'Evaluation Plan'!T54</x:f>
        <x:v>Both candidates are present. The held-out relation is the only information that identifies the target.</x:v>
      </x:c>
      <x:c r="U54" s="41" t="n">
        <x:f>'Evaluation Plan'!U54</x:f>
        <x:v>0</x:v>
      </x:c>
    </x:row>
    <x:row r="55" ht="51" customHeight="1">
      <x:c r="A55" s="32" t="str">
        <x:v>Not collected</x:v>
      </x:c>
      <x:c r="B55" s="34" t="n">
        <x:f>'Evaluation Plan'!B55</x:f>
        <x:v>53</x:v>
      </x:c>
      <x:c r="C55" s="32" t="str">
        <x:f>'Evaluation Plan'!C55</x:f>
        <x:v>Move the red pencil sharpener into the bowl.</x:v>
      </x:c>
      <x:c r="D55" s="32" t="str">
        <x:f>'Evaluation Plan'!D55</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5" s="34" t="n">
        <x:f>'Evaluation Plan'!E55</x:f>
        <x:v>52</x:v>
      </x:c>
      <x:c r="F55" s="34" t="str">
        <x:f>'Evaluation Plan'!F55</x:f>
        <x:v>480</x:v>
      </x:c>
      <x:c r="G55" s="32" t="str">
        <x:f>'Evaluation Plan'!G55</x:f>
        <x:v>Exact masked-cell training prompt for the same target identity. The evaluation scene and physical endpoint are identical to the paired transfer row.</x:v>
      </x:c>
      <x:c r="H55" s="32" t="str">
        <x:f>'Evaluation Plan'!H55</x:f>
        <x:v>red pencil sharpener</x:v>
      </x:c>
      <x:c r="I55" s="32" t="str"/>
      <x:c r="J55" s="37" t="str">
        <x:f>'Evaluation Plan'!J55</x:f>
        <x:v>Matched manipulation control</x:v>
      </x:c>
      <x:c r="K55" s="34" t="str">
        <x:f>'Evaluation Plan'!K55</x:f>
        <x:v>RD-CT09</x:v>
      </x:c>
      <x:c r="L55" s="34" t="str">
        <x:f>'Evaluation Plan'!L55</x:f>
        <x:v>direct name</x:v>
      </x:c>
      <x:c r="M55" s="34" t="str">
        <x:f>'Evaluation Plan'!M55</x:f>
        <x:v>pencil sharpener</x:v>
      </x:c>
      <x:c r="N55" s="34" t="n">
        <x:f>'Evaluation Plan'!N55</x:f>
        <x:v>4</x:v>
      </x:c>
      <x:c r="O55" s="34" t="n">
        <x:f>'Evaluation Plan'!O55</x:f>
        <x:v>1</x:v>
      </x:c>
      <x:c r="P55" s="34" t="str">
        <x:f>'Evaluation Plan'!P55</x:f>
        <x:v>Empty</x:v>
      </x:c>
      <x:c r="Q55" s="32" t="str">
        <x:f>'Evaluation Plan'!Q55</x:f>
        <x:v>Exact-scene direct-identity manipulation control</x:v>
      </x:c>
      <x:c r="R55" s="34" t="n">
        <x:f>'Evaluation Plan'!R55</x:f>
        <x:v>2</x:v>
      </x:c>
      <x:c r="S55" s="32" t="str">
        <x:f>'Evaluation Plan'!S55</x:f>
        <x:v>Reset the moved object exactly; preserve the scene; change only the instruction.</x:v>
      </x:c>
      <x:c r="T55" s="32" t="str">
        <x:f>'Evaluation Plan'!T55</x:f>
        <x:v>Controls recognition and manipulation of the same target without requiring referential reasoning.</x:v>
      </x:c>
      <x:c r="U55" s="32" t="n">
        <x:f>'Evaluation Plan'!U55</x:f>
        <x:v>0</x:v>
      </x:c>
    </x:row>
    <x:row r="56" ht="51" customHeight="1">
      <x:c r="A56" s="31" t="str">
        <x:v>Not collected</x:v>
      </x:c>
      <x:c r="B56" s="33" t="n">
        <x:f>'Evaluation Plan'!B56</x:f>
        <x:v>54</x:v>
      </x:c>
      <x:c r="C56" s="31" t="str">
        <x:f>'Evaluation Plan'!C56</x:f>
        <x:v>Move the pencil sharpener that lies on the segment joining the crushed Pepsi can and the airplane toy without propellers into the bowl.</x:v>
      </x:c>
      <x:c r="D56" s="31" t="str">
        <x:f>'Evaluation Plan'!D56</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6" s="33" t="n">
        <x:f>'Evaluation Plan'!E56</x:f>
        <x:v>52</x:v>
      </x:c>
      <x:c r="F56" s="33" t="str">
        <x:f>'Evaluation Plan'!F56</x:f>
        <x:v>480</x:v>
      </x:c>
      <x:c r="G56" s="31" t="str">
        <x:f>'Evaluation Plan'!G56</x:f>
        <x:v>Exact canonical transfer scene and masked trajectory reference; only the instruction wording changes. This remains a separate language diagnostic.</x:v>
      </x:c>
      <x:c r="H56" s="31" t="str">
        <x:f>'Evaluation Plan'!H56</x:f>
        <x:v>red pencil sharpener</x:v>
      </x:c>
      <x:c r="I56" s="31" t="str"/>
      <x:c r="J56" s="38" t="str">
        <x:f>'Evaluation Plan'!J56</x:f>
        <x:v>Language robustness</x:v>
      </x:c>
      <x:c r="K56" s="33" t="str">
        <x:f>'Evaluation Plan'!K56</x:f>
        <x:v>RD-CT09</x:v>
      </x:c>
      <x:c r="L56" s="33" t="str">
        <x:f>'Evaluation Plan'!L56</x:f>
        <x:v>between</x:v>
      </x:c>
      <x:c r="M56" s="33" t="str">
        <x:f>'Evaluation Plan'!M56</x:f>
        <x:v>pencil sharpener</x:v>
      </x:c>
      <x:c r="N56" s="33" t="n">
        <x:f>'Evaluation Plan'!N56</x:f>
        <x:v>4</x:v>
      </x:c>
      <x:c r="O56" s="33" t="n">
        <x:f>'Evaluation Plan'!O56</x:f>
        <x:v>1</x:v>
      </x:c>
      <x:c r="P56" s="33" t="str">
        <x:f>'Evaluation Plan'!P56</x:f>
        <x:v>Empty</x:v>
      </x:c>
      <x:c r="Q56" s="31" t="str">
        <x:f>'Evaluation Plan'!Q56</x:f>
        <x:v>Primary compositional-transfer prompt paraphrase</x:v>
      </x:c>
      <x:c r="R56" s="33" t="n">
        <x:f>'Evaluation Plan'!R56</x:f>
        <x:v>2</x:v>
      </x:c>
      <x:c r="S56" s="31" t="str">
        <x:f>'Evaluation Plan'!S56</x:f>
        <x:v>Reset the moved object exactly; preserve the scene; change only the wording.</x:v>
      </x:c>
      <x:c r="T56" s="31" t="str">
        <x:f>'Evaluation Plan'!T56</x:f>
        <x:v>One of 10 exact-scene paraphrases of canonical transfer trials.</x:v>
      </x:c>
      <x:c r="U56" s="31" t="n">
        <x:f>'Evaluation Plan'!U56</x:f>
        <x:v>0</x:v>
      </x:c>
    </x:row>
    <x:row r="57" ht="51" customHeight="1">
      <x:c r="A57" s="32" t="str">
        <x:v>Not collected</x:v>
      </x:c>
      <x:c r="B57" s="34" t="n">
        <x:f>'Evaluation Plan'!B57</x:f>
        <x:v>55</x:v>
      </x:c>
      <x:c r="C57" s="32" t="str">
        <x:f>'Evaluation Plan'!C57</x:f>
        <x:v>Set the red pencil sharpener inside the bowl.</x:v>
      </x:c>
      <x:c r="D57" s="32" t="str">
        <x:f>'Evaluation Plan'!D57</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Bowl: empty</x:v>
      </x:c>
      <x:c r="E57" s="34" t="n">
        <x:f>'Evaluation Plan'!E57</x:f>
        <x:v>53</x:v>
      </x:c>
      <x:c r="F57" s="34" t="str">
        <x:f>'Evaluation Plan'!F57</x:f>
        <x:v>480</x:v>
      </x:c>
      <x:c r="G57" s="32" t="str">
        <x:f>'Evaluation Plan'!G57</x:f>
        <x:v>Exact matched-control scene and target; only the direct-name instruction wording changes.</x:v>
      </x:c>
      <x:c r="H57" s="32" t="str">
        <x:f>'Evaluation Plan'!H57</x:f>
        <x:v>red pencil sharpener</x:v>
      </x:c>
      <x:c r="I57" s="32" t="str"/>
      <x:c r="J57" s="38" t="str">
        <x:f>'Evaluation Plan'!J57</x:f>
        <x:v>Language robustness</x:v>
      </x:c>
      <x:c r="K57" s="34" t="str">
        <x:f>'Evaluation Plan'!K57</x:f>
        <x:v>RD-CT09</x:v>
      </x:c>
      <x:c r="L57" s="34" t="str">
        <x:f>'Evaluation Plan'!L57</x:f>
        <x:v>direct-name paraphrase</x:v>
      </x:c>
      <x:c r="M57" s="34" t="str">
        <x:f>'Evaluation Plan'!M57</x:f>
        <x:v>pencil sharpener</x:v>
      </x:c>
      <x:c r="N57" s="34" t="n">
        <x:f>'Evaluation Plan'!N57</x:f>
        <x:v>4</x:v>
      </x:c>
      <x:c r="O57" s="34" t="n">
        <x:f>'Evaluation Plan'!O57</x:f>
        <x:v>1</x:v>
      </x:c>
      <x:c r="P57" s="34" t="str">
        <x:f>'Evaluation Plan'!P57</x:f>
        <x:v>Empty</x:v>
      </x:c>
      <x:c r="Q57" s="32" t="str">
        <x:f>'Evaluation Plan'!Q57</x:f>
        <x:v>Matched-control direct-name prompt paraphrase</x:v>
      </x:c>
      <x:c r="R57" s="34" t="n">
        <x:f>'Evaluation Plan'!R57</x:f>
        <x:v>2</x:v>
      </x:c>
      <x:c r="S57" s="32" t="str">
        <x:f>'Evaluation Plan'!S57</x:f>
        <x:v>Reset the moved object exactly; preserve the scene; change only the wording.</x:v>
      </x:c>
      <x:c r="T57" s="32" t="str">
        <x:f>'Evaluation Plan'!T57</x:f>
        <x:v>One of 10 exact-scene paraphrases of matched manipulation controls.</x:v>
      </x:c>
      <x:c r="U57" s="32" t="n">
        <x:f>'Evaluation Plan'!U57</x:f>
        <x:v>0</x:v>
      </x:c>
    </x:row>
    <x:row r="58" ht="51" customHeight="1">
      <x:c r="A58" s="41" t="str">
        <x:v>Not collected</x:v>
      </x:c>
      <x:c r="B58" s="42" t="n">
        <x:f>'Evaluation Plan'!B58</x:f>
        <x:v>56</x:v>
      </x:c>
      <x:c r="C58" s="41" t="str">
        <x:f>'Evaluation Plan'!C58</x:f>
        <x:v>Pick up the airplane toy furthest from the yellow pen and place it in the bowl.</x:v>
      </x:c>
      <x:c r="D58" s="41" t="str">
        <x:f>'Evaluation Plan'!D58</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58" s="42" t="str">
        <x:f>'Evaluation Plan'!E58</x:f>
      </x:c>
      <x:c r="F58" s="42" t="str">
        <x:f>'Evaluation Plan'!F58</x:f>
        <x:v>567</x:v>
      </x:c>
      <x:c r="G58" s="41" t="str">
        <x:f>'Evaluation Plan'!G58</x:f>
        <x:v>Masked source trajectory: the target identity and physical manipulation are trained under a direct-name prompt, while this relation × candidate-category composition is intentionally absent.</x:v>
      </x:c>
      <x:c r="H58" s="41" t="str">
        <x:f>'Evaluation Plan'!H58</x:f>
        <x:v>airplane toy without propellers</x:v>
      </x:c>
      <x:c r="I58" s="41" t="str"/>
      <x:c r="J58" s="46" t="str">
        <x:f>'Evaluation Plan'!J58</x:f>
        <x:v>Concept/compositional transfer</x:v>
      </x:c>
      <x:c r="K58" s="42" t="str">
        <x:f>'Evaluation Plan'!K58</x:f>
        <x:v>RD-CT10</x:v>
      </x:c>
      <x:c r="L58" s="42" t="str">
        <x:f>'Evaluation Plan'!L58</x:f>
        <x:v>furthest</x:v>
      </x:c>
      <x:c r="M58" s="42" t="str">
        <x:f>'Evaluation Plan'!M58</x:f>
        <x:v>airplane toy</x:v>
      </x:c>
      <x:c r="N58" s="42" t="n">
        <x:f>'Evaluation Plan'!N58</x:f>
        <x:v>4</x:v>
      </x:c>
      <x:c r="O58" s="42" t="n">
        <x:f>'Evaluation Plan'!O58</x:f>
        <x:v>1</x:v>
      </x:c>
      <x:c r="P58" s="42" t="str">
        <x:f>'Evaluation Plan'!P58</x:f>
        <x:v>Empty</x:v>
      </x:c>
      <x:c r="Q58" s="41" t="str">
        <x:f>'Evaluation Plan'!Q58</x:f>
        <x:v>Primary held-out relation × candidate-category composition — Pick up</x:v>
      </x:c>
      <x:c r="R58" s="42" t="n">
        <x:f>'Evaluation Plan'!R58</x:f>
        <x:v>2</x:v>
      </x:c>
      <x:c r="S58" s="41" t="str">
        <x:f>'Evaluation Plan'!S58</x:f>
        <x:v>Build the listed relation scene with the bowl empty.</x:v>
      </x:c>
      <x:c r="T58" s="41" t="str">
        <x:f>'Evaluation Plan'!T58</x:f>
        <x:v>Both candidates are present. The held-out relation is the only information that identifies the target.</x:v>
      </x:c>
      <x:c r="U58" s="41" t="n">
        <x:f>'Evaluation Plan'!U58</x:f>
        <x:v>0</x:v>
      </x:c>
    </x:row>
    <x:row r="59" ht="51" customHeight="1">
      <x:c r="A59" s="32" t="str">
        <x:v>Not collected</x:v>
      </x:c>
      <x:c r="B59" s="34" t="n">
        <x:f>'Evaluation Plan'!B59</x:f>
        <x:v>57</x:v>
      </x:c>
      <x:c r="C59" s="32" t="str">
        <x:f>'Evaluation Plan'!C59</x:f>
        <x:v>Put the airplane toy without propellers in the bowl.</x:v>
      </x:c>
      <x:c r="D59" s="32" t="str">
        <x:f>'Evaluation Plan'!D59</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59" s="34" t="n">
        <x:f>'Evaluation Plan'!E59</x:f>
        <x:v>56</x:v>
      </x:c>
      <x:c r="F59" s="34" t="str">
        <x:f>'Evaluation Plan'!F59</x:f>
        <x:v>567</x:v>
      </x:c>
      <x:c r="G59" s="32" t="str">
        <x:f>'Evaluation Plan'!G59</x:f>
        <x:v>Exact masked-cell training prompt for the same target identity. The evaluation scene and physical endpoint are identical to the paired transfer row.</x:v>
      </x:c>
      <x:c r="H59" s="32" t="str">
        <x:f>'Evaluation Plan'!H59</x:f>
        <x:v>airplane toy without propellers</x:v>
      </x:c>
      <x:c r="I59" s="32" t="str"/>
      <x:c r="J59" s="37" t="str">
        <x:f>'Evaluation Plan'!J59</x:f>
        <x:v>Matched manipulation control</x:v>
      </x:c>
      <x:c r="K59" s="34" t="str">
        <x:f>'Evaluation Plan'!K59</x:f>
        <x:v>RD-CT10</x:v>
      </x:c>
      <x:c r="L59" s="34" t="str">
        <x:f>'Evaluation Plan'!L59</x:f>
        <x:v>direct name</x:v>
      </x:c>
      <x:c r="M59" s="34" t="str">
        <x:f>'Evaluation Plan'!M59</x:f>
        <x:v>airplane toy</x:v>
      </x:c>
      <x:c r="N59" s="34" t="n">
        <x:f>'Evaluation Plan'!N59</x:f>
        <x:v>4</x:v>
      </x:c>
      <x:c r="O59" s="34" t="n">
        <x:f>'Evaluation Plan'!O59</x:f>
        <x:v>1</x:v>
      </x:c>
      <x:c r="P59" s="34" t="str">
        <x:f>'Evaluation Plan'!P59</x:f>
        <x:v>Empty</x:v>
      </x:c>
      <x:c r="Q59" s="32" t="str">
        <x:f>'Evaluation Plan'!Q59</x:f>
        <x:v>Exact-scene direct-identity manipulation control</x:v>
      </x:c>
      <x:c r="R59" s="34" t="n">
        <x:f>'Evaluation Plan'!R59</x:f>
        <x:v>2</x:v>
      </x:c>
      <x:c r="S59" s="32" t="str">
        <x:f>'Evaluation Plan'!S59</x:f>
        <x:v>Reset the moved object exactly; preserve the scene; change only the instruction.</x:v>
      </x:c>
      <x:c r="T59" s="32" t="str">
        <x:f>'Evaluation Plan'!T59</x:f>
        <x:v>Controls recognition and manipulation of the same target without requiring referential reasoning.</x:v>
      </x:c>
      <x:c r="U59" s="32" t="n">
        <x:f>'Evaluation Plan'!U59</x:f>
        <x:v>0</x:v>
      </x:c>
    </x:row>
    <x:row r="60" ht="51" customHeight="1">
      <x:c r="A60" s="31" t="str">
        <x:v>Not collected</x:v>
      </x:c>
      <x:c r="B60" s="33" t="n">
        <x:f>'Evaluation Plan'!B60</x:f>
        <x:v>58</x:v>
      </x:c>
      <x:c r="C60" s="31" t="str">
        <x:f>'Evaluation Plan'!C60</x:f>
        <x:v>Choose the airplane toy farthest from the yellow pen and put it in the bowl.</x:v>
      </x:c>
      <x:c r="D60" s="31" t="str">
        <x:f>'Evaluation Plan'!D60</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60" s="33" t="n">
        <x:f>'Evaluation Plan'!E60</x:f>
        <x:v>56</x:v>
      </x:c>
      <x:c r="F60" s="33" t="str">
        <x:f>'Evaluation Plan'!F60</x:f>
        <x:v>567</x:v>
      </x:c>
      <x:c r="G60" s="31" t="str">
        <x:f>'Evaluation Plan'!G60</x:f>
        <x:v>Exact canonical transfer scene and masked trajectory reference; only the instruction wording changes. This remains a separate language diagnostic.</x:v>
      </x:c>
      <x:c r="H60" s="31" t="str">
        <x:f>'Evaluation Plan'!H60</x:f>
        <x:v>airplane toy without propellers</x:v>
      </x:c>
      <x:c r="I60" s="31" t="str"/>
      <x:c r="J60" s="38" t="str">
        <x:f>'Evaluation Plan'!J60</x:f>
        <x:v>Language robustness</x:v>
      </x:c>
      <x:c r="K60" s="33" t="str">
        <x:f>'Evaluation Plan'!K60</x:f>
        <x:v>RD-CT10</x:v>
      </x:c>
      <x:c r="L60" s="33" t="str">
        <x:f>'Evaluation Plan'!L60</x:f>
        <x:v>furthest</x:v>
      </x:c>
      <x:c r="M60" s="33" t="str">
        <x:f>'Evaluation Plan'!M60</x:f>
        <x:v>airplane toy</x:v>
      </x:c>
      <x:c r="N60" s="33" t="n">
        <x:f>'Evaluation Plan'!N60</x:f>
        <x:v>4</x:v>
      </x:c>
      <x:c r="O60" s="33" t="n">
        <x:f>'Evaluation Plan'!O60</x:f>
        <x:v>1</x:v>
      </x:c>
      <x:c r="P60" s="33" t="str">
        <x:f>'Evaluation Plan'!P60</x:f>
        <x:v>Empty</x:v>
      </x:c>
      <x:c r="Q60" s="31" t="str">
        <x:f>'Evaluation Plan'!Q60</x:f>
        <x:v>Primary compositional-transfer prompt paraphrase</x:v>
      </x:c>
      <x:c r="R60" s="33" t="n">
        <x:f>'Evaluation Plan'!R60</x:f>
        <x:v>2</x:v>
      </x:c>
      <x:c r="S60" s="31" t="str">
        <x:f>'Evaluation Plan'!S60</x:f>
        <x:v>Reset the moved object exactly; preserve the scene; change only the wording.</x:v>
      </x:c>
      <x:c r="T60" s="31" t="str">
        <x:f>'Evaluation Plan'!T60</x:f>
        <x:v>One of 10 exact-scene paraphrases of canonical transfer trials.</x:v>
      </x:c>
      <x:c r="U60" s="31" t="n">
        <x:f>'Evaluation Plan'!U60</x:f>
        <x:v>0</x:v>
      </x:c>
    </x:row>
    <x:row r="61" ht="51" customHeight="1">
      <x:c r="A61" s="32" t="str">
        <x:v>Not collected</x:v>
      </x:c>
      <x:c r="B61" s="34" t="n">
        <x:f>'Evaluation Plan'!B61</x:f>
        <x:v>59</x:v>
      </x:c>
      <x:c r="C61" s="32" t="str">
        <x:f>'Evaluation Plan'!C61</x:f>
        <x:v>Take the airplane toy without propellers and set it in the bowl.</x:v>
      </x:c>
      <x:c r="D61" s="32" t="str">
        <x:f>'Evaluation Plan'!D61</x:f>
        <x:v>Reference: yellow pen at table centre; airplane toy with propellers: 10 cm away from the robot from the reference; airplane toy without propellers: 24 cm toward the robot from the reference; green pen: at the far robot-left corner, outside the distance comparison; Bowl: empty</x:v>
      </x:c>
      <x:c r="E61" s="34" t="n">
        <x:f>'Evaluation Plan'!E61</x:f>
        <x:v>57</x:v>
      </x:c>
      <x:c r="F61" s="34" t="str">
        <x:f>'Evaluation Plan'!F61</x:f>
        <x:v>567</x:v>
      </x:c>
      <x:c r="G61" s="32" t="str">
        <x:f>'Evaluation Plan'!G61</x:f>
        <x:v>Exact matched-control scene and target; only the direct-name instruction wording changes.</x:v>
      </x:c>
      <x:c r="H61" s="32" t="str">
        <x:f>'Evaluation Plan'!H61</x:f>
        <x:v>airplane toy without propellers</x:v>
      </x:c>
      <x:c r="I61" s="32" t="str"/>
      <x:c r="J61" s="38" t="str">
        <x:f>'Evaluation Plan'!J61</x:f>
        <x:v>Language robustness</x:v>
      </x:c>
      <x:c r="K61" s="34" t="str">
        <x:f>'Evaluation Plan'!K61</x:f>
        <x:v>RD-CT10</x:v>
      </x:c>
      <x:c r="L61" s="34" t="str">
        <x:f>'Evaluation Plan'!L61</x:f>
        <x:v>direct-name paraphrase</x:v>
      </x:c>
      <x:c r="M61" s="34" t="str">
        <x:f>'Evaluation Plan'!M61</x:f>
        <x:v>airplane toy</x:v>
      </x:c>
      <x:c r="N61" s="34" t="n">
        <x:f>'Evaluation Plan'!N61</x:f>
        <x:v>4</x:v>
      </x:c>
      <x:c r="O61" s="34" t="n">
        <x:f>'Evaluation Plan'!O61</x:f>
        <x:v>1</x:v>
      </x:c>
      <x:c r="P61" s="34" t="str">
        <x:f>'Evaluation Plan'!P61</x:f>
        <x:v>Empty</x:v>
      </x:c>
      <x:c r="Q61" s="32" t="str">
        <x:f>'Evaluation Plan'!Q61</x:f>
        <x:v>Matched-control direct-name prompt paraphrase</x:v>
      </x:c>
      <x:c r="R61" s="34" t="n">
        <x:f>'Evaluation Plan'!R61</x:f>
        <x:v>2</x:v>
      </x:c>
      <x:c r="S61" s="32" t="str">
        <x:f>'Evaluation Plan'!S61</x:f>
        <x:v>Reset the moved object exactly; preserve the scene; change only the wording.</x:v>
      </x:c>
      <x:c r="T61" s="32" t="str">
        <x:f>'Evaluation Plan'!T61</x:f>
        <x:v>One of 10 exact-scene paraphrases of matched manipulation controls.</x:v>
      </x:c>
      <x:c r="U61" s="32" t="n">
        <x:f>'Evaluation Plan'!U61</x:f>
        <x:v>0</x:v>
      </x:c>
    </x:row>
    <x:row r="62" ht="51" customHeight="1">
      <x:c r="A62" s="41" t="str">
        <x:v>Not collected</x:v>
      </x:c>
      <x:c r="B62" s="42" t="n">
        <x:f>'Evaluation Plan'!B62</x:f>
        <x:v>60</x:v>
      </x:c>
      <x:c r="C62" s="41" t="str">
        <x:f>'Evaluation Plan'!C62</x:f>
        <x:v>Pick up the crushed soda can closest to the yellow pen and place it in the bowl.</x:v>
      </x:c>
      <x:c r="D62" s="41" t="str">
        <x:f>'Evaluation Plan'!D62</x:f>
        <x:v>Reference: yellow pen at table centre; crushed Pepsi can: 10 cm away from the robot from the reference; crushed Coke can: 24 cm toward the robot from the reference; red pencil sharpener: at the far robot-left corner, outside the distance comparison; Bowl: empty</x:v>
      </x:c>
      <x:c r="E62" s="42" t="str">
        <x:f>'Evaluation Plan'!E62</x:f>
      </x:c>
      <x:c r="F62" s="42" t="str">
        <x:f>'Evaluation Plan'!F62</x:f>
        <x:v>403</x:v>
      </x:c>
      <x:c r="G62" s="41" t="str">
        <x:f>'Evaluation Plan'!G62</x:f>
        <x:v>Masked source trajectory: the target identity and physical manipulation are trained under a direct-name prompt, while this relation × candidate-category composition is intentionally absent.</x:v>
      </x:c>
      <x:c r="H62" s="41" t="str">
        <x:f>'Evaluation Plan'!H62</x:f>
        <x:v>crushed Pepsi can</x:v>
      </x:c>
      <x:c r="I62" s="41" t="str"/>
      <x:c r="J62" s="46" t="str">
        <x:f>'Evaluation Plan'!J62</x:f>
        <x:v>Concept/compositional transfer</x:v>
      </x:c>
      <x:c r="K62" s="42" t="str">
        <x:f>'Evaluation Plan'!K62</x:f>
        <x:v>RD-CT11</x:v>
      </x:c>
      <x:c r="L62" s="42" t="str">
        <x:f>'Evaluation Plan'!L62</x:f>
        <x:v>closest</x:v>
      </x:c>
      <x:c r="M62" s="42" t="str">
        <x:f>'Evaluation Plan'!M62</x:f>
        <x:v>crushed soda can</x:v>
      </x:c>
      <x:c r="N62" s="42" t="n">
        <x:f>'Evaluation Plan'!N62</x:f>
        <x:v>4</x:v>
      </x:c>
      <x:c r="O62" s="42" t="n">
        <x:f>'Evaluation Plan'!O62</x:f>
        <x:v>1</x:v>
      </x:c>
      <x:c r="P62" s="42" t="str">
        <x:f>'Evaluation Plan'!P62</x:f>
        <x:v>Empty</x:v>
      </x:c>
      <x:c r="Q62" s="41" t="str">
        <x:f>'Evaluation Plan'!Q62</x:f>
        <x:v>Primary held-out relation × candidate-category composition — Pick up</x:v>
      </x:c>
      <x:c r="R62" s="42" t="n">
        <x:f>'Evaluation Plan'!R62</x:f>
        <x:v>3</x:v>
      </x:c>
      <x:c r="S62" s="41" t="str">
        <x:f>'Evaluation Plan'!S62</x:f>
        <x:v>Build the listed relation scene with the bowl empty.</x:v>
      </x:c>
      <x:c r="T62" s="41" t="str">
        <x:f>'Evaluation Plan'!T62</x:f>
        <x:v>Both candidates are present. The held-out relation is the only information that identifies the target.</x:v>
      </x:c>
      <x:c r="U62" s="41" t="n">
        <x:f>'Evaluation Plan'!U62</x:f>
        <x:v>0</x:v>
      </x:c>
    </x:row>
    <x:row r="63" ht="51" customHeight="1">
      <x:c r="A63" s="32" t="str">
        <x:v>Not collected</x:v>
      </x:c>
      <x:c r="B63" s="34" t="n">
        <x:f>'Evaluation Plan'!B63</x:f>
        <x:v>61</x:v>
      </x:c>
      <x:c r="C63" s="32" t="str">
        <x:f>'Evaluation Plan'!C63</x:f>
        <x:v>Put the crushed Pepsi can in the bowl.</x:v>
      </x:c>
      <x:c r="D63" s="32" t="str">
        <x:f>'Evaluation Plan'!D63</x:f>
        <x:v>Reference: yellow pen at table centre; crushed Pepsi can: 10 cm away from the robot from the reference; crushed Coke can: 24 cm toward the robot from the reference; red pencil sharpener: at the far robot-left corner, outside the distance comparison; Bowl: empty</x:v>
      </x:c>
      <x:c r="E63" s="34" t="n">
        <x:f>'Evaluation Plan'!E63</x:f>
        <x:v>60</x:v>
      </x:c>
      <x:c r="F63" s="34" t="str">
        <x:f>'Evaluation Plan'!F63</x:f>
        <x:v>403</x:v>
      </x:c>
      <x:c r="G63" s="32" t="str">
        <x:f>'Evaluation Plan'!G63</x:f>
        <x:v>Exact masked-cell training prompt for the same target identity. The evaluation scene and physical endpoint are identical to the paired transfer row.</x:v>
      </x:c>
      <x:c r="H63" s="32" t="str">
        <x:f>'Evaluation Plan'!H63</x:f>
        <x:v>crushed Pepsi can</x:v>
      </x:c>
      <x:c r="I63" s="32" t="str"/>
      <x:c r="J63" s="37" t="str">
        <x:f>'Evaluation Plan'!J63</x:f>
        <x:v>Matched manipulation control</x:v>
      </x:c>
      <x:c r="K63" s="34" t="str">
        <x:f>'Evaluation Plan'!K63</x:f>
        <x:v>RD-CT11</x:v>
      </x:c>
      <x:c r="L63" s="34" t="str">
        <x:f>'Evaluation Plan'!L63</x:f>
        <x:v>direct name</x:v>
      </x:c>
      <x:c r="M63" s="34" t="str">
        <x:f>'Evaluation Plan'!M63</x:f>
        <x:v>crushed soda can</x:v>
      </x:c>
      <x:c r="N63" s="34" t="n">
        <x:f>'Evaluation Plan'!N63</x:f>
        <x:v>4</x:v>
      </x:c>
      <x:c r="O63" s="34" t="n">
        <x:f>'Evaluation Plan'!O63</x:f>
        <x:v>1</x:v>
      </x:c>
      <x:c r="P63" s="34" t="str">
        <x:f>'Evaluation Plan'!P63</x:f>
        <x:v>Empty</x:v>
      </x:c>
      <x:c r="Q63" s="32" t="str">
        <x:f>'Evaluation Plan'!Q63</x:f>
        <x:v>Exact-scene direct-identity manipulation control</x:v>
      </x:c>
      <x:c r="R63" s="34" t="n">
        <x:f>'Evaluation Plan'!R63</x:f>
        <x:v>3</x:v>
      </x:c>
      <x:c r="S63" s="32" t="str">
        <x:f>'Evaluation Plan'!S63</x:f>
        <x:v>Reset the moved object exactly; preserve the scene; change only the instruction.</x:v>
      </x:c>
      <x:c r="T63" s="32" t="str">
        <x:f>'Evaluation Plan'!T63</x:f>
        <x:v>Controls recognition and manipulation of the same target without requiring referential reasoning.</x:v>
      </x:c>
      <x:c r="U63" s="32" t="n">
        <x:f>'Evaluation Plan'!U63</x:f>
        <x:v>0</x:v>
      </x:c>
    </x:row>
    <x:row r="64" ht="51" customHeight="1">
      <x:c r="A64" s="41" t="str">
        <x:v>Not collected</x:v>
      </x:c>
      <x:c r="B64" s="42" t="n">
        <x:f>'Evaluation Plan'!B64</x:f>
        <x:v>62</x:v>
      </x:c>
      <x:c r="C64" s="41" t="str">
        <x:f>'Evaluation Plan'!C64</x:f>
        <x:v>Pick up the pencil sharpener between the green pen and the crushed Coke can and place it in the bowl.</x:v>
      </x:c>
      <x:c r="D64" s="41" t="str">
        <x:f>'Evaluation Plan'!D64</x:f>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Bowl: empty</x:v>
      </x:c>
      <x:c r="E64" s="42" t="str">
        <x:f>'Evaluation Plan'!E64</x:f>
      </x:c>
      <x:c r="F64" s="42" t="str">
        <x:f>'Evaluation Plan'!F64</x:f>
        <x:v>481</x:v>
      </x:c>
      <x:c r="G64" s="41" t="str">
        <x:f>'Evaluation Plan'!G64</x:f>
        <x:v>Masked source trajectory: the target identity and physical manipulation are trained under a direct-name prompt, while this relation × candidate-category composition is intentionally absent.</x:v>
      </x:c>
      <x:c r="H64" s="41" t="str">
        <x:f>'Evaluation Plan'!H64</x:f>
        <x:v>red pencil sharpener</x:v>
      </x:c>
      <x:c r="I64" s="41" t="str"/>
      <x:c r="J64" s="46" t="str">
        <x:f>'Evaluation Plan'!J64</x:f>
        <x:v>Concept/compositional transfer</x:v>
      </x:c>
      <x:c r="K64" s="42" t="str">
        <x:f>'Evaluation Plan'!K64</x:f>
        <x:v>RD-CT12</x:v>
      </x:c>
      <x:c r="L64" s="42" t="str">
        <x:f>'Evaluation Plan'!L64</x:f>
        <x:v>between</x:v>
      </x:c>
      <x:c r="M64" s="42" t="str">
        <x:f>'Evaluation Plan'!M64</x:f>
        <x:v>pencil sharpener</x:v>
      </x:c>
      <x:c r="N64" s="42" t="n">
        <x:f>'Evaluation Plan'!N64</x:f>
        <x:v>4</x:v>
      </x:c>
      <x:c r="O64" s="42" t="n">
        <x:f>'Evaluation Plan'!O64</x:f>
        <x:v>1</x:v>
      </x:c>
      <x:c r="P64" s="42" t="str">
        <x:f>'Evaluation Plan'!P64</x:f>
        <x:v>Empty</x:v>
      </x:c>
      <x:c r="Q64" s="41" t="str">
        <x:f>'Evaluation Plan'!Q64</x:f>
        <x:v>Primary held-out relation × candidate-category composition — Pick up</x:v>
      </x:c>
      <x:c r="R64" s="42" t="n">
        <x:f>'Evaluation Plan'!R64</x:f>
        <x:v>3</x:v>
      </x:c>
      <x:c r="S64" s="41" t="str">
        <x:f>'Evaluation Plan'!S64</x:f>
        <x:v>Build the listed relation scene with the bowl empty.</x:v>
      </x:c>
      <x:c r="T64" s="41" t="str">
        <x:f>'Evaluation Plan'!T64</x:f>
        <x:v>Both candidates are present. The held-out relation is the only information that identifies the target.</x:v>
      </x:c>
      <x:c r="U64" s="41" t="n">
        <x:f>'Evaluation Plan'!U64</x:f>
        <x:v>0</x:v>
      </x:c>
    </x:row>
    <x:row r="65" ht="51" customHeight="1">
      <x:c r="A65" s="32" t="str">
        <x:v>Not collected</x:v>
      </x:c>
      <x:c r="B65" s="34" t="n">
        <x:f>'Evaluation Plan'!B65</x:f>
        <x:v>63</x:v>
      </x:c>
      <x:c r="C65" s="32" t="str">
        <x:f>'Evaluation Plan'!C65</x:f>
        <x:v>Put the red pencil sharpener in the bowl.</x:v>
      </x:c>
      <x:c r="D65" s="32" t="str">
        <x:f>'Evaluation Plan'!D65</x:f>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Bowl: empty</x:v>
      </x:c>
      <x:c r="E65" s="34" t="n">
        <x:f>'Evaluation Plan'!E65</x:f>
        <x:v>62</x:v>
      </x:c>
      <x:c r="F65" s="34" t="str">
        <x:f>'Evaluation Plan'!F65</x:f>
        <x:v>481</x:v>
      </x:c>
      <x:c r="G65" s="32" t="str">
        <x:f>'Evaluation Plan'!G65</x:f>
        <x:v>Exact masked-cell training prompt for the same target identity. The evaluation scene and physical endpoint are identical to the paired transfer row.</x:v>
      </x:c>
      <x:c r="H65" s="32" t="str">
        <x:f>'Evaluation Plan'!H65</x:f>
        <x:v>red pencil sharpener</x:v>
      </x:c>
      <x:c r="I65" s="32" t="str"/>
      <x:c r="J65" s="37" t="str">
        <x:f>'Evaluation Plan'!J65</x:f>
        <x:v>Matched manipulation control</x:v>
      </x:c>
      <x:c r="K65" s="34" t="str">
        <x:f>'Evaluation Plan'!K65</x:f>
        <x:v>RD-CT12</x:v>
      </x:c>
      <x:c r="L65" s="34" t="str">
        <x:f>'Evaluation Plan'!L65</x:f>
        <x:v>direct name</x:v>
      </x:c>
      <x:c r="M65" s="34" t="str">
        <x:f>'Evaluation Plan'!M65</x:f>
        <x:v>pencil sharpener</x:v>
      </x:c>
      <x:c r="N65" s="34" t="n">
        <x:f>'Evaluation Plan'!N65</x:f>
        <x:v>4</x:v>
      </x:c>
      <x:c r="O65" s="34" t="n">
        <x:f>'Evaluation Plan'!O65</x:f>
        <x:v>1</x:v>
      </x:c>
      <x:c r="P65" s="34" t="str">
        <x:f>'Evaluation Plan'!P65</x:f>
        <x:v>Empty</x:v>
      </x:c>
      <x:c r="Q65" s="32" t="str">
        <x:f>'Evaluation Plan'!Q65</x:f>
        <x:v>Exact-scene direct-identity manipulation control</x:v>
      </x:c>
      <x:c r="R65" s="34" t="n">
        <x:f>'Evaluation Plan'!R65</x:f>
        <x:v>3</x:v>
      </x:c>
      <x:c r="S65" s="32" t="str">
        <x:f>'Evaluation Plan'!S65</x:f>
        <x:v>Reset the moved object exactly; preserve the scene; change only the instruction.</x:v>
      </x:c>
      <x:c r="T65" s="32" t="str">
        <x:f>'Evaluation Plan'!T65</x:f>
        <x:v>Controls recognition and manipulation of the same target without requiring referential reasoning.</x:v>
      </x:c>
      <x:c r="U65" s="32" t="n">
        <x:f>'Evaluation Plan'!U65</x:f>
        <x:v>0</x:v>
      </x:c>
    </x:row>
    <x:row r="66" ht="51" customHeight="1">
      <x:c r="A66" s="41" t="str">
        <x:v>Not collected</x:v>
      </x:c>
      <x:c r="B66" s="42" t="n">
        <x:f>'Evaluation Plan'!B66</x:f>
        <x:v>64</x:v>
      </x:c>
      <x:c r="C66" s="41" t="str">
        <x:f>'Evaluation Plan'!C66</x:f>
        <x:v>Put the airplane toy furthest from the crushed Pepsi can in the bowl.</x:v>
      </x:c>
      <x:c r="D66" s="41" t="str">
        <x:f>'Evaluation Plan'!D66</x:f>
        <x:v>Reference: crushed Pepsi can at table centre; airplane toy without propellers: 10 cm toward robot-left from the reference; airplane toy with propellers: 24 cm away toward robot-right from the reference; red pencil sharpener: at the far robot-left corner, outside the distance comparison; Bowl: empty</x:v>
      </x:c>
      <x:c r="E66" s="42" t="str">
        <x:f>'Evaluation Plan'!E66</x:f>
      </x:c>
      <x:c r="F66" s="42" t="str">
        <x:f>'Evaluation Plan'!F66</x:f>
        <x:v>570</x:v>
      </x:c>
      <x:c r="G66" s="41" t="str">
        <x:f>'Evaluation Plan'!G66</x:f>
        <x:v>Masked source trajectory: the target identity and physical manipulation are trained under a direct-name prompt, while this relation × candidate-category composition is intentionally absent.</x:v>
      </x:c>
      <x:c r="H66" s="41" t="str">
        <x:f>'Evaluation Plan'!H66</x:f>
        <x:v>airplane toy with propellers</x:v>
      </x:c>
      <x:c r="I66" s="41" t="str"/>
      <x:c r="J66" s="46" t="str">
        <x:f>'Evaluation Plan'!J66</x:f>
        <x:v>Concept/compositional transfer</x:v>
      </x:c>
      <x:c r="K66" s="42" t="str">
        <x:f>'Evaluation Plan'!K66</x:f>
        <x:v>RD-CT13</x:v>
      </x:c>
      <x:c r="L66" s="42" t="str">
        <x:f>'Evaluation Plan'!L66</x:f>
        <x:v>furthest</x:v>
      </x:c>
      <x:c r="M66" s="42" t="str">
        <x:f>'Evaluation Plan'!M66</x:f>
        <x:v>airplane toy</x:v>
      </x:c>
      <x:c r="N66" s="42" t="n">
        <x:f>'Evaluation Plan'!N66</x:f>
        <x:v>4</x:v>
      </x:c>
      <x:c r="O66" s="42" t="n">
        <x:f>'Evaluation Plan'!O66</x:f>
        <x:v>1</x:v>
      </x:c>
      <x:c r="P66" s="42" t="str">
        <x:f>'Evaluation Plan'!P66</x:f>
        <x:v>Empty</x:v>
      </x:c>
      <x:c r="Q66" s="41" t="str">
        <x:f>'Evaluation Plan'!Q66</x:f>
        <x:v>Primary held-out relation × candidate-category composition — Put</x:v>
      </x:c>
      <x:c r="R66" s="42" t="n">
        <x:f>'Evaluation Plan'!R66</x:f>
        <x:v>3</x:v>
      </x:c>
      <x:c r="S66" s="41" t="str">
        <x:f>'Evaluation Plan'!S66</x:f>
        <x:v>Build the listed relation scene with the bowl empty.</x:v>
      </x:c>
      <x:c r="T66" s="41" t="str">
        <x:f>'Evaluation Plan'!T66</x:f>
        <x:v>Both candidates are present. The held-out relation is the only information that identifies the target.</x:v>
      </x:c>
      <x:c r="U66" s="41" t="n">
        <x:f>'Evaluation Plan'!U66</x:f>
        <x:v>0</x:v>
      </x:c>
    </x:row>
    <x:row r="67" ht="51" customHeight="1">
      <x:c r="A67" s="32" t="str">
        <x:v>Not collected</x:v>
      </x:c>
      <x:c r="B67" s="34" t="n">
        <x:f>'Evaluation Plan'!B67</x:f>
        <x:v>65</x:v>
      </x:c>
      <x:c r="C67" s="32" t="str">
        <x:f>'Evaluation Plan'!C67</x:f>
        <x:v>Put the airplane toy with propellers in the bowl.</x:v>
      </x:c>
      <x:c r="D67" s="32" t="str">
        <x:f>'Evaluation Plan'!D67</x:f>
        <x:v>Reference: crushed Pepsi can at table centre; airplane toy without propellers: 10 cm toward robot-left from the reference; airplane toy with propellers: 24 cm away toward robot-right from the reference; red pencil sharpener: at the far robot-left corner, outside the distance comparison; Bowl: empty</x:v>
      </x:c>
      <x:c r="E67" s="34" t="n">
        <x:f>'Evaluation Plan'!E67</x:f>
        <x:v>64</x:v>
      </x:c>
      <x:c r="F67" s="34" t="str">
        <x:f>'Evaluation Plan'!F67</x:f>
        <x:v>570</x:v>
      </x:c>
      <x:c r="G67" s="32" t="str">
        <x:f>'Evaluation Plan'!G67</x:f>
        <x:v>Exact masked-cell training prompt for the same target identity. The evaluation scene and physical endpoint are identical to the paired transfer row.</x:v>
      </x:c>
      <x:c r="H67" s="32" t="str">
        <x:f>'Evaluation Plan'!H67</x:f>
        <x:v>airplane toy with propellers</x:v>
      </x:c>
      <x:c r="I67" s="32" t="str"/>
      <x:c r="J67" s="37" t="str">
        <x:f>'Evaluation Plan'!J67</x:f>
        <x:v>Matched manipulation control</x:v>
      </x:c>
      <x:c r="K67" s="34" t="str">
        <x:f>'Evaluation Plan'!K67</x:f>
        <x:v>RD-CT13</x:v>
      </x:c>
      <x:c r="L67" s="34" t="str">
        <x:f>'Evaluation Plan'!L67</x:f>
        <x:v>direct name</x:v>
      </x:c>
      <x:c r="M67" s="34" t="str">
        <x:f>'Evaluation Plan'!M67</x:f>
        <x:v>airplane toy</x:v>
      </x:c>
      <x:c r="N67" s="34" t="n">
        <x:f>'Evaluation Plan'!N67</x:f>
        <x:v>4</x:v>
      </x:c>
      <x:c r="O67" s="34" t="n">
        <x:f>'Evaluation Plan'!O67</x:f>
        <x:v>1</x:v>
      </x:c>
      <x:c r="P67" s="34" t="str">
        <x:f>'Evaluation Plan'!P67</x:f>
        <x:v>Empty</x:v>
      </x:c>
      <x:c r="Q67" s="32" t="str">
        <x:f>'Evaluation Plan'!Q67</x:f>
        <x:v>Exact-scene direct-identity manipulation control</x:v>
      </x:c>
      <x:c r="R67" s="34" t="n">
        <x:f>'Evaluation Plan'!R67</x:f>
        <x:v>3</x:v>
      </x:c>
      <x:c r="S67" s="32" t="str">
        <x:f>'Evaluation Plan'!S67</x:f>
        <x:v>Reset the moved object exactly; preserve the scene; change only the instruction.</x:v>
      </x:c>
      <x:c r="T67" s="32" t="str">
        <x:f>'Evaluation Plan'!T67</x:f>
        <x:v>Controls recognition and manipulation of the same target without requiring referential reasoning.</x:v>
      </x:c>
      <x:c r="U67" s="32" t="n">
        <x:f>'Evaluation Plan'!U67</x:f>
        <x:v>0</x:v>
      </x:c>
    </x:row>
    <x:row r="68" ht="51" customHeight="1">
      <x:c r="A68" s="41" t="str">
        <x:v>Not collected</x:v>
      </x:c>
      <x:c r="B68" s="42" t="n">
        <x:f>'Evaluation Plan'!B68</x:f>
        <x:v>66</x:v>
      </x:c>
      <x:c r="C68" s="41" t="str">
        <x:f>'Evaluation Plan'!C68</x:f>
        <x:v>Put the crushed soda can closest to the airplane toy without propellers in the bowl.</x:v>
      </x:c>
      <x:c r="D68" s="41" t="str">
        <x:f>'Evaluation Plan'!D68</x:f>
        <x:v>Reference: airplane toy without propellers at table centre; crushed Coke can: 10 cm toward robot-left from the reference; crushed Pepsi can: 24 cm away toward robot-right from the reference; airplane toy with propellers: at the far robot-left corner, outside the distance comparison; Bowl: empty</x:v>
      </x:c>
      <x:c r="E68" s="42" t="str">
        <x:f>'Evaluation Plan'!E68</x:f>
      </x:c>
      <x:c r="F68" s="42" t="str">
        <x:f>'Evaluation Plan'!F68</x:f>
        <x:v>404</x:v>
      </x:c>
      <x:c r="G68" s="41" t="str">
        <x:f>'Evaluation Plan'!G68</x:f>
        <x:v>Masked source trajectory: the target identity and physical manipulation are trained under a direct-name prompt, while this relation × candidate-category composition is intentionally absent.</x:v>
      </x:c>
      <x:c r="H68" s="41" t="str">
        <x:f>'Evaluation Plan'!H68</x:f>
        <x:v>crushed Coke can</x:v>
      </x:c>
      <x:c r="I68" s="41" t="str"/>
      <x:c r="J68" s="46" t="str">
        <x:f>'Evaluation Plan'!J68</x:f>
        <x:v>Concept/compositional transfer</x:v>
      </x:c>
      <x:c r="K68" s="42" t="str">
        <x:f>'Evaluation Plan'!K68</x:f>
        <x:v>RD-CT14</x:v>
      </x:c>
      <x:c r="L68" s="42" t="str">
        <x:f>'Evaluation Plan'!L68</x:f>
        <x:v>closest</x:v>
      </x:c>
      <x:c r="M68" s="42" t="str">
        <x:f>'Evaluation Plan'!M68</x:f>
        <x:v>crushed soda can</x:v>
      </x:c>
      <x:c r="N68" s="42" t="n">
        <x:f>'Evaluation Plan'!N68</x:f>
        <x:v>4</x:v>
      </x:c>
      <x:c r="O68" s="42" t="n">
        <x:f>'Evaluation Plan'!O68</x:f>
        <x:v>1</x:v>
      </x:c>
      <x:c r="P68" s="42" t="str">
        <x:f>'Evaluation Plan'!P68</x:f>
        <x:v>Empty</x:v>
      </x:c>
      <x:c r="Q68" s="41" t="str">
        <x:f>'Evaluation Plan'!Q68</x:f>
        <x:v>Primary held-out relation × candidate-category composition — Put</x:v>
      </x:c>
      <x:c r="R68" s="42" t="n">
        <x:f>'Evaluation Plan'!R68</x:f>
        <x:v>3</x:v>
      </x:c>
      <x:c r="S68" s="41" t="str">
        <x:f>'Evaluation Plan'!S68</x:f>
        <x:v>Build the listed relation scene with the bowl empty.</x:v>
      </x:c>
      <x:c r="T68" s="41" t="str">
        <x:f>'Evaluation Plan'!T68</x:f>
        <x:v>Both candidates are present. The held-out relation is the only information that identifies the target.</x:v>
      </x:c>
      <x:c r="U68" s="41" t="n">
        <x:f>'Evaluation Plan'!U68</x:f>
        <x:v>0</x:v>
      </x:c>
    </x:row>
    <x:row r="69" ht="51" customHeight="1">
      <x:c r="A69" s="32" t="str">
        <x:v>Not collected</x:v>
      </x:c>
      <x:c r="B69" s="34" t="n">
        <x:f>'Evaluation Plan'!B69</x:f>
        <x:v>67</x:v>
      </x:c>
      <x:c r="C69" s="32" t="str">
        <x:f>'Evaluation Plan'!C69</x:f>
        <x:v>Pick up the crushed Coke can and place it in the bowl.</x:v>
      </x:c>
      <x:c r="D69" s="32" t="str">
        <x:f>'Evaluation Plan'!D69</x:f>
        <x:v>Reference: airplane toy without propellers at table centre; crushed Coke can: 10 cm toward robot-left from the reference; crushed Pepsi can: 24 cm away toward robot-right from the reference; airplane toy with propellers: at the far robot-left corner, outside the distance comparison; Bowl: empty</x:v>
      </x:c>
      <x:c r="E69" s="34" t="n">
        <x:f>'Evaluation Plan'!E69</x:f>
        <x:v>66</x:v>
      </x:c>
      <x:c r="F69" s="34" t="str">
        <x:f>'Evaluation Plan'!F69</x:f>
        <x:v>404</x:v>
      </x:c>
      <x:c r="G69" s="32" t="str">
        <x:f>'Evaluation Plan'!G69</x:f>
        <x:v>Exact masked-cell training prompt for the same target identity. The evaluation scene and physical endpoint are identical to the paired transfer row.</x:v>
      </x:c>
      <x:c r="H69" s="32" t="str">
        <x:f>'Evaluation Plan'!H69</x:f>
        <x:v>crushed Coke can</x:v>
      </x:c>
      <x:c r="I69" s="32" t="str"/>
      <x:c r="J69" s="37" t="str">
        <x:f>'Evaluation Plan'!J69</x:f>
        <x:v>Matched manipulation control</x:v>
      </x:c>
      <x:c r="K69" s="34" t="str">
        <x:f>'Evaluation Plan'!K69</x:f>
        <x:v>RD-CT14</x:v>
      </x:c>
      <x:c r="L69" s="34" t="str">
        <x:f>'Evaluation Plan'!L69</x:f>
        <x:v>direct name</x:v>
      </x:c>
      <x:c r="M69" s="34" t="str">
        <x:f>'Evaluation Plan'!M69</x:f>
        <x:v>crushed soda can</x:v>
      </x:c>
      <x:c r="N69" s="34" t="n">
        <x:f>'Evaluation Plan'!N69</x:f>
        <x:v>4</x:v>
      </x:c>
      <x:c r="O69" s="34" t="n">
        <x:f>'Evaluation Plan'!O69</x:f>
        <x:v>1</x:v>
      </x:c>
      <x:c r="P69" s="34" t="str">
        <x:f>'Evaluation Plan'!P69</x:f>
        <x:v>Empty</x:v>
      </x:c>
      <x:c r="Q69" s="32" t="str">
        <x:f>'Evaluation Plan'!Q69</x:f>
        <x:v>Exact-scene direct-identity manipulation control</x:v>
      </x:c>
      <x:c r="R69" s="34" t="n">
        <x:f>'Evaluation Plan'!R69</x:f>
        <x:v>3</x:v>
      </x:c>
      <x:c r="S69" s="32" t="str">
        <x:f>'Evaluation Plan'!S69</x:f>
        <x:v>Reset the moved object exactly; preserve the scene; change only the instruction.</x:v>
      </x:c>
      <x:c r="T69" s="32" t="str">
        <x:f>'Evaluation Plan'!T69</x:f>
        <x:v>Controls recognition and manipulation of the same target without requiring referential reasoning.</x:v>
      </x:c>
      <x:c r="U69" s="32" t="n">
        <x:f>'Evaluation Plan'!U69</x:f>
        <x:v>0</x:v>
      </x:c>
    </x:row>
    <x:row r="70" ht="51" customHeight="1">
      <x:c r="A70" s="41" t="str">
        <x:v>Not collected</x:v>
      </x:c>
      <x:c r="B70" s="42" t="n">
        <x:f>'Evaluation Plan'!B70</x:f>
        <x:v>68</x:v>
      </x:c>
      <x:c r="C70" s="41" t="str">
        <x:f>'Evaluation Plan'!C70</x:f>
        <x:v>Put the pencil sharpener between the airplane toy with propellers and the yellow pen in the bowl.</x:v>
      </x:c>
      <x:c r="D70" s="41" t="str">
        <x:f>'Evaluation Plan'!D70</x:f>
        <x:v>Reference A: airplane toy with propellers at 14 cm to robot-left of table centre; Reference B: yellow pen at 14 cm to robot-right of table centre; green pencil sharpener: at table centre on the straight Reference A–B segment; red pencil sharpener: 12 cm toward the robot from table centre, off the Reference A–B segment; Bowl: empty</x:v>
      </x:c>
      <x:c r="E70" s="42" t="str">
        <x:f>'Evaluation Plan'!E70</x:f>
      </x:c>
      <x:c r="F70" s="42" t="str">
        <x:f>'Evaluation Plan'!F70</x:f>
        <x:v>485</x:v>
      </x:c>
      <x:c r="G70" s="41" t="str">
        <x:f>'Evaluation Plan'!G70</x:f>
        <x:v>Masked source trajectory: the target identity and physical manipulation are trained under a direct-name prompt, while this relation × candidate-category composition is intentionally absent.</x:v>
      </x:c>
      <x:c r="H70" s="41" t="str">
        <x:f>'Evaluation Plan'!H70</x:f>
        <x:v>green pencil sharpener</x:v>
      </x:c>
      <x:c r="I70" s="41" t="str"/>
      <x:c r="J70" s="46" t="str">
        <x:f>'Evaluation Plan'!J70</x:f>
        <x:v>Concept/compositional transfer</x:v>
      </x:c>
      <x:c r="K70" s="42" t="str">
        <x:f>'Evaluation Plan'!K70</x:f>
        <x:v>RD-CT15</x:v>
      </x:c>
      <x:c r="L70" s="42" t="str">
        <x:f>'Evaluation Plan'!L70</x:f>
        <x:v>between</x:v>
      </x:c>
      <x:c r="M70" s="42" t="str">
        <x:f>'Evaluation Plan'!M70</x:f>
        <x:v>pencil sharpener</x:v>
      </x:c>
      <x:c r="N70" s="42" t="n">
        <x:f>'Evaluation Plan'!N70</x:f>
        <x:v>4</x:v>
      </x:c>
      <x:c r="O70" s="42" t="n">
        <x:f>'Evaluation Plan'!O70</x:f>
        <x:v>1</x:v>
      </x:c>
      <x:c r="P70" s="42" t="str">
        <x:f>'Evaluation Plan'!P70</x:f>
        <x:v>Empty</x:v>
      </x:c>
      <x:c r="Q70" s="41" t="str">
        <x:f>'Evaluation Plan'!Q70</x:f>
        <x:v>Primary held-out relation × candidate-category composition — Put</x:v>
      </x:c>
      <x:c r="R70" s="42" t="n">
        <x:f>'Evaluation Plan'!R70</x:f>
        <x:v>3</x:v>
      </x:c>
      <x:c r="S70" s="41" t="str">
        <x:f>'Evaluation Plan'!S70</x:f>
        <x:v>Build the listed relation scene with the bowl empty.</x:v>
      </x:c>
      <x:c r="T70" s="41" t="str">
        <x:f>'Evaluation Plan'!T70</x:f>
        <x:v>Both candidates are present. The held-out relation is the only information that identifies the target.</x:v>
      </x:c>
      <x:c r="U70" s="41" t="n">
        <x:f>'Evaluation Plan'!U70</x:f>
        <x:v>0</x:v>
      </x:c>
    </x:row>
    <x:row r="71" ht="51" customHeight="1">
      <x:c r="A71" s="32" t="str">
        <x:v>Not collected</x:v>
      </x:c>
      <x:c r="B71" s="34" t="n">
        <x:f>'Evaluation Plan'!B71</x:f>
        <x:v>69</x:v>
      </x:c>
      <x:c r="C71" s="32" t="str">
        <x:f>'Evaluation Plan'!C71</x:f>
        <x:v>Pick up the green pencil sharpener and place it in the bowl.</x:v>
      </x:c>
      <x:c r="D71" s="32" t="str">
        <x:f>'Evaluation Plan'!D71</x:f>
        <x:v>Reference A: airplane toy with propellers at 14 cm to robot-left of table centre; Reference B: yellow pen at 14 cm to robot-right of table centre; green pencil sharpener: at table centre on the straight Reference A–B segment; red pencil sharpener: 12 cm toward the robot from table centre, off the Reference A–B segment; Bowl: empty</x:v>
      </x:c>
      <x:c r="E71" s="34" t="n">
        <x:f>'Evaluation Plan'!E71</x:f>
        <x:v>68</x:v>
      </x:c>
      <x:c r="F71" s="34" t="str">
        <x:f>'Evaluation Plan'!F71</x:f>
        <x:v>485</x:v>
      </x:c>
      <x:c r="G71" s="32" t="str">
        <x:f>'Evaluation Plan'!G71</x:f>
        <x:v>Exact masked-cell training prompt for the same target identity. The evaluation scene and physical endpoint are identical to the paired transfer row.</x:v>
      </x:c>
      <x:c r="H71" s="32" t="str">
        <x:f>'Evaluation Plan'!H71</x:f>
        <x:v>green pencil sharpener</x:v>
      </x:c>
      <x:c r="I71" s="32" t="str"/>
      <x:c r="J71" s="37" t="str">
        <x:f>'Evaluation Plan'!J71</x:f>
        <x:v>Matched manipulation control</x:v>
      </x:c>
      <x:c r="K71" s="34" t="str">
        <x:f>'Evaluation Plan'!K71</x:f>
        <x:v>RD-CT15</x:v>
      </x:c>
      <x:c r="L71" s="34" t="str">
        <x:f>'Evaluation Plan'!L71</x:f>
        <x:v>direct name</x:v>
      </x:c>
      <x:c r="M71" s="34" t="str">
        <x:f>'Evaluation Plan'!M71</x:f>
        <x:v>pencil sharpener</x:v>
      </x:c>
      <x:c r="N71" s="34" t="n">
        <x:f>'Evaluation Plan'!N71</x:f>
        <x:v>4</x:v>
      </x:c>
      <x:c r="O71" s="34" t="n">
        <x:f>'Evaluation Plan'!O71</x:f>
        <x:v>1</x:v>
      </x:c>
      <x:c r="P71" s="34" t="str">
        <x:f>'Evaluation Plan'!P71</x:f>
        <x:v>Empty</x:v>
      </x:c>
      <x:c r="Q71" s="32" t="str">
        <x:f>'Evaluation Plan'!Q71</x:f>
        <x:v>Exact-scene direct-identity manipulation control</x:v>
      </x:c>
      <x:c r="R71" s="34" t="n">
        <x:f>'Evaluation Plan'!R71</x:f>
        <x:v>3</x:v>
      </x:c>
      <x:c r="S71" s="32" t="str">
        <x:f>'Evaluation Plan'!S71</x:f>
        <x:v>Reset the moved object exactly; preserve the scene; change only the instruction.</x:v>
      </x:c>
      <x:c r="T71" s="32" t="str">
        <x:f>'Evaluation Plan'!T71</x:f>
        <x:v>Controls recognition and manipulation of the same target without requiring referential reasoning.</x:v>
      </x:c>
      <x:c r="U71" s="32" t="n">
        <x:f>'Evaluation Plan'!U71</x:f>
        <x:v>0</x:v>
      </x:c>
    </x:row>
    <x:row r="72" ht="51" customHeight="1">
      <x:c r="A72" s="41" t="str">
        <x:v>Not collected</x:v>
      </x:c>
      <x:c r="B72" s="42" t="n">
        <x:f>'Evaluation Plan'!B72</x:f>
        <x:v>70</x:v>
      </x:c>
      <x:c r="C72" s="41" t="str">
        <x:f>'Evaluation Plan'!C72</x:f>
        <x:v>Move the airplane toy furthest from the red pencil sharpener into the bowl.</x:v>
      </x:c>
      <x:c r="D72" s="41" t="str">
        <x:f>'Evaluation Plan'!D72</x:f>
        <x:v>Reference: red pencil sharpener at table centre; airplane toy without propellers: 10 cm toward robot-right from the reference; airplane toy with propellers: 24 cm away toward robot-left from the reference; crushed Coke can: at the far robot-left corner, outside the distance comparison; Bowl: empty</x:v>
      </x:c>
      <x:c r="E72" s="42" t="str">
        <x:f>'Evaluation Plan'!E72</x:f>
      </x:c>
      <x:c r="F72" s="42" t="str">
        <x:f>'Evaluation Plan'!F72</x:f>
        <x:v>572</x:v>
      </x:c>
      <x:c r="G72" s="41" t="str">
        <x:f>'Evaluation Plan'!G72</x:f>
        <x:v>Masked source trajectory: the target identity and physical manipulation are trained under a direct-name prompt, while this relation × candidate-category composition is intentionally absent.</x:v>
      </x:c>
      <x:c r="H72" s="41" t="str">
        <x:f>'Evaluation Plan'!H72</x:f>
        <x:v>airplane toy with propellers</x:v>
      </x:c>
      <x:c r="I72" s="41" t="str"/>
      <x:c r="J72" s="46" t="str">
        <x:f>'Evaluation Plan'!J72</x:f>
        <x:v>Concept/compositional transfer</x:v>
      </x:c>
      <x:c r="K72" s="42" t="str">
        <x:f>'Evaluation Plan'!K72</x:f>
        <x:v>RD-CT16</x:v>
      </x:c>
      <x:c r="L72" s="42" t="str">
        <x:f>'Evaluation Plan'!L72</x:f>
        <x:v>furthest</x:v>
      </x:c>
      <x:c r="M72" s="42" t="str">
        <x:f>'Evaluation Plan'!M72</x:f>
        <x:v>airplane toy</x:v>
      </x:c>
      <x:c r="N72" s="42" t="n">
        <x:f>'Evaluation Plan'!N72</x:f>
        <x:v>4</x:v>
      </x:c>
      <x:c r="O72" s="42" t="n">
        <x:f>'Evaluation Plan'!O72</x:f>
        <x:v>1</x:v>
      </x:c>
      <x:c r="P72" s="42" t="str">
        <x:f>'Evaluation Plan'!P72</x:f>
        <x:v>Empty</x:v>
      </x:c>
      <x:c r="Q72" s="41" t="str">
        <x:f>'Evaluation Plan'!Q72</x:f>
        <x:v>Primary held-out relation × candidate-category composition — Move</x:v>
      </x:c>
      <x:c r="R72" s="42" t="n">
        <x:f>'Evaluation Plan'!R72</x:f>
        <x:v>3</x:v>
      </x:c>
      <x:c r="S72" s="41" t="str">
        <x:f>'Evaluation Plan'!S72</x:f>
        <x:v>Build the listed relation scene with the bowl empty.</x:v>
      </x:c>
      <x:c r="T72" s="41" t="str">
        <x:f>'Evaluation Plan'!T72</x:f>
        <x:v>Both candidates are present. The held-out relation is the only information that identifies the target.</x:v>
      </x:c>
      <x:c r="U72" s="41" t="n">
        <x:f>'Evaluation Plan'!U72</x:f>
        <x:v>0</x:v>
      </x:c>
    </x:row>
    <x:row r="73" ht="51" customHeight="1">
      <x:c r="A73" s="32" t="str">
        <x:v>Not collected</x:v>
      </x:c>
      <x:c r="B73" s="34" t="n">
        <x:f>'Evaluation Plan'!B73</x:f>
        <x:v>71</x:v>
      </x:c>
      <x:c r="C73" s="32" t="str">
        <x:f>'Evaluation Plan'!C73</x:f>
        <x:v>Move the airplane toy with propellers into the bowl.</x:v>
      </x:c>
      <x:c r="D73" s="32" t="str">
        <x:f>'Evaluation Plan'!D73</x:f>
        <x:v>Reference: red pencil sharpener at table centre; airplane toy without propellers: 10 cm toward robot-right from the reference; airplane toy with propellers: 24 cm away toward robot-left from the reference; crushed Coke can: at the far robot-left corner, outside the distance comparison; Bowl: empty</x:v>
      </x:c>
      <x:c r="E73" s="34" t="n">
        <x:f>'Evaluation Plan'!E73</x:f>
        <x:v>70</x:v>
      </x:c>
      <x:c r="F73" s="34" t="str">
        <x:f>'Evaluation Plan'!F73</x:f>
        <x:v>572</x:v>
      </x:c>
      <x:c r="G73" s="32" t="str">
        <x:f>'Evaluation Plan'!G73</x:f>
        <x:v>Exact masked-cell training prompt for the same target identity. The evaluation scene and physical endpoint are identical to the paired transfer row.</x:v>
      </x:c>
      <x:c r="H73" s="32" t="str">
        <x:f>'Evaluation Plan'!H73</x:f>
        <x:v>airplane toy with propellers</x:v>
      </x:c>
      <x:c r="I73" s="32" t="str"/>
      <x:c r="J73" s="37" t="str">
        <x:f>'Evaluation Plan'!J73</x:f>
        <x:v>Matched manipulation control</x:v>
      </x:c>
      <x:c r="K73" s="34" t="str">
        <x:f>'Evaluation Plan'!K73</x:f>
        <x:v>RD-CT16</x:v>
      </x:c>
      <x:c r="L73" s="34" t="str">
        <x:f>'Evaluation Plan'!L73</x:f>
        <x:v>direct name</x:v>
      </x:c>
      <x:c r="M73" s="34" t="str">
        <x:f>'Evaluation Plan'!M73</x:f>
        <x:v>airplane toy</x:v>
      </x:c>
      <x:c r="N73" s="34" t="n">
        <x:f>'Evaluation Plan'!N73</x:f>
        <x:v>4</x:v>
      </x:c>
      <x:c r="O73" s="34" t="n">
        <x:f>'Evaluation Plan'!O73</x:f>
        <x:v>1</x:v>
      </x:c>
      <x:c r="P73" s="34" t="str">
        <x:f>'Evaluation Plan'!P73</x:f>
        <x:v>Empty</x:v>
      </x:c>
      <x:c r="Q73" s="32" t="str">
        <x:f>'Evaluation Plan'!Q73</x:f>
        <x:v>Exact-scene direct-identity manipulation control</x:v>
      </x:c>
      <x:c r="R73" s="34" t="n">
        <x:f>'Evaluation Plan'!R73</x:f>
        <x:v>3</x:v>
      </x:c>
      <x:c r="S73" s="32" t="str">
        <x:f>'Evaluation Plan'!S73</x:f>
        <x:v>Reset the moved object exactly; preserve the scene; change only the instruction.</x:v>
      </x:c>
      <x:c r="T73" s="32" t="str">
        <x:f>'Evaluation Plan'!T73</x:f>
        <x:v>Controls recognition and manipulation of the same target without requiring referential reasoning.</x:v>
      </x:c>
      <x:c r="U73" s="32" t="n">
        <x:f>'Evaluation Plan'!U73</x:f>
        <x:v>0</x:v>
      </x:c>
    </x:row>
    <x:row r="74" ht="51" customHeight="1">
      <x:c r="A74" s="41" t="str">
        <x:v>Not collected</x:v>
      </x:c>
      <x:c r="B74" s="42" t="n">
        <x:f>'Evaluation Plan'!B74</x:f>
        <x:v>72</x:v>
      </x:c>
      <x:c r="C74" s="41" t="str">
        <x:f>'Evaluation Plan'!C74</x:f>
        <x:v>Move the crushed soda can closest to the red pencil sharpener into the bowl.</x:v>
      </x:c>
      <x:c r="D74" s="41" t="str">
        <x:f>'Evaluation Plan'!D74</x:f>
        <x:v>Reference: red pencil sharpener at table centre; crushed Coke can: 10 cm toward robot-right from the reference; crushed Pepsi can: 24 cm away toward robot-left from the reference; yellow pen: at the far robot-left corner, outside the distance comparison; Bowl: empty</x:v>
      </x:c>
      <x:c r="E74" s="42" t="str">
        <x:f>'Evaluation Plan'!E74</x:f>
      </x:c>
      <x:c r="F74" s="42" t="str">
        <x:f>'Evaluation Plan'!F74</x:f>
        <x:v>406</x:v>
      </x:c>
      <x:c r="G74" s="41" t="str">
        <x:f>'Evaluation Plan'!G74</x:f>
        <x:v>Masked source trajectory: the target identity and physical manipulation are trained under a direct-name prompt, while this relation × candidate-category composition is intentionally absent.</x:v>
      </x:c>
      <x:c r="H74" s="41" t="str">
        <x:f>'Evaluation Plan'!H74</x:f>
        <x:v>crushed Coke can</x:v>
      </x:c>
      <x:c r="I74" s="41" t="str"/>
      <x:c r="J74" s="46" t="str">
        <x:f>'Evaluation Plan'!J74</x:f>
        <x:v>Concept/compositional transfer</x:v>
      </x:c>
      <x:c r="K74" s="42" t="str">
        <x:f>'Evaluation Plan'!K74</x:f>
        <x:v>RD-CT17</x:v>
      </x:c>
      <x:c r="L74" s="42" t="str">
        <x:f>'Evaluation Plan'!L74</x:f>
        <x:v>closest</x:v>
      </x:c>
      <x:c r="M74" s="42" t="str">
        <x:f>'Evaluation Plan'!M74</x:f>
        <x:v>crushed soda can</x:v>
      </x:c>
      <x:c r="N74" s="42" t="n">
        <x:f>'Evaluation Plan'!N74</x:f>
        <x:v>4</x:v>
      </x:c>
      <x:c r="O74" s="42" t="n">
        <x:f>'Evaluation Plan'!O74</x:f>
        <x:v>1</x:v>
      </x:c>
      <x:c r="P74" s="42" t="str">
        <x:f>'Evaluation Plan'!P74</x:f>
        <x:v>Empty</x:v>
      </x:c>
      <x:c r="Q74" s="41" t="str">
        <x:f>'Evaluation Plan'!Q74</x:f>
        <x:v>Primary held-out relation × candidate-category composition — Move</x:v>
      </x:c>
      <x:c r="R74" s="42" t="n">
        <x:f>'Evaluation Plan'!R74</x:f>
        <x:v>3</x:v>
      </x:c>
      <x:c r="S74" s="41" t="str">
        <x:f>'Evaluation Plan'!S74</x:f>
        <x:v>Build the listed relation scene with the bowl empty.</x:v>
      </x:c>
      <x:c r="T74" s="41" t="str">
        <x:f>'Evaluation Plan'!T74</x:f>
        <x:v>Both candidates are present. The held-out relation is the only information that identifies the target.</x:v>
      </x:c>
      <x:c r="U74" s="41" t="n">
        <x:f>'Evaluation Plan'!U74</x:f>
        <x:v>0</x:v>
      </x:c>
    </x:row>
    <x:row r="75" ht="51" customHeight="1">
      <x:c r="A75" s="32" t="str">
        <x:v>Not collected</x:v>
      </x:c>
      <x:c r="B75" s="34" t="n">
        <x:f>'Evaluation Plan'!B75</x:f>
        <x:v>73</x:v>
      </x:c>
      <x:c r="C75" s="32" t="str">
        <x:f>'Evaluation Plan'!C75</x:f>
        <x:v>Put the crushed Coke can in the bowl.</x:v>
      </x:c>
      <x:c r="D75" s="32" t="str">
        <x:f>'Evaluation Plan'!D75</x:f>
        <x:v>Reference: red pencil sharpener at table centre; crushed Coke can: 10 cm toward robot-right from the reference; crushed Pepsi can: 24 cm away toward robot-left from the reference; yellow pen: at the far robot-left corner, outside the distance comparison; Bowl: empty</x:v>
      </x:c>
      <x:c r="E75" s="34" t="n">
        <x:f>'Evaluation Plan'!E75</x:f>
        <x:v>72</x:v>
      </x:c>
      <x:c r="F75" s="34" t="str">
        <x:f>'Evaluation Plan'!F75</x:f>
        <x:v>406</x:v>
      </x:c>
      <x:c r="G75" s="32" t="str">
        <x:f>'Evaluation Plan'!G75</x:f>
        <x:v>Exact masked-cell training prompt for the same target identity. The evaluation scene and physical endpoint are identical to the paired transfer row.</x:v>
      </x:c>
      <x:c r="H75" s="32" t="str">
        <x:f>'Evaluation Plan'!H75</x:f>
        <x:v>crushed Coke can</x:v>
      </x:c>
      <x:c r="I75" s="32" t="str"/>
      <x:c r="J75" s="37" t="str">
        <x:f>'Evaluation Plan'!J75</x:f>
        <x:v>Matched manipulation control</x:v>
      </x:c>
      <x:c r="K75" s="34" t="str">
        <x:f>'Evaluation Plan'!K75</x:f>
        <x:v>RD-CT17</x:v>
      </x:c>
      <x:c r="L75" s="34" t="str">
        <x:f>'Evaluation Plan'!L75</x:f>
        <x:v>direct name</x:v>
      </x:c>
      <x:c r="M75" s="34" t="str">
        <x:f>'Evaluation Plan'!M75</x:f>
        <x:v>crushed soda can</x:v>
      </x:c>
      <x:c r="N75" s="34" t="n">
        <x:f>'Evaluation Plan'!N75</x:f>
        <x:v>4</x:v>
      </x:c>
      <x:c r="O75" s="34" t="n">
        <x:f>'Evaluation Plan'!O75</x:f>
        <x:v>1</x:v>
      </x:c>
      <x:c r="P75" s="34" t="str">
        <x:f>'Evaluation Plan'!P75</x:f>
        <x:v>Empty</x:v>
      </x:c>
      <x:c r="Q75" s="32" t="str">
        <x:f>'Evaluation Plan'!Q75</x:f>
        <x:v>Exact-scene direct-identity manipulation control</x:v>
      </x:c>
      <x:c r="R75" s="34" t="n">
        <x:f>'Evaluation Plan'!R75</x:f>
        <x:v>3</x:v>
      </x:c>
      <x:c r="S75" s="32" t="str">
        <x:f>'Evaluation Plan'!S75</x:f>
        <x:v>Reset the moved object exactly; preserve the scene; change only the instruction.</x:v>
      </x:c>
      <x:c r="T75" s="32" t="str">
        <x:f>'Evaluation Plan'!T75</x:f>
        <x:v>Controls recognition and manipulation of the same target without requiring referential reasoning.</x:v>
      </x:c>
      <x:c r="U75" s="32" t="n">
        <x:f>'Evaluation Plan'!U75</x:f>
        <x:v>0</x:v>
      </x:c>
    </x:row>
    <x:row r="76" ht="51" customHeight="1">
      <x:c r="A76" s="41" t="str">
        <x:v>Not collected</x:v>
      </x:c>
      <x:c r="B76" s="42" t="n">
        <x:f>'Evaluation Plan'!B76</x:f>
        <x:v>74</x:v>
      </x:c>
      <x:c r="C76" s="41" t="str">
        <x:f>'Evaluation Plan'!C76</x:f>
        <x:v>Move the pencil sharpener between the crushed Pepsi can and the airplane toy without propellers into the bowl.</x:v>
      </x:c>
      <x:c r="D76" s="41" t="str">
        <x:f>'Evaluation Plan'!D76</x:f>
        <x:v>Reference A: crushed Pepsi can at 14 cm toward the robot from table centre; Reference B: airplane toy without propellers at 14 cm away from the robot from table centre; green pencil sharpener: at table centre on the straight Reference A–B segment; red pencil sharpener: 12 cm to robot-right of table centre, off the Reference A–B segment; Bowl: empty</x:v>
      </x:c>
      <x:c r="E76" s="42" t="str">
        <x:f>'Evaluation Plan'!E76</x:f>
      </x:c>
      <x:c r="F76" s="42" t="str">
        <x:f>'Evaluation Plan'!F76</x:f>
        <x:v>487</x:v>
      </x:c>
      <x:c r="G76" s="41" t="str">
        <x:f>'Evaluation Plan'!G76</x:f>
        <x:v>Masked source trajectory: the target identity and physical manipulation are trained under a direct-name prompt, while this relation × candidate-category composition is intentionally absent.</x:v>
      </x:c>
      <x:c r="H76" s="41" t="str">
        <x:f>'Evaluation Plan'!H76</x:f>
        <x:v>green pencil sharpener</x:v>
      </x:c>
      <x:c r="I76" s="41" t="str"/>
      <x:c r="J76" s="46" t="str">
        <x:f>'Evaluation Plan'!J76</x:f>
        <x:v>Concept/compositional transfer</x:v>
      </x:c>
      <x:c r="K76" s="42" t="str">
        <x:f>'Evaluation Plan'!K76</x:f>
        <x:v>RD-CT18</x:v>
      </x:c>
      <x:c r="L76" s="42" t="str">
        <x:f>'Evaluation Plan'!L76</x:f>
        <x:v>between</x:v>
      </x:c>
      <x:c r="M76" s="42" t="str">
        <x:f>'Evaluation Plan'!M76</x:f>
        <x:v>pencil sharpener</x:v>
      </x:c>
      <x:c r="N76" s="42" t="n">
        <x:f>'Evaluation Plan'!N76</x:f>
        <x:v>4</x:v>
      </x:c>
      <x:c r="O76" s="42" t="n">
        <x:f>'Evaluation Plan'!O76</x:f>
        <x:v>1</x:v>
      </x:c>
      <x:c r="P76" s="42" t="str">
        <x:f>'Evaluation Plan'!P76</x:f>
        <x:v>Empty</x:v>
      </x:c>
      <x:c r="Q76" s="41" t="str">
        <x:f>'Evaluation Plan'!Q76</x:f>
        <x:v>Primary held-out relation × candidate-category composition — Move</x:v>
      </x:c>
      <x:c r="R76" s="42" t="n">
        <x:f>'Evaluation Plan'!R76</x:f>
        <x:v>3</x:v>
      </x:c>
      <x:c r="S76" s="41" t="str">
        <x:f>'Evaluation Plan'!S76</x:f>
        <x:v>Build the listed relation scene with the bowl empty.</x:v>
      </x:c>
      <x:c r="T76" s="41" t="str">
        <x:f>'Evaluation Plan'!T76</x:f>
        <x:v>Both candidates are present. The held-out relation is the only information that identifies the target.</x:v>
      </x:c>
      <x:c r="U76" s="41" t="n">
        <x:f>'Evaluation Plan'!U76</x:f>
        <x:v>0</x:v>
      </x:c>
    </x:row>
    <x:row r="77" ht="51" customHeight="1">
      <x:c r="A77" s="32" t="str">
        <x:v>Not collected</x:v>
      </x:c>
      <x:c r="B77" s="34" t="n">
        <x:f>'Evaluation Plan'!B77</x:f>
        <x:v>75</x:v>
      </x:c>
      <x:c r="C77" s="32" t="str">
        <x:f>'Evaluation Plan'!C77</x:f>
        <x:v>Put the green pencil sharpener in the bowl.</x:v>
      </x:c>
      <x:c r="D77" s="32" t="str">
        <x:f>'Evaluation Plan'!D77</x:f>
        <x:v>Reference A: crushed Pepsi can at 14 cm toward the robot from table centre; Reference B: airplane toy without propellers at 14 cm away from the robot from table centre; green pencil sharpener: at table centre on the straight Reference A–B segment; red pencil sharpener: 12 cm to robot-right of table centre, off the Reference A–B segment; Bowl: empty</x:v>
      </x:c>
      <x:c r="E77" s="34" t="n">
        <x:f>'Evaluation Plan'!E77</x:f>
        <x:v>74</x:v>
      </x:c>
      <x:c r="F77" s="34" t="str">
        <x:f>'Evaluation Plan'!F77</x:f>
        <x:v>487</x:v>
      </x:c>
      <x:c r="G77" s="32" t="str">
        <x:f>'Evaluation Plan'!G77</x:f>
        <x:v>Exact masked-cell training prompt for the same target identity. The evaluation scene and physical endpoint are identical to the paired transfer row.</x:v>
      </x:c>
      <x:c r="H77" s="32" t="str">
        <x:f>'Evaluation Plan'!H77</x:f>
        <x:v>green pencil sharpener</x:v>
      </x:c>
      <x:c r="I77" s="32" t="str"/>
      <x:c r="J77" s="37" t="str">
        <x:f>'Evaluation Plan'!J77</x:f>
        <x:v>Matched manipulation control</x:v>
      </x:c>
      <x:c r="K77" s="34" t="str">
        <x:f>'Evaluation Plan'!K77</x:f>
        <x:v>RD-CT18</x:v>
      </x:c>
      <x:c r="L77" s="34" t="str">
        <x:f>'Evaluation Plan'!L77</x:f>
        <x:v>direct name</x:v>
      </x:c>
      <x:c r="M77" s="34" t="str">
        <x:f>'Evaluation Plan'!M77</x:f>
        <x:v>pencil sharpener</x:v>
      </x:c>
      <x:c r="N77" s="34" t="n">
        <x:f>'Evaluation Plan'!N77</x:f>
        <x:v>4</x:v>
      </x:c>
      <x:c r="O77" s="34" t="n">
        <x:f>'Evaluation Plan'!O77</x:f>
        <x:v>1</x:v>
      </x:c>
      <x:c r="P77" s="34" t="str">
        <x:f>'Evaluation Plan'!P77</x:f>
        <x:v>Empty</x:v>
      </x:c>
      <x:c r="Q77" s="32" t="str">
        <x:f>'Evaluation Plan'!Q77</x:f>
        <x:v>Exact-scene direct-identity manipulation control</x:v>
      </x:c>
      <x:c r="R77" s="34" t="n">
        <x:f>'Evaluation Plan'!R77</x:f>
        <x:v>3</x:v>
      </x:c>
      <x:c r="S77" s="32" t="str">
        <x:f>'Evaluation Plan'!S77</x:f>
        <x:v>Reset the moved object exactly; preserve the scene; change only the instruction.</x:v>
      </x:c>
      <x:c r="T77" s="32" t="str">
        <x:f>'Evaluation Plan'!T77</x:f>
        <x:v>Controls recognition and manipulation of the same target without requiring referential reasoning.</x:v>
      </x:c>
      <x:c r="U77" s="32" t="n">
        <x:f>'Evaluation Plan'!U77</x:f>
        <x:v>0</x:v>
      </x:c>
    </x:row>
    <x:row r="78" ht="51" customHeight="1">
      <x:c r="A78" s="41" t="str">
        <x:v>Not collected</x:v>
      </x:c>
      <x:c r="B78" s="42" t="n">
        <x:f>'Evaluation Plan'!B78</x:f>
        <x:v>76</x:v>
      </x:c>
      <x:c r="C78" s="41" t="str">
        <x:f>'Evaluation Plan'!C78</x:f>
        <x:v>Pick up the airplane toy furthest from the green pen and place it in the bowl.</x:v>
      </x:c>
      <x:c r="D78" s="41" t="str">
        <x:f>'Evaluation Plan'!D78</x:f>
        <x:v>Reference: green pen at table centre; airplane toy with propellers: 10 cm to robot-left of the reference; airplane toy without propellers: 24 cm to robot-right of the reference; red pencil sharpener: at the far robot-left corner, outside the distance comparison; Bowl: empty</x:v>
      </x:c>
      <x:c r="E78" s="42" t="str">
        <x:f>'Evaluation Plan'!E78</x:f>
      </x:c>
      <x:c r="F78" s="42" t="str">
        <x:f>'Evaluation Plan'!F78</x:f>
        <x:v>569</x:v>
      </x:c>
      <x:c r="G78" s="41" t="str">
        <x:f>'Evaluation Plan'!G78</x:f>
        <x:v>Masked source trajectory: the target identity and physical manipulation are trained under a direct-name prompt, while this relation × candidate-category composition is intentionally absent.</x:v>
      </x:c>
      <x:c r="H78" s="41" t="str">
        <x:f>'Evaluation Plan'!H78</x:f>
        <x:v>airplane toy without propellers</x:v>
      </x:c>
      <x:c r="I78" s="41" t="str"/>
      <x:c r="J78" s="46" t="str">
        <x:f>'Evaluation Plan'!J78</x:f>
        <x:v>Concept/compositional transfer</x:v>
      </x:c>
      <x:c r="K78" s="42" t="str">
        <x:f>'Evaluation Plan'!K78</x:f>
        <x:v>RD-CT19</x:v>
      </x:c>
      <x:c r="L78" s="42" t="str">
        <x:f>'Evaluation Plan'!L78</x:f>
        <x:v>furthest</x:v>
      </x:c>
      <x:c r="M78" s="42" t="str">
        <x:f>'Evaluation Plan'!M78</x:f>
        <x:v>airplane toy</x:v>
      </x:c>
      <x:c r="N78" s="42" t="n">
        <x:f>'Evaluation Plan'!N78</x:f>
        <x:v>4</x:v>
      </x:c>
      <x:c r="O78" s="42" t="n">
        <x:f>'Evaluation Plan'!O78</x:f>
        <x:v>1</x:v>
      </x:c>
      <x:c r="P78" s="42" t="str">
        <x:f>'Evaluation Plan'!P78</x:f>
        <x:v>Empty</x:v>
      </x:c>
      <x:c r="Q78" s="41" t="str">
        <x:f>'Evaluation Plan'!Q78</x:f>
        <x:v>Primary held-out relation × candidate-category composition — Pick up</x:v>
      </x:c>
      <x:c r="R78" s="42" t="n">
        <x:f>'Evaluation Plan'!R78</x:f>
        <x:v>3</x:v>
      </x:c>
      <x:c r="S78" s="41" t="str">
        <x:f>'Evaluation Plan'!S78</x:f>
        <x:v>Build the listed relation scene with the bowl empty.</x:v>
      </x:c>
      <x:c r="T78" s="41" t="str">
        <x:f>'Evaluation Plan'!T78</x:f>
        <x:v>Both candidates are present. The held-out relation is the only information that identifies the target.</x:v>
      </x:c>
      <x:c r="U78" s="41" t="n">
        <x:f>'Evaluation Plan'!U78</x:f>
        <x:v>0</x:v>
      </x:c>
    </x:row>
    <x:row r="79" ht="51" customHeight="1">
      <x:c r="A79" s="32" t="str">
        <x:v>Not collected</x:v>
      </x:c>
      <x:c r="B79" s="34" t="n">
        <x:f>'Evaluation Plan'!B79</x:f>
        <x:v>77</x:v>
      </x:c>
      <x:c r="C79" s="32" t="str">
        <x:f>'Evaluation Plan'!C79</x:f>
        <x:v>Put the airplane toy without propellers in the bowl.</x:v>
      </x:c>
      <x:c r="D79" s="32" t="str">
        <x:f>'Evaluation Plan'!D79</x:f>
        <x:v>Reference: green pen at table centre; airplane toy with propellers: 10 cm to robot-left of the reference; airplane toy without propellers: 24 cm to robot-right of the reference; red pencil sharpener: at the far robot-left corner, outside the distance comparison; Bowl: empty</x:v>
      </x:c>
      <x:c r="E79" s="34" t="n">
        <x:f>'Evaluation Plan'!E79</x:f>
        <x:v>76</x:v>
      </x:c>
      <x:c r="F79" s="34" t="str">
        <x:f>'Evaluation Plan'!F79</x:f>
        <x:v>569</x:v>
      </x:c>
      <x:c r="G79" s="32" t="str">
        <x:f>'Evaluation Plan'!G79</x:f>
        <x:v>Exact masked-cell training prompt for the same target identity. The evaluation scene and physical endpoint are identical to the paired transfer row.</x:v>
      </x:c>
      <x:c r="H79" s="32" t="str">
        <x:f>'Evaluation Plan'!H79</x:f>
        <x:v>airplane toy without propellers</x:v>
      </x:c>
      <x:c r="I79" s="32" t="str"/>
      <x:c r="J79" s="37" t="str">
        <x:f>'Evaluation Plan'!J79</x:f>
        <x:v>Matched manipulation control</x:v>
      </x:c>
      <x:c r="K79" s="34" t="str">
        <x:f>'Evaluation Plan'!K79</x:f>
        <x:v>RD-CT19</x:v>
      </x:c>
      <x:c r="L79" s="34" t="str">
        <x:f>'Evaluation Plan'!L79</x:f>
        <x:v>direct name</x:v>
      </x:c>
      <x:c r="M79" s="34" t="str">
        <x:f>'Evaluation Plan'!M79</x:f>
        <x:v>airplane toy</x:v>
      </x:c>
      <x:c r="N79" s="34" t="n">
        <x:f>'Evaluation Plan'!N79</x:f>
        <x:v>4</x:v>
      </x:c>
      <x:c r="O79" s="34" t="n">
        <x:f>'Evaluation Plan'!O79</x:f>
        <x:v>1</x:v>
      </x:c>
      <x:c r="P79" s="34" t="str">
        <x:f>'Evaluation Plan'!P79</x:f>
        <x:v>Empty</x:v>
      </x:c>
      <x:c r="Q79" s="32" t="str">
        <x:f>'Evaluation Plan'!Q79</x:f>
        <x:v>Exact-scene direct-identity manipulation control</x:v>
      </x:c>
      <x:c r="R79" s="34" t="n">
        <x:f>'Evaluation Plan'!R79</x:f>
        <x:v>3</x:v>
      </x:c>
      <x:c r="S79" s="32" t="str">
        <x:f>'Evaluation Plan'!S79</x:f>
        <x:v>Reset the moved object exactly; preserve the scene; change only the instruction.</x:v>
      </x:c>
      <x:c r="T79" s="32" t="str">
        <x:f>'Evaluation Plan'!T79</x:f>
        <x:v>Controls recognition and manipulation of the same target without requiring referential reasoning.</x:v>
      </x:c>
      <x:c r="U79" s="32" t="n">
        <x:f>'Evaluation Plan'!U79</x:f>
        <x:v>0</x:v>
      </x:c>
    </x:row>
    <x:row r="80" ht="51" customHeight="1">
      <x:c r="A80" s="41" t="str">
        <x:v>Not collected</x:v>
      </x:c>
      <x:c r="B80" s="42" t="n">
        <x:f>'Evaluation Plan'!B80</x:f>
        <x:v>78</x:v>
      </x:c>
      <x:c r="C80" s="41" t="str">
        <x:f>'Evaluation Plan'!C80</x:f>
        <x:v>Pick up the crushed soda can closest to the green pen and place it in the bowl.</x:v>
      </x:c>
      <x:c r="D80" s="41" t="str">
        <x:f>'Evaluation Plan'!D80</x:f>
        <x:v>Reference: green pen at table centre; crushed Pepsi can: 10 cm to robot-left of the reference; crushed Coke can: 24 cm to robot-right of the reference; green pencil sharpener: at the far robot-left corner, outside the distance comparison; Bowl: empty</x:v>
      </x:c>
      <x:c r="E80" s="42" t="str">
        <x:f>'Evaluation Plan'!E80</x:f>
      </x:c>
      <x:c r="F80" s="42" t="str">
        <x:f>'Evaluation Plan'!F80</x:f>
        <x:v>405</x:v>
      </x:c>
      <x:c r="G80" s="41" t="str">
        <x:f>'Evaluation Plan'!G80</x:f>
        <x:v>Masked source trajectory: the target identity and physical manipulation are trained under a direct-name prompt, while this relation × candidate-category composition is intentionally absent.</x:v>
      </x:c>
      <x:c r="H80" s="41" t="str">
        <x:f>'Evaluation Plan'!H80</x:f>
        <x:v>crushed Pepsi can</x:v>
      </x:c>
      <x:c r="I80" s="41" t="str"/>
      <x:c r="J80" s="46" t="str">
        <x:f>'Evaluation Plan'!J80</x:f>
        <x:v>Concept/compositional transfer</x:v>
      </x:c>
      <x:c r="K80" s="42" t="str">
        <x:f>'Evaluation Plan'!K80</x:f>
        <x:v>RD-CT20</x:v>
      </x:c>
      <x:c r="L80" s="42" t="str">
        <x:f>'Evaluation Plan'!L80</x:f>
        <x:v>closest</x:v>
      </x:c>
      <x:c r="M80" s="42" t="str">
        <x:f>'Evaluation Plan'!M80</x:f>
        <x:v>crushed soda can</x:v>
      </x:c>
      <x:c r="N80" s="42" t="n">
        <x:f>'Evaluation Plan'!N80</x:f>
        <x:v>4</x:v>
      </x:c>
      <x:c r="O80" s="42" t="n">
        <x:f>'Evaluation Plan'!O80</x:f>
        <x:v>1</x:v>
      </x:c>
      <x:c r="P80" s="42" t="str">
        <x:f>'Evaluation Plan'!P80</x:f>
        <x:v>Empty</x:v>
      </x:c>
      <x:c r="Q80" s="41" t="str">
        <x:f>'Evaluation Plan'!Q80</x:f>
        <x:v>Primary held-out relation × candidate-category composition — Pick up</x:v>
      </x:c>
      <x:c r="R80" s="42" t="n">
        <x:f>'Evaluation Plan'!R80</x:f>
        <x:v>3</x:v>
      </x:c>
      <x:c r="S80" s="41" t="str">
        <x:f>'Evaluation Plan'!S80</x:f>
        <x:v>Build the listed relation scene with the bowl empty.</x:v>
      </x:c>
      <x:c r="T80" s="41" t="str">
        <x:f>'Evaluation Plan'!T80</x:f>
        <x:v>Both candidates are present. The held-out relation is the only information that identifies the target.</x:v>
      </x:c>
      <x:c r="U80" s="41" t="n">
        <x:f>'Evaluation Plan'!U80</x:f>
        <x:v>0</x:v>
      </x:c>
    </x:row>
    <x:row r="81" ht="51" customHeight="1">
      <x:c r="A81" s="32" t="str">
        <x:v>Not collected</x:v>
      </x:c>
      <x:c r="B81" s="34" t="n">
        <x:f>'Evaluation Plan'!B81</x:f>
        <x:v>79</x:v>
      </x:c>
      <x:c r="C81" s="32" t="str">
        <x:f>'Evaluation Plan'!C81</x:f>
        <x:v>Move the crushed Pepsi can into the bowl.</x:v>
      </x:c>
      <x:c r="D81" s="32" t="str">
        <x:f>'Evaluation Plan'!D81</x:f>
        <x:v>Reference: green pen at table centre; crushed Pepsi can: 10 cm to robot-left of the reference; crushed Coke can: 24 cm to robot-right of the reference; green pencil sharpener: at the far robot-left corner, outside the distance comparison; Bowl: empty</x:v>
      </x:c>
      <x:c r="E81" s="34" t="n">
        <x:f>'Evaluation Plan'!E81</x:f>
        <x:v>78</x:v>
      </x:c>
      <x:c r="F81" s="34" t="str">
        <x:f>'Evaluation Plan'!F81</x:f>
        <x:v>405</x:v>
      </x:c>
      <x:c r="G81" s="32" t="str">
        <x:f>'Evaluation Plan'!G81</x:f>
        <x:v>Exact masked-cell training prompt for the same target identity. The evaluation scene and physical endpoint are identical to the paired transfer row.</x:v>
      </x:c>
      <x:c r="H81" s="32" t="str">
        <x:f>'Evaluation Plan'!H81</x:f>
        <x:v>crushed Pepsi can</x:v>
      </x:c>
      <x:c r="I81" s="32" t="str"/>
      <x:c r="J81" s="37" t="str">
        <x:f>'Evaluation Plan'!J81</x:f>
        <x:v>Matched manipulation control</x:v>
      </x:c>
      <x:c r="K81" s="34" t="str">
        <x:f>'Evaluation Plan'!K81</x:f>
        <x:v>RD-CT20</x:v>
      </x:c>
      <x:c r="L81" s="34" t="str">
        <x:f>'Evaluation Plan'!L81</x:f>
        <x:v>direct name</x:v>
      </x:c>
      <x:c r="M81" s="34" t="str">
        <x:f>'Evaluation Plan'!M81</x:f>
        <x:v>crushed soda can</x:v>
      </x:c>
      <x:c r="N81" s="34" t="n">
        <x:f>'Evaluation Plan'!N81</x:f>
        <x:v>4</x:v>
      </x:c>
      <x:c r="O81" s="34" t="n">
        <x:f>'Evaluation Plan'!O81</x:f>
        <x:v>1</x:v>
      </x:c>
      <x:c r="P81" s="34" t="str">
        <x:f>'Evaluation Plan'!P81</x:f>
        <x:v>Empty</x:v>
      </x:c>
      <x:c r="Q81" s="32" t="str">
        <x:f>'Evaluation Plan'!Q81</x:f>
        <x:v>Exact-scene direct-identity manipulation control</x:v>
      </x:c>
      <x:c r="R81" s="34" t="n">
        <x:f>'Evaluation Plan'!R81</x:f>
        <x:v>3</x:v>
      </x:c>
      <x:c r="S81" s="32" t="str">
        <x:f>'Evaluation Plan'!S81</x:f>
        <x:v>Reset the moved object exactly; preserve the scene; change only the instruction.</x:v>
      </x:c>
      <x:c r="T81" s="32" t="str">
        <x:f>'Evaluation Plan'!T81</x:f>
        <x:v>Controls recognition and manipulation of the same target without requiring referential reasoning.</x:v>
      </x:c>
      <x:c r="U81" s="32" t="n">
        <x:f>'Evaluation Plan'!U81</x:f>
        <x:v>0</x:v>
      </x:c>
    </x:row>
    <x:row r="82" ht="51" customHeight="1">
      <x:c r="A82" s="41" t="str">
        <x:v>Not collected</x:v>
      </x:c>
      <x:c r="B82" s="42" t="n">
        <x:f>'Evaluation Plan'!B82</x:f>
        <x:v>80</x:v>
      </x:c>
      <x:c r="C82" s="41" t="str">
        <x:f>'Evaluation Plan'!C82</x:f>
        <x:v>Pick up the pencil sharpener between the green pen and the crushed Coke can and place it in the bowl.</x:v>
      </x:c>
      <x:c r="D82" s="41" t="str">
        <x:f>'Evaluation Plan'!D82</x:f>
        <x:v>Reference A: green pen at 14 cm toward robot-left from table centre; Reference B: crushed Coke can at 14 cm away toward robot-right from table centre; red pencil sharpener: at table centre on the straight Reference A–B segment; green pencil sharpener: 12 cm toward robot-right from table centre, off the Reference A–B segment; Bowl: empty</x:v>
      </x:c>
      <x:c r="E82" s="42" t="str">
        <x:f>'Evaluation Plan'!E82</x:f>
      </x:c>
      <x:c r="F82" s="42" t="str">
        <x:f>'Evaluation Plan'!F82</x:f>
        <x:v>484</x:v>
      </x:c>
      <x:c r="G82" s="41" t="str">
        <x:f>'Evaluation Plan'!G82</x:f>
        <x:v>Masked source trajectory: the target identity and physical manipulation are trained under a direct-name prompt, while this relation × candidate-category composition is intentionally absent.</x:v>
      </x:c>
      <x:c r="H82" s="41" t="str">
        <x:f>'Evaluation Plan'!H82</x:f>
        <x:v>red pencil sharpener</x:v>
      </x:c>
      <x:c r="I82" s="41" t="str"/>
      <x:c r="J82" s="46" t="str">
        <x:f>'Evaluation Plan'!J82</x:f>
        <x:v>Concept/compositional transfer</x:v>
      </x:c>
      <x:c r="K82" s="42" t="str">
        <x:f>'Evaluation Plan'!K82</x:f>
        <x:v>RD-CT21</x:v>
      </x:c>
      <x:c r="L82" s="42" t="str">
        <x:f>'Evaluation Plan'!L82</x:f>
        <x:v>between</x:v>
      </x:c>
      <x:c r="M82" s="42" t="str">
        <x:f>'Evaluation Plan'!M82</x:f>
        <x:v>pencil sharpener</x:v>
      </x:c>
      <x:c r="N82" s="42" t="n">
        <x:f>'Evaluation Plan'!N82</x:f>
        <x:v>4</x:v>
      </x:c>
      <x:c r="O82" s="42" t="n">
        <x:f>'Evaluation Plan'!O82</x:f>
        <x:v>1</x:v>
      </x:c>
      <x:c r="P82" s="42" t="str">
        <x:f>'Evaluation Plan'!P82</x:f>
        <x:v>Empty</x:v>
      </x:c>
      <x:c r="Q82" s="41" t="str">
        <x:f>'Evaluation Plan'!Q82</x:f>
        <x:v>Primary held-out relation × candidate-category composition — Pick up</x:v>
      </x:c>
      <x:c r="R82" s="42" t="n">
        <x:f>'Evaluation Plan'!R82</x:f>
        <x:v>4</x:v>
      </x:c>
      <x:c r="S82" s="41" t="str">
        <x:f>'Evaluation Plan'!S82</x:f>
        <x:v>Build the listed relation scene with the bowl empty.</x:v>
      </x:c>
      <x:c r="T82" s="41" t="str">
        <x:f>'Evaluation Plan'!T82</x:f>
        <x:v>Both candidates are present. The held-out relation is the only information that identifies the target.</x:v>
      </x:c>
      <x:c r="U82" s="41" t="n">
        <x:f>'Evaluation Plan'!U82</x:f>
        <x:v>0</x:v>
      </x:c>
    </x:row>
    <x:row r="83" ht="51" customHeight="1">
      <x:c r="A83" s="44" t="str">
        <x:v>Not collected</x:v>
      </x:c>
      <x:c r="B83" s="45" t="n">
        <x:f>'Evaluation Plan'!B83</x:f>
        <x:v>81</x:v>
      </x:c>
      <x:c r="C83" s="44" t="str">
        <x:f>'Evaluation Plan'!C83</x:f>
        <x:v>Put the airplane toy furthest from the crushed Coke can in the bowl.</x:v>
      </x:c>
      <x:c r="D83" s="44" t="str">
        <x:f>'Evaluation Plan'!D83</x:f>
        <x:v>Reference: crushed Coke can at table centre; airplane toy with propellers: 10 cm to robot-right of the reference; airplane toy without propellers: 24 cm to robot-left of the reference; green pencil sharpener: at the far robot-left corner, outside the distance comparison; Bowl: empty</x:v>
      </x:c>
      <x:c r="E83" s="45" t="str">
        <x:f>'Evaluation Plan'!E83</x:f>
      </x:c>
      <x:c r="F83" s="45" t="str">
        <x:f>'Evaluation Plan'!F83</x:f>
        <x:v>571</x:v>
      </x:c>
      <x:c r="G83" s="44" t="str">
        <x:f>'Evaluation Plan'!G83</x:f>
        <x:v>Masked source trajectory: the target identity and physical manipulation are trained under a direct-name prompt, while this relation × candidate-category composition is intentionally absent.</x:v>
      </x:c>
      <x:c r="H83" s="44" t="str">
        <x:f>'Evaluation Plan'!H83</x:f>
        <x:v>airplane toy without propellers</x:v>
      </x:c>
      <x:c r="I83" s="44" t="str"/>
      <x:c r="J83" s="46" t="str">
        <x:f>'Evaluation Plan'!J83</x:f>
        <x:v>Concept/compositional transfer</x:v>
      </x:c>
      <x:c r="K83" s="45" t="str">
        <x:f>'Evaluation Plan'!K83</x:f>
        <x:v>RD-CT22</x:v>
      </x:c>
      <x:c r="L83" s="45" t="str">
        <x:f>'Evaluation Plan'!L83</x:f>
        <x:v>furthest</x:v>
      </x:c>
      <x:c r="M83" s="45" t="str">
        <x:f>'Evaluation Plan'!M83</x:f>
        <x:v>airplane toy</x:v>
      </x:c>
      <x:c r="N83" s="45" t="n">
        <x:f>'Evaluation Plan'!N83</x:f>
        <x:v>4</x:v>
      </x:c>
      <x:c r="O83" s="45" t="n">
        <x:f>'Evaluation Plan'!O83</x:f>
        <x:v>1</x:v>
      </x:c>
      <x:c r="P83" s="45" t="str">
        <x:f>'Evaluation Plan'!P83</x:f>
        <x:v>Empty</x:v>
      </x:c>
      <x:c r="Q83" s="44" t="str">
        <x:f>'Evaluation Plan'!Q83</x:f>
        <x:v>Primary held-out relation × candidate-category composition — Put</x:v>
      </x:c>
      <x:c r="R83" s="45" t="n">
        <x:f>'Evaluation Plan'!R83</x:f>
        <x:v>4</x:v>
      </x:c>
      <x:c r="S83" s="44" t="str">
        <x:f>'Evaluation Plan'!S83</x:f>
        <x:v>Build the listed relation scene with the bowl empty.</x:v>
      </x:c>
      <x:c r="T83" s="44" t="str">
        <x:f>'Evaluation Plan'!T83</x:f>
        <x:v>Both candidates are present. The held-out relation is the only information that identifies the target.</x:v>
      </x:c>
      <x:c r="U83" s="44" t="n">
        <x:f>'Evaluation Plan'!U83</x:f>
        <x:v>0</x:v>
      </x:c>
    </x:row>
    <x:row r="84" ht="51" customHeight="1">
      <x:c r="A84" s="41" t="str">
        <x:v>Not collected</x:v>
      </x:c>
      <x:c r="B84" s="42" t="n">
        <x:f>'Evaluation Plan'!B84</x:f>
        <x:v>82</x:v>
      </x:c>
      <x:c r="C84" s="41" t="str">
        <x:f>'Evaluation Plan'!C84</x:f>
        <x:v>Put the crushed soda can closest to the airplane toy with propellers in the bowl.</x:v>
      </x:c>
      <x:c r="D84" s="41" t="str">
        <x:f>'Evaluation Plan'!D84</x:f>
        <x:v>Reference: airplane toy with propellers at table centre; crushed Pepsi can: 10 cm to robot-right of the reference; crushed Coke can: 24 cm to robot-left of the reference; yellow pen: at the far robot-left corner, outside the distance comparison; Bowl: empty</x:v>
      </x:c>
      <x:c r="E84" s="42" t="str">
        <x:f>'Evaluation Plan'!E84</x:f>
      </x:c>
      <x:c r="F84" s="42" t="str">
        <x:f>'Evaluation Plan'!F84</x:f>
        <x:v>407</x:v>
      </x:c>
      <x:c r="G84" s="41" t="str">
        <x:f>'Evaluation Plan'!G84</x:f>
        <x:v>Masked source trajectory: the target identity and physical manipulation are trained under a direct-name prompt, while this relation × candidate-category composition is intentionally absent.</x:v>
      </x:c>
      <x:c r="H84" s="41" t="str">
        <x:f>'Evaluation Plan'!H84</x:f>
        <x:v>crushed Pepsi can</x:v>
      </x:c>
      <x:c r="I84" s="41" t="str"/>
      <x:c r="J84" s="46" t="str">
        <x:f>'Evaluation Plan'!J84</x:f>
        <x:v>Concept/compositional transfer</x:v>
      </x:c>
      <x:c r="K84" s="42" t="str">
        <x:f>'Evaluation Plan'!K84</x:f>
        <x:v>RD-CT23</x:v>
      </x:c>
      <x:c r="L84" s="42" t="str">
        <x:f>'Evaluation Plan'!L84</x:f>
        <x:v>closest</x:v>
      </x:c>
      <x:c r="M84" s="42" t="str">
        <x:f>'Evaluation Plan'!M84</x:f>
        <x:v>crushed soda can</x:v>
      </x:c>
      <x:c r="N84" s="42" t="n">
        <x:f>'Evaluation Plan'!N84</x:f>
        <x:v>4</x:v>
      </x:c>
      <x:c r="O84" s="42" t="n">
        <x:f>'Evaluation Plan'!O84</x:f>
        <x:v>1</x:v>
      </x:c>
      <x:c r="P84" s="42" t="str">
        <x:f>'Evaluation Plan'!P84</x:f>
        <x:v>Empty</x:v>
      </x:c>
      <x:c r="Q84" s="41" t="str">
        <x:f>'Evaluation Plan'!Q84</x:f>
        <x:v>Primary held-out relation × candidate-category composition — Put</x:v>
      </x:c>
      <x:c r="R84" s="42" t="n">
        <x:f>'Evaluation Plan'!R84</x:f>
        <x:v>4</x:v>
      </x:c>
      <x:c r="S84" s="41" t="str">
        <x:f>'Evaluation Plan'!S84</x:f>
        <x:v>Build the listed relation scene with the bowl empty.</x:v>
      </x:c>
      <x:c r="T84" s="41" t="str">
        <x:f>'Evaluation Plan'!T84</x:f>
        <x:v>Both candidates are present. The held-out relation is the only information that identifies the target.</x:v>
      </x:c>
      <x:c r="U84" s="41" t="n">
        <x:f>'Evaluation Plan'!U84</x:f>
        <x:v>0</x:v>
      </x:c>
    </x:row>
    <x:row r="85" ht="51" customHeight="1">
      <x:c r="A85" s="44" t="str">
        <x:v>Not collected</x:v>
      </x:c>
      <x:c r="B85" s="45" t="n">
        <x:f>'Evaluation Plan'!B85</x:f>
        <x:v>83</x:v>
      </x:c>
      <x:c r="C85" s="44" t="str">
        <x:f>'Evaluation Plan'!C85</x:f>
        <x:v>Put the pencil sharpener between the airplane toy with propellers and the yellow pen in the bowl.</x:v>
      </x:c>
      <x:c r="D85" s="44" t="str">
        <x:f>'Evaluation Plan'!D85</x:f>
        <x:v>Reference A: airplane toy with propellers at 14 cm toward robot-right from table centre; Reference B: yellow pen at 14 cm away toward robot-left from table centre; red pencil sharpener: at table centre on the straight Reference A–B segment; green pencil sharpener: 12 cm toward robot-left from table centre, off the Reference A–B segment; Bowl: empty</x:v>
      </x:c>
      <x:c r="E85" s="45" t="str">
        <x:f>'Evaluation Plan'!E85</x:f>
      </x:c>
      <x:c r="F85" s="45" t="str">
        <x:f>'Evaluation Plan'!F85</x:f>
        <x:v>486</x:v>
      </x:c>
      <x:c r="G85" s="44" t="str">
        <x:f>'Evaluation Plan'!G85</x:f>
        <x:v>Masked source trajectory: the target identity and physical manipulation are trained under a direct-name prompt, while this relation × candidate-category composition is intentionally absent.</x:v>
      </x:c>
      <x:c r="H85" s="44" t="str">
        <x:f>'Evaluation Plan'!H85</x:f>
        <x:v>red pencil sharpener</x:v>
      </x:c>
      <x:c r="I85" s="44" t="str"/>
      <x:c r="J85" s="46" t="str">
        <x:f>'Evaluation Plan'!J85</x:f>
        <x:v>Concept/compositional transfer</x:v>
      </x:c>
      <x:c r="K85" s="45" t="str">
        <x:f>'Evaluation Plan'!K85</x:f>
        <x:v>RD-CT24</x:v>
      </x:c>
      <x:c r="L85" s="45" t="str">
        <x:f>'Evaluation Plan'!L85</x:f>
        <x:v>between</x:v>
      </x:c>
      <x:c r="M85" s="45" t="str">
        <x:f>'Evaluation Plan'!M85</x:f>
        <x:v>pencil sharpener</x:v>
      </x:c>
      <x:c r="N85" s="45" t="n">
        <x:f>'Evaluation Plan'!N85</x:f>
        <x:v>4</x:v>
      </x:c>
      <x:c r="O85" s="45" t="n">
        <x:f>'Evaluation Plan'!O85</x:f>
        <x:v>1</x:v>
      </x:c>
      <x:c r="P85" s="45" t="str">
        <x:f>'Evaluation Plan'!P85</x:f>
        <x:v>Empty</x:v>
      </x:c>
      <x:c r="Q85" s="44" t="str">
        <x:f>'Evaluation Plan'!Q85</x:f>
        <x:v>Primary held-out relation × candidate-category composition — Put</x:v>
      </x:c>
      <x:c r="R85" s="45" t="n">
        <x:f>'Evaluation Plan'!R85</x:f>
        <x:v>4</x:v>
      </x:c>
      <x:c r="S85" s="44" t="str">
        <x:f>'Evaluation Plan'!S85</x:f>
        <x:v>Build the listed relation scene with the bowl empty.</x:v>
      </x:c>
      <x:c r="T85" s="44" t="str">
        <x:f>'Evaluation Plan'!T85</x:f>
        <x:v>Both candidates are present. The held-out relation is the only information that identifies the target.</x:v>
      </x:c>
      <x:c r="U85" s="44" t="n">
        <x:f>'Evaluation Plan'!U85</x:f>
        <x:v>0</x:v>
      </x:c>
    </x:row>
    <x:row r="86" ht="51" customHeight="1">
      <x:c r="A86" s="41" t="str">
        <x:v>Not collected</x:v>
      </x:c>
      <x:c r="B86" s="42" t="n">
        <x:f>'Evaluation Plan'!B86</x:f>
        <x:v>84</x:v>
      </x:c>
      <x:c r="C86" s="41" t="str">
        <x:f>'Evaluation Plan'!C86</x:f>
        <x:v>Move the airplane toy furthest from the green pencil sharpener into the bowl.</x:v>
      </x:c>
      <x:c r="D86" s="41" t="str">
        <x:f>'Evaluation Plan'!D86</x:f>
        <x:v>Reference: green pencil sharpener at table centre; airplane toy without propellers: 10 cm toward the robot from the reference; airplane toy with propellers: 24 cm away from the robot from the reference; yellow pen: at the far robot-left corner, outside the distance comparison; Bowl: empty</x:v>
      </x:c>
      <x:c r="E86" s="42" t="str">
        <x:f>'Evaluation Plan'!E86</x:f>
      </x:c>
      <x:c r="F86" s="42" t="str">
        <x:f>'Evaluation Plan'!F86</x:f>
        <x:v>574</x:v>
      </x:c>
      <x:c r="G86" s="41" t="str">
        <x:f>'Evaluation Plan'!G86</x:f>
        <x:v>Masked source trajectory: the target identity and physical manipulation are trained under a direct-name prompt, while this relation × candidate-category composition is intentionally absent.</x:v>
      </x:c>
      <x:c r="H86" s="41" t="str">
        <x:f>'Evaluation Plan'!H86</x:f>
        <x:v>airplane toy with propellers</x:v>
      </x:c>
      <x:c r="I86" s="41" t="str"/>
      <x:c r="J86" s="46" t="str">
        <x:f>'Evaluation Plan'!J86</x:f>
        <x:v>Concept/compositional transfer</x:v>
      </x:c>
      <x:c r="K86" s="42" t="str">
        <x:f>'Evaluation Plan'!K86</x:f>
        <x:v>RD-CT25</x:v>
      </x:c>
      <x:c r="L86" s="42" t="str">
        <x:f>'Evaluation Plan'!L86</x:f>
        <x:v>furthest</x:v>
      </x:c>
      <x:c r="M86" s="42" t="str">
        <x:f>'Evaluation Plan'!M86</x:f>
        <x:v>airplane toy</x:v>
      </x:c>
      <x:c r="N86" s="42" t="n">
        <x:f>'Evaluation Plan'!N86</x:f>
        <x:v>4</x:v>
      </x:c>
      <x:c r="O86" s="42" t="n">
        <x:f>'Evaluation Plan'!O86</x:f>
        <x:v>1</x:v>
      </x:c>
      <x:c r="P86" s="42" t="str">
        <x:f>'Evaluation Plan'!P86</x:f>
        <x:v>Empty</x:v>
      </x:c>
      <x:c r="Q86" s="41" t="str">
        <x:f>'Evaluation Plan'!Q86</x:f>
        <x:v>Primary held-out relation × candidate-category composition — Move</x:v>
      </x:c>
      <x:c r="R86" s="42" t="n">
        <x:f>'Evaluation Plan'!R86</x:f>
        <x:v>4</x:v>
      </x:c>
      <x:c r="S86" s="41" t="str">
        <x:f>'Evaluation Plan'!S86</x:f>
        <x:v>Build the listed relation scene with the bowl empty.</x:v>
      </x:c>
      <x:c r="T86" s="41" t="str">
        <x:f>'Evaluation Plan'!T86</x:f>
        <x:v>Both candidates are present. The held-out relation is the only information that identifies the target.</x:v>
      </x:c>
      <x:c r="U86" s="41" t="n">
        <x:f>'Evaluation Plan'!U86</x:f>
        <x:v>0</x:v>
      </x:c>
    </x:row>
    <x:row r="87" ht="51" customHeight="1">
      <x:c r="A87" s="44" t="str">
        <x:v>Not collected</x:v>
      </x:c>
      <x:c r="B87" s="45" t="n">
        <x:f>'Evaluation Plan'!B87</x:f>
        <x:v>85</x:v>
      </x:c>
      <x:c r="C87" s="44" t="str">
        <x:f>'Evaluation Plan'!C87</x:f>
        <x:v>Move the crushed soda can closest to the green pencil sharpener into the bowl.</x:v>
      </x:c>
      <x:c r="D87" s="44" t="str">
        <x:f>'Evaluation Plan'!D87</x:f>
        <x:v>Reference: green pencil sharpener at table centre; crushed Coke can: 10 cm toward the robot from the reference; crushed Pepsi can: 24 cm away from the robot from the reference; green pen: at the far robot-left corner, outside the distance comparison; Bowl: empty</x:v>
      </x:c>
      <x:c r="E87" s="45" t="str">
        <x:f>'Evaluation Plan'!E87</x:f>
      </x:c>
      <x:c r="F87" s="45" t="str">
        <x:f>'Evaluation Plan'!F87</x:f>
        <x:v>408</x:v>
      </x:c>
      <x:c r="G87" s="44" t="str">
        <x:f>'Evaluation Plan'!G87</x:f>
        <x:v>Masked source trajectory: the target identity and physical manipulation are trained under a direct-name prompt, while this relation × candidate-category composition is intentionally absent.</x:v>
      </x:c>
      <x:c r="H87" s="44" t="str">
        <x:f>'Evaluation Plan'!H87</x:f>
        <x:v>crushed Coke can</x:v>
      </x:c>
      <x:c r="I87" s="44" t="str"/>
      <x:c r="J87" s="46" t="str">
        <x:f>'Evaluation Plan'!J87</x:f>
        <x:v>Concept/compositional transfer</x:v>
      </x:c>
      <x:c r="K87" s="45" t="str">
        <x:f>'Evaluation Plan'!K87</x:f>
        <x:v>RD-CT26</x:v>
      </x:c>
      <x:c r="L87" s="45" t="str">
        <x:f>'Evaluation Plan'!L87</x:f>
        <x:v>closest</x:v>
      </x:c>
      <x:c r="M87" s="45" t="str">
        <x:f>'Evaluation Plan'!M87</x:f>
        <x:v>crushed soda can</x:v>
      </x:c>
      <x:c r="N87" s="45" t="n">
        <x:f>'Evaluation Plan'!N87</x:f>
        <x:v>4</x:v>
      </x:c>
      <x:c r="O87" s="45" t="n">
        <x:f>'Evaluation Plan'!O87</x:f>
        <x:v>1</x:v>
      </x:c>
      <x:c r="P87" s="45" t="str">
        <x:f>'Evaluation Plan'!P87</x:f>
        <x:v>Empty</x:v>
      </x:c>
      <x:c r="Q87" s="44" t="str">
        <x:f>'Evaluation Plan'!Q87</x:f>
        <x:v>Primary held-out relation × candidate-category composition — Move</x:v>
      </x:c>
      <x:c r="R87" s="45" t="n">
        <x:f>'Evaluation Plan'!R87</x:f>
        <x:v>4</x:v>
      </x:c>
      <x:c r="S87" s="44" t="str">
        <x:f>'Evaluation Plan'!S87</x:f>
        <x:v>Build the listed relation scene with the bowl empty.</x:v>
      </x:c>
      <x:c r="T87" s="44" t="str">
        <x:f>'Evaluation Plan'!T87</x:f>
        <x:v>Both candidates are present. The held-out relation is the only information that identifies the target.</x:v>
      </x:c>
      <x:c r="U87" s="44" t="n">
        <x:f>'Evaluation Plan'!U87</x:f>
        <x:v>0</x:v>
      </x:c>
    </x:row>
    <x:row r="88" ht="51" customHeight="1">
      <x:c r="A88" s="41" t="str">
        <x:v>Not collected</x:v>
      </x:c>
      <x:c r="B88" s="42" t="n">
        <x:f>'Evaluation Plan'!B88</x:f>
        <x:v>86</x:v>
      </x:c>
      <x:c r="C88" s="41" t="str">
        <x:f>'Evaluation Plan'!C88</x:f>
        <x:v>Move the pencil sharpener between the crushed Pepsi can and the airplane toy without propellers into the bowl.</x:v>
      </x:c>
      <x:c r="D88" s="41" t="str">
        <x:f>'Evaluation Plan'!D88</x:f>
        <x:v>Reference A: crushed Pepsi can at 14 cm to robot-left of table centre; Reference B: airplane toy without propellers at 14 cm to robot-right of table centre; green pencil sharpener: at table centre on the straight Reference A–B segment; red pencil sharpener: 12 cm toward the robot from table centre, off the Reference A–B segment; crushed Coke can: at the far robot-left corner, outside the distance comparison; Bowl: empty</x:v>
      </x:c>
      <x:c r="E88" s="42" t="str">
        <x:f>'Evaluation Plan'!E88</x:f>
      </x:c>
      <x:c r="F88" s="42" t="str">
        <x:f>'Evaluation Plan'!F88</x:f>
        <x:v>489</x:v>
      </x:c>
      <x:c r="G88" s="41" t="str">
        <x:f>'Evaluation Plan'!G88</x:f>
        <x:v>Masked source trajectory: the target identity and physical manipulation are trained under a direct-name prompt, while this relation × candidate-category composition is intentionally absent.</x:v>
      </x:c>
      <x:c r="H88" s="41" t="str">
        <x:f>'Evaluation Plan'!H88</x:f>
        <x:v>green pencil sharpener</x:v>
      </x:c>
      <x:c r="I88" s="41" t="str"/>
      <x:c r="J88" s="46" t="str">
        <x:f>'Evaluation Plan'!J88</x:f>
        <x:v>Concept/compositional transfer</x:v>
      </x:c>
      <x:c r="K88" s="42" t="str">
        <x:f>'Evaluation Plan'!K88</x:f>
        <x:v>RD-CT27</x:v>
      </x:c>
      <x:c r="L88" s="42" t="str">
        <x:f>'Evaluation Plan'!L88</x:f>
        <x:v>between</x:v>
      </x:c>
      <x:c r="M88" s="42" t="str">
        <x:f>'Evaluation Plan'!M88</x:f>
        <x:v>pencil sharpener</x:v>
      </x:c>
      <x:c r="N88" s="42" t="n">
        <x:f>'Evaluation Plan'!N88</x:f>
        <x:v>5</x:v>
      </x:c>
      <x:c r="O88" s="42" t="n">
        <x:f>'Evaluation Plan'!O88</x:f>
        <x:v>1</x:v>
      </x:c>
      <x:c r="P88" s="42" t="str">
        <x:f>'Evaluation Plan'!P88</x:f>
        <x:v>Empty</x:v>
      </x:c>
      <x:c r="Q88" s="41" t="str">
        <x:f>'Evaluation Plan'!Q88</x:f>
        <x:v>Primary held-out relation × candidate-category composition — Move</x:v>
      </x:c>
      <x:c r="R88" s="42" t="n">
        <x:f>'Evaluation Plan'!R88</x:f>
        <x:v>4</x:v>
      </x:c>
      <x:c r="S88" s="41" t="str">
        <x:f>'Evaluation Plan'!S88</x:f>
        <x:v>Build the listed relation scene with the bowl empty.</x:v>
      </x:c>
      <x:c r="T88" s="41" t="str">
        <x:f>'Evaluation Plan'!T88</x:f>
        <x:v>Both candidates are present. The held-out relation is the only information that identifies the target.</x:v>
      </x:c>
      <x:c r="U88" s="41" t="n">
        <x:f>'Evaluation Plan'!U88</x:f>
        <x:v>0</x:v>
      </x:c>
    </x:row>
    <x:row r="89" ht="51" customHeight="1">
      <x:c r="A89" s="44" t="str">
        <x:v>Not collected</x:v>
      </x:c>
      <x:c r="B89" s="45" t="n">
        <x:f>'Evaluation Plan'!B89</x:f>
        <x:v>87</x:v>
      </x:c>
      <x:c r="C89" s="44" t="str">
        <x:f>'Evaluation Plan'!C89</x:f>
        <x:v>Pick up the airplane toy furthest from the yellow pen and place it in the bowl.</x:v>
      </x:c>
      <x:c r="D89" s="44" t="str">
        <x:f>'Evaluation Plan'!D89</x:f>
        <x:v>Reference: yellow pen at table centre; airplane toy without propellers: 10 cm away from the robot from the reference; airplane toy with propellers: 24 cm toward the robot from the reference; green pencil sharpener: at the far robot-left corner, outside the distance comparison; red pencil sharpener: at the far robot-right corner, outside the distance comparison; Bowl: empty</x:v>
      </x:c>
      <x:c r="E89" s="45" t="str">
        <x:f>'Evaluation Plan'!E89</x:f>
      </x:c>
      <x:c r="F89" s="45" t="str">
        <x:f>'Evaluation Plan'!F89</x:f>
        <x:v>576</x:v>
      </x:c>
      <x:c r="G89" s="44" t="str">
        <x:f>'Evaluation Plan'!G89</x:f>
        <x:v>Masked source trajectory: the target identity and physical manipulation are trained under a direct-name prompt, while this relation × candidate-category composition is intentionally absent.</x:v>
      </x:c>
      <x:c r="H89" s="44" t="str">
        <x:f>'Evaluation Plan'!H89</x:f>
        <x:v>airplane toy with propellers</x:v>
      </x:c>
      <x:c r="I89" s="44" t="str"/>
      <x:c r="J89" s="46" t="str">
        <x:f>'Evaluation Plan'!J89</x:f>
        <x:v>Concept/compositional transfer</x:v>
      </x:c>
      <x:c r="K89" s="45" t="str">
        <x:f>'Evaluation Plan'!K89</x:f>
        <x:v>RD-CT28</x:v>
      </x:c>
      <x:c r="L89" s="45" t="str">
        <x:f>'Evaluation Plan'!L89</x:f>
        <x:v>furthest</x:v>
      </x:c>
      <x:c r="M89" s="45" t="str">
        <x:f>'Evaluation Plan'!M89</x:f>
        <x:v>airplane toy</x:v>
      </x:c>
      <x:c r="N89" s="45" t="n">
        <x:f>'Evaluation Plan'!N89</x:f>
        <x:v>5</x:v>
      </x:c>
      <x:c r="O89" s="45" t="n">
        <x:f>'Evaluation Plan'!O89</x:f>
        <x:v>1</x:v>
      </x:c>
      <x:c r="P89" s="45" t="str">
        <x:f>'Evaluation Plan'!P89</x:f>
        <x:v>Empty</x:v>
      </x:c>
      <x:c r="Q89" s="44" t="str">
        <x:f>'Evaluation Plan'!Q89</x:f>
        <x:v>Primary held-out relation × candidate-category composition — Pick up</x:v>
      </x:c>
      <x:c r="R89" s="45" t="n">
        <x:f>'Evaluation Plan'!R89</x:f>
        <x:v>4</x:v>
      </x:c>
      <x:c r="S89" s="44" t="str">
        <x:f>'Evaluation Plan'!S89</x:f>
        <x:v>Build the listed relation scene with the bowl empty.</x:v>
      </x:c>
      <x:c r="T89" s="44" t="str">
        <x:f>'Evaluation Plan'!T89</x:f>
        <x:v>Both candidates are present. The held-out relation is the only information that identifies the target.</x:v>
      </x:c>
      <x:c r="U89" s="44" t="n">
        <x:f>'Evaluation Plan'!U89</x:f>
        <x:v>0</x:v>
      </x:c>
    </x:row>
    <x:row r="90" ht="51" customHeight="1">
      <x:c r="A90" s="41" t="str">
        <x:v>Not collected</x:v>
      </x:c>
      <x:c r="B90" s="42" t="n">
        <x:f>'Evaluation Plan'!B90</x:f>
        <x:v>88</x:v>
      </x:c>
      <x:c r="C90" s="41" t="str">
        <x:f>'Evaluation Plan'!C90</x:f>
        <x:v>Pick up the crushed soda can closest to the yellow pen and place it in the bowl.</x:v>
      </x:c>
      <x:c r="D90" s="41" t="str">
        <x:f>'Evaluation Plan'!D90</x:f>
        <x:v>Reference: yellow pen at table centre; crushed Coke can: 10 cm away from the robot from the reference; crushed Pepsi can: 24 cm toward the robot from the reference; airplane toy without propellers: at the far robot-left corner, outside the distance comparison; green pencil sharpener: at the far robot-right corner, outside the distance comparison; Bowl: empty</x:v>
      </x:c>
      <x:c r="E90" s="42" t="str">
        <x:f>'Evaluation Plan'!E90</x:f>
      </x:c>
      <x:c r="F90" s="42" t="str">
        <x:f>'Evaluation Plan'!F90</x:f>
        <x:v>410</x:v>
      </x:c>
      <x:c r="G90" s="41" t="str">
        <x:f>'Evaluation Plan'!G90</x:f>
        <x:v>Masked source trajectory: the target identity and physical manipulation are trained under a direct-name prompt, while this relation × candidate-category composition is intentionally absent.</x:v>
      </x:c>
      <x:c r="H90" s="41" t="str">
        <x:f>'Evaluation Plan'!H90</x:f>
        <x:v>crushed Coke can</x:v>
      </x:c>
      <x:c r="I90" s="41" t="str"/>
      <x:c r="J90" s="46" t="str">
        <x:f>'Evaluation Plan'!J90</x:f>
        <x:v>Concept/compositional transfer</x:v>
      </x:c>
      <x:c r="K90" s="42" t="str">
        <x:f>'Evaluation Plan'!K90</x:f>
        <x:v>RD-CT29</x:v>
      </x:c>
      <x:c r="L90" s="42" t="str">
        <x:f>'Evaluation Plan'!L90</x:f>
        <x:v>closest</x:v>
      </x:c>
      <x:c r="M90" s="42" t="str">
        <x:f>'Evaluation Plan'!M90</x:f>
        <x:v>crushed soda can</x:v>
      </x:c>
      <x:c r="N90" s="42" t="n">
        <x:f>'Evaluation Plan'!N90</x:f>
        <x:v>5</x:v>
      </x:c>
      <x:c r="O90" s="42" t="n">
        <x:f>'Evaluation Plan'!O90</x:f>
        <x:v>1</x:v>
      </x:c>
      <x:c r="P90" s="42" t="str">
        <x:f>'Evaluation Plan'!P90</x:f>
        <x:v>Empty</x:v>
      </x:c>
      <x:c r="Q90" s="41" t="str">
        <x:f>'Evaluation Plan'!Q90</x:f>
        <x:v>Primary held-out relation × candidate-category composition — Pick up</x:v>
      </x:c>
      <x:c r="R90" s="42" t="n">
        <x:f>'Evaluation Plan'!R90</x:f>
        <x:v>4</x:v>
      </x:c>
      <x:c r="S90" s="41" t="str">
        <x:f>'Evaluation Plan'!S90</x:f>
        <x:v>Build the listed relation scene with the bowl empty.</x:v>
      </x:c>
      <x:c r="T90" s="41" t="str">
        <x:f>'Evaluation Plan'!T90</x:f>
        <x:v>Both candidates are present. The held-out relation is the only information that identifies the target.</x:v>
      </x:c>
      <x:c r="U90" s="41" t="n">
        <x:f>'Evaluation Plan'!U90</x:f>
        <x:v>0</x:v>
      </x:c>
    </x:row>
    <x:row r="91" ht="51" customHeight="1">
      <x:c r="A91" s="44" t="str">
        <x:v>Not collected</x:v>
      </x:c>
      <x:c r="B91" s="45" t="n">
        <x:f>'Evaluation Plan'!B91</x:f>
        <x:v>89</x:v>
      </x:c>
      <x:c r="C91" s="44" t="str">
        <x:f>'Evaluation Plan'!C91</x:f>
        <x:v>Pick up the pencil sharpener between the green pen and the crushed Coke can and place it in the bowl.</x:v>
      </x:c>
      <x:c r="D91" s="44" t="str">
        <x:f>'Evaluation Plan'!D91</x:f>
        <x:v>Reference A: green pen at 14 cm toward the robot from table centre; Reference B: crushed Coke can at 14 cm away from the robot from table centre; green pencil sharpener: at table centre on the straight Reference A–B segment; red pencil sharpener: 12 cm to robot-right of table centre, off the Reference A–B segment; airplane toy without propellers: at the far robot-left corner, outside the distance comparison; Bowl: empty</x:v>
      </x:c>
      <x:c r="E91" s="45" t="str">
        <x:f>'Evaluation Plan'!E91</x:f>
      </x:c>
      <x:c r="F91" s="45" t="str">
        <x:f>'Evaluation Plan'!F91</x:f>
        <x:v>490</x:v>
      </x:c>
      <x:c r="G91" s="44" t="str">
        <x:f>'Evaluation Plan'!G91</x:f>
        <x:v>Masked source trajectory: the target identity and physical manipulation are trained under a direct-name prompt, while this relation × candidate-category composition is intentionally absent.</x:v>
      </x:c>
      <x:c r="H91" s="44" t="str">
        <x:f>'Evaluation Plan'!H91</x:f>
        <x:v>green pencil sharpener</x:v>
      </x:c>
      <x:c r="I91" s="44" t="str"/>
      <x:c r="J91" s="46" t="str">
        <x:f>'Evaluation Plan'!J91</x:f>
        <x:v>Concept/compositional transfer</x:v>
      </x:c>
      <x:c r="K91" s="45" t="str">
        <x:f>'Evaluation Plan'!K91</x:f>
        <x:v>RD-CT30</x:v>
      </x:c>
      <x:c r="L91" s="45" t="str">
        <x:f>'Evaluation Plan'!L91</x:f>
        <x:v>between</x:v>
      </x:c>
      <x:c r="M91" s="45" t="str">
        <x:f>'Evaluation Plan'!M91</x:f>
        <x:v>pencil sharpener</x:v>
      </x:c>
      <x:c r="N91" s="45" t="n">
        <x:f>'Evaluation Plan'!N91</x:f>
        <x:v>5</x:v>
      </x:c>
      <x:c r="O91" s="45" t="n">
        <x:f>'Evaluation Plan'!O91</x:f>
        <x:v>1</x:v>
      </x:c>
      <x:c r="P91" s="45" t="str">
        <x:f>'Evaluation Plan'!P91</x:f>
        <x:v>Empty</x:v>
      </x:c>
      <x:c r="Q91" s="44" t="str">
        <x:f>'Evaluation Plan'!Q91</x:f>
        <x:v>Primary held-out relation × candidate-category composition — Pick up</x:v>
      </x:c>
      <x:c r="R91" s="45" t="n">
        <x:f>'Evaluation Plan'!R91</x:f>
        <x:v>4</x:v>
      </x:c>
      <x:c r="S91" s="44" t="str">
        <x:f>'Evaluation Plan'!S91</x:f>
        <x:v>Build the listed relation scene with the bowl empty.</x:v>
      </x:c>
      <x:c r="T91" s="44" t="str">
        <x:f>'Evaluation Plan'!T91</x:f>
        <x:v>Both candidates are present. The held-out relation is the only information that identifies the target.</x:v>
      </x:c>
      <x:c r="U91" s="44" t="n">
        <x:f>'Evaluation Plan'!U91</x:f>
        <x:v>0</x:v>
      </x:c>
    </x:row>
    <x:row r="92" ht="51" customHeight="1">
      <x:c r="A92" s="41" t="str">
        <x:v>Not collected</x:v>
      </x:c>
      <x:c r="B92" s="42" t="n">
        <x:f>'Evaluation Plan'!B92</x:f>
        <x:v>90</x:v>
      </x:c>
      <x:c r="C92" s="41" t="str">
        <x:f>'Evaluation Plan'!C92</x:f>
        <x:v>Put the airplane toy furthest from the crushed Pepsi can in the bowl.</x:v>
      </x:c>
      <x:c r="D92" s="41" t="str">
        <x:f>'Evaluation Plan'!D92</x:f>
        <x:v>Reference: crushed Pepsi can at table centre; airplane toy with propellers: 10 cm toward robot-left from the reference; airplane toy without propellers: 24 cm away toward robot-right from the reference; crushed Coke can: at the far robot-left corner, outside the distance comparison; green pencil sharpener: at the far robot-right corner, outside the distance comparison; Bowl: empty</x:v>
      </x:c>
      <x:c r="E92" s="42" t="str">
        <x:f>'Evaluation Plan'!E92</x:f>
      </x:c>
      <x:c r="F92" s="42" t="str">
        <x:f>'Evaluation Plan'!F92</x:f>
        <x:v>573</x:v>
      </x:c>
      <x:c r="G92" s="41" t="str">
        <x:f>'Evaluation Plan'!G92</x:f>
        <x:v>Masked source trajectory: the target identity and physical manipulation are trained under a direct-name prompt, while this relation × candidate-category composition is intentionally absent.</x:v>
      </x:c>
      <x:c r="H92" s="41" t="str">
        <x:f>'Evaluation Plan'!H92</x:f>
        <x:v>airplane toy without propellers</x:v>
      </x:c>
      <x:c r="I92" s="41" t="str"/>
      <x:c r="J92" s="46" t="str">
        <x:f>'Evaluation Plan'!J92</x:f>
        <x:v>Concept/compositional transfer</x:v>
      </x:c>
      <x:c r="K92" s="42" t="str">
        <x:f>'Evaluation Plan'!K92</x:f>
        <x:v>RD-CT31</x:v>
      </x:c>
      <x:c r="L92" s="42" t="str">
        <x:f>'Evaluation Plan'!L92</x:f>
        <x:v>furthest</x:v>
      </x:c>
      <x:c r="M92" s="42" t="str">
        <x:f>'Evaluation Plan'!M92</x:f>
        <x:v>airplane toy</x:v>
      </x:c>
      <x:c r="N92" s="42" t="n">
        <x:f>'Evaluation Plan'!N92</x:f>
        <x:v>5</x:v>
      </x:c>
      <x:c r="O92" s="42" t="n">
        <x:f>'Evaluation Plan'!O92</x:f>
        <x:v>1</x:v>
      </x:c>
      <x:c r="P92" s="42" t="str">
        <x:f>'Evaluation Plan'!P92</x:f>
        <x:v>Empty</x:v>
      </x:c>
      <x:c r="Q92" s="41" t="str">
        <x:f>'Evaluation Plan'!Q92</x:f>
        <x:v>Primary held-out relation × candidate-category composition — Put</x:v>
      </x:c>
      <x:c r="R92" s="42" t="n">
        <x:f>'Evaluation Plan'!R92</x:f>
        <x:v>4</x:v>
      </x:c>
      <x:c r="S92" s="41" t="str">
        <x:f>'Evaluation Plan'!S92</x:f>
        <x:v>Build the listed relation scene with the bowl empty.</x:v>
      </x:c>
      <x:c r="T92" s="41" t="str">
        <x:f>'Evaluation Plan'!T92</x:f>
        <x:v>Both candidates are present. The held-out relation is the only information that identifies the target.</x:v>
      </x:c>
      <x:c r="U92" s="41" t="n">
        <x:f>'Evaluation Plan'!U92</x:f>
        <x:v>0</x:v>
      </x:c>
    </x:row>
    <x:row r="93" ht="51" customHeight="1">
      <x:c r="A93" s="44" t="str">
        <x:v>Not collected</x:v>
      </x:c>
      <x:c r="B93" s="45" t="n">
        <x:f>'Evaluation Plan'!B93</x:f>
        <x:v>91</x:v>
      </x:c>
      <x:c r="C93" s="44" t="str">
        <x:f>'Evaluation Plan'!C93</x:f>
        <x:v>Put the crushed soda can closest to the airplane toy without propellers in the bowl.</x:v>
      </x:c>
      <x:c r="D93" s="44" t="str">
        <x:f>'Evaluation Plan'!D93</x:f>
        <x:v>Reference: airplane toy without propellers at table centre; crushed Pepsi can: 10 cm toward robot-left from the reference; crushed Coke can: 24 cm away toward robot-right from the reference; green pen: at the far robot-left corner, outside the distance comparison; yellow pen: at the far robot-right corner, outside the distance comparison; Bowl: empty</x:v>
      </x:c>
      <x:c r="E93" s="45" t="str">
        <x:f>'Evaluation Plan'!E93</x:f>
      </x:c>
      <x:c r="F93" s="45" t="str">
        <x:f>'Evaluation Plan'!F93</x:f>
        <x:v>409</x:v>
      </x:c>
      <x:c r="G93" s="44" t="str">
        <x:f>'Evaluation Plan'!G93</x:f>
        <x:v>Masked source trajectory: the target identity and physical manipulation are trained under a direct-name prompt, while this relation × candidate-category composition is intentionally absent.</x:v>
      </x:c>
      <x:c r="H93" s="44" t="str">
        <x:f>'Evaluation Plan'!H93</x:f>
        <x:v>crushed Pepsi can</x:v>
      </x:c>
      <x:c r="I93" s="44" t="str"/>
      <x:c r="J93" s="46" t="str">
        <x:f>'Evaluation Plan'!J93</x:f>
        <x:v>Concept/compositional transfer</x:v>
      </x:c>
      <x:c r="K93" s="45" t="str">
        <x:f>'Evaluation Plan'!K93</x:f>
        <x:v>RD-CT32</x:v>
      </x:c>
      <x:c r="L93" s="45" t="str">
        <x:f>'Evaluation Plan'!L93</x:f>
        <x:v>closest</x:v>
      </x:c>
      <x:c r="M93" s="45" t="str">
        <x:f>'Evaluation Plan'!M93</x:f>
        <x:v>crushed soda can</x:v>
      </x:c>
      <x:c r="N93" s="45" t="n">
        <x:f>'Evaluation Plan'!N93</x:f>
        <x:v>5</x:v>
      </x:c>
      <x:c r="O93" s="45" t="n">
        <x:f>'Evaluation Plan'!O93</x:f>
        <x:v>1</x:v>
      </x:c>
      <x:c r="P93" s="45" t="str">
        <x:f>'Evaluation Plan'!P93</x:f>
        <x:v>Empty</x:v>
      </x:c>
      <x:c r="Q93" s="44" t="str">
        <x:f>'Evaluation Plan'!Q93</x:f>
        <x:v>Primary held-out relation × candidate-category composition — Put</x:v>
      </x:c>
      <x:c r="R93" s="45" t="n">
        <x:f>'Evaluation Plan'!R93</x:f>
        <x:v>4</x:v>
      </x:c>
      <x:c r="S93" s="44" t="str">
        <x:f>'Evaluation Plan'!S93</x:f>
        <x:v>Build the listed relation scene with the bowl empty.</x:v>
      </x:c>
      <x:c r="T93" s="44" t="str">
        <x:f>'Evaluation Plan'!T93</x:f>
        <x:v>Both candidates are present. The held-out relation is the only information that identifies the target.</x:v>
      </x:c>
      <x:c r="U93" s="44" t="n">
        <x:f>'Evaluation Plan'!U93</x:f>
        <x:v>0</x:v>
      </x:c>
    </x:row>
    <x:row r="94" ht="51" customHeight="1">
      <x:c r="A94" s="41" t="str">
        <x:v>Not collected</x:v>
      </x:c>
      <x:c r="B94" s="42" t="n">
        <x:f>'Evaluation Plan'!B94</x:f>
        <x:v>92</x:v>
      </x:c>
      <x:c r="C94" s="41" t="str">
        <x:f>'Evaluation Plan'!C94</x:f>
        <x:v>Put the pencil sharpener between the airplane toy with propellers and the yellow pen in the bowl.</x:v>
      </x:c>
      <x:c r="D94" s="41" t="str">
        <x:f>'Evaluation Plan'!D94</x:f>
        <x:v>Reference A: airplane toy with propellers at 14 cm toward robot-left from table centre; Reference B: yellow pen at 14 cm away toward robot-right from table centre; red pencil sharpener: at table centre on the straight Reference A–B segment; green pencil sharpener: 12 cm toward robot-right from table centre, off the Reference A–B segment; green pen: at the far robot-left corner, outside the distance comparison; Bowl: empty</x:v>
      </x:c>
      <x:c r="E94" s="42" t="str">
        <x:f>'Evaluation Plan'!E94</x:f>
      </x:c>
      <x:c r="F94" s="42" t="str">
        <x:f>'Evaluation Plan'!F94</x:f>
        <x:v>488</x:v>
      </x:c>
      <x:c r="G94" s="41" t="str">
        <x:f>'Evaluation Plan'!G94</x:f>
        <x:v>Masked source trajectory: the target identity and physical manipulation are trained under a direct-name prompt, while this relation × candidate-category composition is intentionally absent.</x:v>
      </x:c>
      <x:c r="H94" s="41" t="str">
        <x:f>'Evaluation Plan'!H94</x:f>
        <x:v>red pencil sharpener</x:v>
      </x:c>
      <x:c r="I94" s="41" t="str"/>
      <x:c r="J94" s="46" t="str">
        <x:f>'Evaluation Plan'!J94</x:f>
        <x:v>Concept/compositional transfer</x:v>
      </x:c>
      <x:c r="K94" s="42" t="str">
        <x:f>'Evaluation Plan'!K94</x:f>
        <x:v>RD-CT33</x:v>
      </x:c>
      <x:c r="L94" s="42" t="str">
        <x:f>'Evaluation Plan'!L94</x:f>
        <x:v>between</x:v>
      </x:c>
      <x:c r="M94" s="42" t="str">
        <x:f>'Evaluation Plan'!M94</x:f>
        <x:v>pencil sharpener</x:v>
      </x:c>
      <x:c r="N94" s="42" t="n">
        <x:f>'Evaluation Plan'!N94</x:f>
        <x:v>5</x:v>
      </x:c>
      <x:c r="O94" s="42" t="n">
        <x:f>'Evaluation Plan'!O94</x:f>
        <x:v>1</x:v>
      </x:c>
      <x:c r="P94" s="42" t="str">
        <x:f>'Evaluation Plan'!P94</x:f>
        <x:v>Empty</x:v>
      </x:c>
      <x:c r="Q94" s="41" t="str">
        <x:f>'Evaluation Plan'!Q94</x:f>
        <x:v>Primary held-out relation × candidate-category composition — Put</x:v>
      </x:c>
      <x:c r="R94" s="42" t="n">
        <x:f>'Evaluation Plan'!R94</x:f>
        <x:v>4</x:v>
      </x:c>
      <x:c r="S94" s="41" t="str">
        <x:f>'Evaluation Plan'!S94</x:f>
        <x:v>Build the listed relation scene with the bowl empty.</x:v>
      </x:c>
      <x:c r="T94" s="41" t="str">
        <x:f>'Evaluation Plan'!T94</x:f>
        <x:v>Both candidates are present. The held-out relation is the only information that identifies the target.</x:v>
      </x:c>
      <x:c r="U94" s="41" t="n">
        <x:f>'Evaluation Plan'!U94</x:f>
        <x:v>0</x:v>
      </x:c>
    </x:row>
    <x:row r="95" ht="51" customHeight="1">
      <x:c r="A95" s="44" t="str">
        <x:v>Not collected</x:v>
      </x:c>
      <x:c r="B95" s="45" t="n">
        <x:f>'Evaluation Plan'!B95</x:f>
        <x:v>93</x:v>
      </x:c>
      <x:c r="C95" s="44" t="str">
        <x:f>'Evaluation Plan'!C95</x:f>
        <x:v>Move the airplane toy furthest from the red pencil sharpener into the bowl.</x:v>
      </x:c>
      <x:c r="D95" s="44" t="str">
        <x:f>'Evaluation Plan'!D95</x:f>
        <x:v>Reference: red pencil sharpener at table centre; airplane toy with propellers: 10 cm toward robot-right from the reference; airplane toy without propellers: 24 cm away toward robot-left from the reference; green pen: at the far robot-left corner, outside the distance comparison; yellow pen: at the far robot-right corner, outside the distance comparison; Bowl: empty</x:v>
      </x:c>
      <x:c r="E95" s="45" t="str">
        <x:f>'Evaluation Plan'!E95</x:f>
      </x:c>
      <x:c r="F95" s="45" t="str">
        <x:f>'Evaluation Plan'!F95</x:f>
        <x:v>575</x:v>
      </x:c>
      <x:c r="G95" s="44" t="str">
        <x:f>'Evaluation Plan'!G95</x:f>
        <x:v>Masked source trajectory: the target identity and physical manipulation are trained under a direct-name prompt, while this relation × candidate-category composition is intentionally absent.</x:v>
      </x:c>
      <x:c r="H95" s="44" t="str">
        <x:f>'Evaluation Plan'!H95</x:f>
        <x:v>airplane toy without propellers</x:v>
      </x:c>
      <x:c r="I95" s="44" t="str"/>
      <x:c r="J95" s="46" t="str">
        <x:f>'Evaluation Plan'!J95</x:f>
        <x:v>Concept/compositional transfer</x:v>
      </x:c>
      <x:c r="K95" s="45" t="str">
        <x:f>'Evaluation Plan'!K95</x:f>
        <x:v>RD-CT34</x:v>
      </x:c>
      <x:c r="L95" s="45" t="str">
        <x:f>'Evaluation Plan'!L95</x:f>
        <x:v>furthest</x:v>
      </x:c>
      <x:c r="M95" s="45" t="str">
        <x:f>'Evaluation Plan'!M95</x:f>
        <x:v>airplane toy</x:v>
      </x:c>
      <x:c r="N95" s="45" t="n">
        <x:f>'Evaluation Plan'!N95</x:f>
        <x:v>5</x:v>
      </x:c>
      <x:c r="O95" s="45" t="n">
        <x:f>'Evaluation Plan'!O95</x:f>
        <x:v>1</x:v>
      </x:c>
      <x:c r="P95" s="45" t="str">
        <x:f>'Evaluation Plan'!P95</x:f>
        <x:v>Empty</x:v>
      </x:c>
      <x:c r="Q95" s="44" t="str">
        <x:f>'Evaluation Plan'!Q95</x:f>
        <x:v>Primary held-out relation × candidate-category composition — Move</x:v>
      </x:c>
      <x:c r="R95" s="45" t="n">
        <x:f>'Evaluation Plan'!R95</x:f>
        <x:v>4</x:v>
      </x:c>
      <x:c r="S95" s="44" t="str">
        <x:f>'Evaluation Plan'!S95</x:f>
        <x:v>Build the listed relation scene with the bowl empty.</x:v>
      </x:c>
      <x:c r="T95" s="44" t="str">
        <x:f>'Evaluation Plan'!T95</x:f>
        <x:v>Both candidates are present. The held-out relation is the only information that identifies the target.</x:v>
      </x:c>
      <x:c r="U95" s="44" t="n">
        <x:f>'Evaluation Plan'!U95</x:f>
        <x:v>0</x:v>
      </x:c>
    </x:row>
    <x:row r="96" ht="51" customHeight="1">
      <x:c r="A96" s="41" t="str">
        <x:v>Not collected</x:v>
      </x:c>
      <x:c r="B96" s="42" t="n">
        <x:f>'Evaluation Plan'!B96</x:f>
        <x:v>94</x:v>
      </x:c>
      <x:c r="C96" s="41" t="str">
        <x:f>'Evaluation Plan'!C96</x:f>
        <x:v>Move the crushed soda can closest to the red pencil sharpener into the bowl.</x:v>
      </x:c>
      <x:c r="D96" s="41" t="str">
        <x:f>'Evaluation Plan'!D96</x:f>
        <x:v>Reference: red pencil sharpener at table centre; crushed Pepsi can: 10 cm toward robot-right from the reference; crushed Coke can: 24 cm away toward robot-left from the reference; green pencil sharpener: at the far robot-left corner, outside the distance comparison; green pen: at the far robot-right corner, outside the distance comparison; Bowl: empty</x:v>
      </x:c>
      <x:c r="E96" s="42" t="str">
        <x:f>'Evaluation Plan'!E96</x:f>
      </x:c>
      <x:c r="F96" s="42" t="str">
        <x:f>'Evaluation Plan'!F96</x:f>
        <x:v>411</x:v>
      </x:c>
      <x:c r="G96" s="41" t="str">
        <x:f>'Evaluation Plan'!G96</x:f>
        <x:v>Masked source trajectory: the target identity and physical manipulation are trained under a direct-name prompt, while this relation × candidate-category composition is intentionally absent.</x:v>
      </x:c>
      <x:c r="H96" s="41" t="str">
        <x:f>'Evaluation Plan'!H96</x:f>
        <x:v>crushed Pepsi can</x:v>
      </x:c>
      <x:c r="I96" s="41" t="str"/>
      <x:c r="J96" s="46" t="str">
        <x:f>'Evaluation Plan'!J96</x:f>
        <x:v>Concept/compositional transfer</x:v>
      </x:c>
      <x:c r="K96" s="42" t="str">
        <x:f>'Evaluation Plan'!K96</x:f>
        <x:v>RD-CT35</x:v>
      </x:c>
      <x:c r="L96" s="42" t="str">
        <x:f>'Evaluation Plan'!L96</x:f>
        <x:v>closest</x:v>
      </x:c>
      <x:c r="M96" s="42" t="str">
        <x:f>'Evaluation Plan'!M96</x:f>
        <x:v>crushed soda can</x:v>
      </x:c>
      <x:c r="N96" s="42" t="n">
        <x:f>'Evaluation Plan'!N96</x:f>
        <x:v>5</x:v>
      </x:c>
      <x:c r="O96" s="42" t="n">
        <x:f>'Evaluation Plan'!O96</x:f>
        <x:v>1</x:v>
      </x:c>
      <x:c r="P96" s="42" t="str">
        <x:f>'Evaluation Plan'!P96</x:f>
        <x:v>Empty</x:v>
      </x:c>
      <x:c r="Q96" s="41" t="str">
        <x:f>'Evaluation Plan'!Q96</x:f>
        <x:v>Primary held-out relation × candidate-category composition — Move</x:v>
      </x:c>
      <x:c r="R96" s="42" t="n">
        <x:f>'Evaluation Plan'!R96</x:f>
        <x:v>4</x:v>
      </x:c>
      <x:c r="S96" s="41" t="str">
        <x:f>'Evaluation Plan'!S96</x:f>
        <x:v>Build the listed relation scene with the bowl empty.</x:v>
      </x:c>
      <x:c r="T96" s="41" t="str">
        <x:f>'Evaluation Plan'!T96</x:f>
        <x:v>Both candidates are present. The held-out relation is the only information that identifies the target.</x:v>
      </x:c>
      <x:c r="U96" s="41" t="n">
        <x:f>'Evaluation Plan'!U96</x:f>
        <x:v>0</x:v>
      </x:c>
    </x:row>
    <x:row r="97" ht="51" customHeight="1">
      <x:c r="A97" s="44" t="str">
        <x:v>Not collected</x:v>
      </x:c>
      <x:c r="B97" s="45" t="n">
        <x:f>'Evaluation Plan'!B97</x:f>
        <x:v>95</x:v>
      </x:c>
      <x:c r="C97" s="44" t="str">
        <x:f>'Evaluation Plan'!C97</x:f>
        <x:v>Move the pencil sharpener between the crushed Pepsi can and the airplane toy without propellers into the bowl.</x:v>
      </x:c>
      <x:c r="D97" s="44" t="str">
        <x:f>'Evaluation Plan'!D97</x:f>
        <x:v>Reference A: crushed Pepsi can at 14 cm toward robot-right from table centre; Reference B: airplane toy without propellers at 14 cm away toward robot-left from table centre; red pencil sharpener: at table centre on the straight Reference A–B segment; green pencil sharpener: 12 cm toward robot-left from table centre, off the Reference A–B segment; green pen: at the far robot-left corner, outside the distance comparison; Bowl: empty</x:v>
      </x:c>
      <x:c r="E97" s="45" t="str">
        <x:f>'Evaluation Plan'!E97</x:f>
      </x:c>
      <x:c r="F97" s="45" t="str">
        <x:f>'Evaluation Plan'!F97</x:f>
        <x:v>491</x:v>
      </x:c>
      <x:c r="G97" s="44" t="str">
        <x:f>'Evaluation Plan'!G97</x:f>
        <x:v>Masked source trajectory: the target identity and physical manipulation are trained under a direct-name prompt, while this relation × candidate-category composition is intentionally absent.</x:v>
      </x:c>
      <x:c r="H97" s="44" t="str">
        <x:f>'Evaluation Plan'!H97</x:f>
        <x:v>red pencil sharpener</x:v>
      </x:c>
      <x:c r="I97" s="44" t="str"/>
      <x:c r="J97" s="46" t="str">
        <x:f>'Evaluation Plan'!J97</x:f>
        <x:v>Concept/compositional transfer</x:v>
      </x:c>
      <x:c r="K97" s="45" t="str">
        <x:f>'Evaluation Plan'!K97</x:f>
        <x:v>RD-CT36</x:v>
      </x:c>
      <x:c r="L97" s="45" t="str">
        <x:f>'Evaluation Plan'!L97</x:f>
        <x:v>between</x:v>
      </x:c>
      <x:c r="M97" s="45" t="str">
        <x:f>'Evaluation Plan'!M97</x:f>
        <x:v>pencil sharpener</x:v>
      </x:c>
      <x:c r="N97" s="45" t="n">
        <x:f>'Evaluation Plan'!N97</x:f>
        <x:v>5</x:v>
      </x:c>
      <x:c r="O97" s="45" t="n">
        <x:f>'Evaluation Plan'!O97</x:f>
        <x:v>1</x:v>
      </x:c>
      <x:c r="P97" s="45" t="str">
        <x:f>'Evaluation Plan'!P97</x:f>
        <x:v>Empty</x:v>
      </x:c>
      <x:c r="Q97" s="44" t="str">
        <x:f>'Evaluation Plan'!Q97</x:f>
        <x:v>Primary held-out relation × candidate-category composition — Move</x:v>
      </x:c>
      <x:c r="R97" s="45" t="n">
        <x:f>'Evaluation Plan'!R97</x:f>
        <x:v>4</x:v>
      </x:c>
      <x:c r="S97" s="44" t="str">
        <x:f>'Evaluation Plan'!S97</x:f>
        <x:v>Build the listed relation scene with the bowl empty.</x:v>
      </x:c>
      <x:c r="T97" s="44" t="str">
        <x:f>'Evaluation Plan'!T97</x:f>
        <x:v>Both candidates are present. The held-out relation is the only information that identifies the target.</x:v>
      </x:c>
      <x:c r="U97" s="44" t="n">
        <x:f>'Evaluation Plan'!U97</x:f>
        <x:v>0</x:v>
      </x:c>
    </x:row>
    <x:row r="98" ht="51" customHeight="1">
      <x:c r="A98" s="41" t="str">
        <x:v>Not collected</x:v>
      </x:c>
      <x:c r="B98" s="42" t="n">
        <x:f>'Evaluation Plan'!B98</x:f>
        <x:v>96</x:v>
      </x:c>
      <x:c r="C98" s="41" t="str">
        <x:f>'Evaluation Plan'!C98</x:f>
        <x:v>Pick up the airplane toy furthest from the green pen and place it in the bowl.</x:v>
      </x:c>
      <x:c r="D98" s="41" t="str">
        <x:f>'Evaluation Plan'!D98</x:f>
        <x:v>Reference: green pen at table centre; airplane toy without propellers: 10 cm to robot-left of the reference; airplane toy with propellers: 24 cm to robot-right of the reference; crushed Pepsi can: at the far robot-left corner, outside the distance comparison; green pencil sharpener: at the far robot-right corner, outside the distance comparison; Bowl: empty</x:v>
      </x:c>
      <x:c r="E98" s="42" t="str">
        <x:f>'Evaluation Plan'!E98</x:f>
      </x:c>
      <x:c r="F98" s="42" t="str">
        <x:f>'Evaluation Plan'!F98</x:f>
        <x:v>578</x:v>
      </x:c>
      <x:c r="G98" s="41" t="str">
        <x:f>'Evaluation Plan'!G98</x:f>
        <x:v>Masked source trajectory: the target identity and physical manipulation are trained under a direct-name prompt, while this relation × candidate-category composition is intentionally absent.</x:v>
      </x:c>
      <x:c r="H98" s="41" t="str">
        <x:f>'Evaluation Plan'!H98</x:f>
        <x:v>airplane toy with propellers</x:v>
      </x:c>
      <x:c r="I98" s="41" t="str"/>
      <x:c r="J98" s="46" t="str">
        <x:f>'Evaluation Plan'!J98</x:f>
        <x:v>Concept/compositional transfer</x:v>
      </x:c>
      <x:c r="K98" s="42" t="str">
        <x:f>'Evaluation Plan'!K98</x:f>
        <x:v>RD-CT37</x:v>
      </x:c>
      <x:c r="L98" s="42" t="str">
        <x:f>'Evaluation Plan'!L98</x:f>
        <x:v>furthest</x:v>
      </x:c>
      <x:c r="M98" s="42" t="str">
        <x:f>'Evaluation Plan'!M98</x:f>
        <x:v>airplane toy</x:v>
      </x:c>
      <x:c r="N98" s="42" t="n">
        <x:f>'Evaluation Plan'!N98</x:f>
        <x:v>5</x:v>
      </x:c>
      <x:c r="O98" s="42" t="n">
        <x:f>'Evaluation Plan'!O98</x:f>
        <x:v>1</x:v>
      </x:c>
      <x:c r="P98" s="42" t="str">
        <x:f>'Evaluation Plan'!P98</x:f>
        <x:v>Empty</x:v>
      </x:c>
      <x:c r="Q98" s="41" t="str">
        <x:f>'Evaluation Plan'!Q98</x:f>
        <x:v>Primary held-out relation × candidate-category composition — Pick up</x:v>
      </x:c>
      <x:c r="R98" s="42" t="n">
        <x:f>'Evaluation Plan'!R98</x:f>
        <x:v>4</x:v>
      </x:c>
      <x:c r="S98" s="41" t="str">
        <x:f>'Evaluation Plan'!S98</x:f>
        <x:v>Build the listed relation scene with the bowl empty.</x:v>
      </x:c>
      <x:c r="T98" s="41" t="str">
        <x:f>'Evaluation Plan'!T98</x:f>
        <x:v>Both candidates are present. The held-out relation is the only information that identifies the target.</x:v>
      </x:c>
      <x:c r="U98" s="41" t="n">
        <x:f>'Evaluation Plan'!U98</x:f>
        <x:v>0</x:v>
      </x:c>
    </x:row>
    <x:row r="99" ht="51" customHeight="1">
      <x:c r="A99" s="44" t="str">
        <x:v>Not collected</x:v>
      </x:c>
      <x:c r="B99" s="45" t="n">
        <x:f>'Evaluation Plan'!B99</x:f>
        <x:v>97</x:v>
      </x:c>
      <x:c r="C99" s="44" t="str">
        <x:f>'Evaluation Plan'!C99</x:f>
        <x:v>Pick up the crushed soda can closest to the green pen and place it in the bowl.</x:v>
      </x:c>
      <x:c r="D99" s="44" t="str">
        <x:f>'Evaluation Plan'!D99</x:f>
        <x:v>Reference: green pen at table centre; crushed Coke can: 10 cm to robot-left of the reference; crushed Pepsi can: 24 cm to robot-right of the reference; airplane toy with propellers: at the far robot-left corner, outside the distance comparison; airplane toy without propellers: at the far robot-right corner, outside the distance comparison; Bowl: empty</x:v>
      </x:c>
      <x:c r="E99" s="45" t="str">
        <x:f>'Evaluation Plan'!E99</x:f>
      </x:c>
      <x:c r="F99" s="45" t="str">
        <x:f>'Evaluation Plan'!F99</x:f>
        <x:v>412</x:v>
      </x:c>
      <x:c r="G99" s="44" t="str">
        <x:f>'Evaluation Plan'!G99</x:f>
        <x:v>Masked source trajectory: the target identity and physical manipulation are trained under a direct-name prompt, while this relation × candidate-category composition is intentionally absent.</x:v>
      </x:c>
      <x:c r="H99" s="44" t="str">
        <x:f>'Evaluation Plan'!H99</x:f>
        <x:v>crushed Coke can</x:v>
      </x:c>
      <x:c r="I99" s="44" t="str"/>
      <x:c r="J99" s="46" t="str">
        <x:f>'Evaluation Plan'!J99</x:f>
        <x:v>Concept/compositional transfer</x:v>
      </x:c>
      <x:c r="K99" s="45" t="str">
        <x:f>'Evaluation Plan'!K99</x:f>
        <x:v>RD-CT38</x:v>
      </x:c>
      <x:c r="L99" s="45" t="str">
        <x:f>'Evaluation Plan'!L99</x:f>
        <x:v>closest</x:v>
      </x:c>
      <x:c r="M99" s="45" t="str">
        <x:f>'Evaluation Plan'!M99</x:f>
        <x:v>crushed soda can</x:v>
      </x:c>
      <x:c r="N99" s="45" t="n">
        <x:f>'Evaluation Plan'!N99</x:f>
        <x:v>5</x:v>
      </x:c>
      <x:c r="O99" s="45" t="n">
        <x:f>'Evaluation Plan'!O99</x:f>
        <x:v>1</x:v>
      </x:c>
      <x:c r="P99" s="45" t="str">
        <x:f>'Evaluation Plan'!P99</x:f>
        <x:v>Empty</x:v>
      </x:c>
      <x:c r="Q99" s="44" t="str">
        <x:f>'Evaluation Plan'!Q99</x:f>
        <x:v>Primary held-out relation × candidate-category composition — Pick up</x:v>
      </x:c>
      <x:c r="R99" s="45" t="n">
        <x:f>'Evaluation Plan'!R99</x:f>
        <x:v>4</x:v>
      </x:c>
      <x:c r="S99" s="44" t="str">
        <x:f>'Evaluation Plan'!S99</x:f>
        <x:v>Build the listed relation scene with the bowl empty.</x:v>
      </x:c>
      <x:c r="T99" s="44" t="str">
        <x:f>'Evaluation Plan'!T99</x:f>
        <x:v>Both candidates are present. The held-out relation is the only information that identifies the target.</x:v>
      </x:c>
      <x:c r="U99" s="44" t="n">
        <x:f>'Evaluation Plan'!U99</x:f>
        <x:v>0</x:v>
      </x:c>
    </x:row>
    <x:row r="100" ht="51" customHeight="1">
      <x:c r="A100" s="41" t="str">
        <x:v>Not collected</x:v>
      </x:c>
      <x:c r="B100" s="42" t="n">
        <x:f>'Evaluation Plan'!B100</x:f>
        <x:v>98</x:v>
      </x:c>
      <x:c r="C100" s="41" t="str">
        <x:f>'Evaluation Plan'!C100</x:f>
        <x:v>Pick up the pencil sharpener between the green pen and the crushed Coke can and place it in the bowl.</x:v>
      </x:c>
      <x:c r="D100" s="41" t="str">
        <x:f>'Evaluation Plan'!D100</x:f>
        <x:v>Reference A: green pen at 14 cm to robot-left of table centre; Reference B: crushed Coke can at 14 cm to robot-right of table centre; green pencil sharpener: at table centre on the straight Reference A–B segment; red pencil sharpener: 12 cm toward the robot from table centre, off the Reference A–B segment; crushed Pepsi can: at the far robot-left corner, outside the distance comparison; Bowl: empty</x:v>
      </x:c>
      <x:c r="E100" s="42" t="str">
        <x:f>'Evaluation Plan'!E100</x:f>
      </x:c>
      <x:c r="F100" s="42" t="str">
        <x:f>'Evaluation Plan'!F100</x:f>
        <x:v>492</x:v>
      </x:c>
      <x:c r="G100" s="41" t="str">
        <x:f>'Evaluation Plan'!G100</x:f>
        <x:v>Masked source trajectory: the target identity and physical manipulation are trained under a direct-name prompt, while this relation × candidate-category composition is intentionally absent.</x:v>
      </x:c>
      <x:c r="H100" s="41" t="str">
        <x:f>'Evaluation Plan'!H100</x:f>
        <x:v>green pencil sharpener</x:v>
      </x:c>
      <x:c r="I100" s="41" t="str"/>
      <x:c r="J100" s="46" t="str">
        <x:f>'Evaluation Plan'!J100</x:f>
        <x:v>Concept/compositional transfer</x:v>
      </x:c>
      <x:c r="K100" s="42" t="str">
        <x:f>'Evaluation Plan'!K100</x:f>
        <x:v>RD-CT39</x:v>
      </x:c>
      <x:c r="L100" s="42" t="str">
        <x:f>'Evaluation Plan'!L100</x:f>
        <x:v>between</x:v>
      </x:c>
      <x:c r="M100" s="42" t="str">
        <x:f>'Evaluation Plan'!M100</x:f>
        <x:v>pencil sharpener</x:v>
      </x:c>
      <x:c r="N100" s="42" t="n">
        <x:f>'Evaluation Plan'!N100</x:f>
        <x:v>5</x:v>
      </x:c>
      <x:c r="O100" s="42" t="n">
        <x:f>'Evaluation Plan'!O100</x:f>
        <x:v>1</x:v>
      </x:c>
      <x:c r="P100" s="42" t="str">
        <x:f>'Evaluation Plan'!P100</x:f>
        <x:v>Empty</x:v>
      </x:c>
      <x:c r="Q100" s="41" t="str">
        <x:f>'Evaluation Plan'!Q100</x:f>
        <x:v>Primary held-out relation × candidate-category composition — Pick up</x:v>
      </x:c>
      <x:c r="R100" s="42" t="n">
        <x:f>'Evaluation Plan'!R100</x:f>
        <x:v>4</x:v>
      </x:c>
      <x:c r="S100" s="41" t="str">
        <x:f>'Evaluation Plan'!S100</x:f>
        <x:v>Build the listed relation scene with the bowl empty.</x:v>
      </x:c>
      <x:c r="T100" s="41" t="str">
        <x:f>'Evaluation Plan'!T100</x:f>
        <x:v>Both candidates are present. The held-out relation is the only information that identifies the target.</x:v>
      </x:c>
      <x:c r="U100" s="41" t="n">
        <x:f>'Evaluation Plan'!U100</x:f>
        <x:v>0</x:v>
      </x:c>
    </x:row>
    <x:row r="101" ht="51" customHeight="1">
      <x:c r="A101" s="44" t="str">
        <x:v>Not collected</x:v>
      </x:c>
      <x:c r="B101" s="45" t="n">
        <x:f>'Evaluation Plan'!B101</x:f>
        <x:v>99</x:v>
      </x:c>
      <x:c r="C101" s="44" t="str">
        <x:f>'Evaluation Plan'!C101</x:f>
        <x:v>Put the airplane toy furthest from the crushed Coke can in the bowl.</x:v>
      </x:c>
      <x:c r="D101" s="44" t="str">
        <x:f>'Evaluation Plan'!D101</x:f>
        <x:v>Reference: crushed Coke can at table centre; airplane toy without propellers: 10 cm to robot-right of the reference; airplane toy with propellers: 24 cm to robot-left of the reference; yellow pen: at the far robot-left corner, outside the distance comparison; crushed Pepsi can: at the far robot-right corner, outside the distance comparison; Bowl: empty</x:v>
      </x:c>
      <x:c r="E101" s="45" t="str">
        <x:f>'Evaluation Plan'!E101</x:f>
      </x:c>
      <x:c r="F101" s="45" t="str">
        <x:f>'Evaluation Plan'!F101</x:f>
        <x:v>566</x:v>
      </x:c>
      <x:c r="G101" s="44" t="str">
        <x:f>'Evaluation Plan'!G101</x:f>
        <x:v>Masked source trajectory: the target identity and physical manipulation are trained under a direct-name prompt, while this relation × candidate-category composition is intentionally absent.</x:v>
      </x:c>
      <x:c r="H101" s="44" t="str">
        <x:f>'Evaluation Plan'!H101</x:f>
        <x:v>airplane toy with propellers</x:v>
      </x:c>
      <x:c r="I101" s="44" t="str"/>
      <x:c r="J101" s="46" t="str">
        <x:f>'Evaluation Plan'!J101</x:f>
        <x:v>Concept/compositional transfer</x:v>
      </x:c>
      <x:c r="K101" s="45" t="str">
        <x:f>'Evaluation Plan'!K101</x:f>
        <x:v>RD-CT40</x:v>
      </x:c>
      <x:c r="L101" s="45" t="str">
        <x:f>'Evaluation Plan'!L101</x:f>
        <x:v>furthest</x:v>
      </x:c>
      <x:c r="M101" s="45" t="str">
        <x:f>'Evaluation Plan'!M101</x:f>
        <x:v>airplane toy</x:v>
      </x:c>
      <x:c r="N101" s="45" t="n">
        <x:f>'Evaluation Plan'!N101</x:f>
        <x:v>5</x:v>
      </x:c>
      <x:c r="O101" s="45" t="n">
        <x:f>'Evaluation Plan'!O101</x:f>
        <x:v>1</x:v>
      </x:c>
      <x:c r="P101" s="45" t="str">
        <x:f>'Evaluation Plan'!P101</x:f>
        <x:v>Empty</x:v>
      </x:c>
      <x:c r="Q101" s="44" t="str">
        <x:f>'Evaluation Plan'!Q101</x:f>
        <x:v>Primary held-out relation × candidate-category composition — Put</x:v>
      </x:c>
      <x:c r="R101" s="45" t="n">
        <x:f>'Evaluation Plan'!R101</x:f>
        <x:v>4</x:v>
      </x:c>
      <x:c r="S101" s="44" t="str">
        <x:f>'Evaluation Plan'!S101</x:f>
        <x:v>Build the listed relation scene with the bowl empty.</x:v>
      </x:c>
      <x:c r="T101" s="44" t="str">
        <x:f>'Evaluation Plan'!T101</x:f>
        <x:v>Both candidates are present. The held-out relation is the only information that identifies the target.</x:v>
      </x:c>
      <x:c r="U101" s="44" t="n">
        <x:f>'Evaluation Plan'!U101</x:f>
        <x:v>0</x:v>
      </x:c>
    </x:row>
    <x:row r="102" ht="51" customHeight="1">
      <x:c r="A102" s="41" t="str">
        <x:v>Not collected</x:v>
      </x:c>
      <x:c r="B102" s="42" t="n">
        <x:f>'Evaluation Plan'!B102</x:f>
        <x:v>100</x:v>
      </x:c>
      <x:c r="C102" s="41" t="str">
        <x:f>'Evaluation Plan'!C102</x:f>
        <x:v>Put the crushed soda can closest to the airplane toy with propellers in the bowl.</x:v>
      </x:c>
      <x:c r="D102" s="41" t="str">
        <x:f>'Evaluation Plan'!D102</x:f>
        <x:v>Reference: airplane toy with propellers at table centre; crushed Coke can: 10 cm to robot-right of the reference; crushed Pepsi can: 24 cm to robot-left of the reference; red pencil sharpener: at the far robot-left corner, outside the distance comparison; green pen: at the far robot-right corner, outside the distance comparison; Bowl: empty</x:v>
      </x:c>
      <x:c r="E102" s="42" t="str">
        <x:f>'Evaluation Plan'!E102</x:f>
      </x:c>
      <x:c r="F102" s="42" t="str">
        <x:f>'Evaluation Plan'!F102</x:f>
        <x:v>414</x:v>
      </x:c>
      <x:c r="G102" s="41" t="str">
        <x:f>'Evaluation Plan'!G102</x:f>
        <x:v>Masked source trajectory: the target identity and physical manipulation are trained under a direct-name prompt, while this relation × candidate-category composition is intentionally absent.</x:v>
      </x:c>
      <x:c r="H102" s="41" t="str">
        <x:f>'Evaluation Plan'!H102</x:f>
        <x:v>crushed Coke can</x:v>
      </x:c>
      <x:c r="I102" s="41" t="str"/>
      <x:c r="J102" s="46" t="str">
        <x:f>'Evaluation Plan'!J102</x:f>
        <x:v>Concept/compositional transfer</x:v>
      </x:c>
      <x:c r="K102" s="42" t="str">
        <x:f>'Evaluation Plan'!K102</x:f>
        <x:v>RD-CT41</x:v>
      </x:c>
      <x:c r="L102" s="42" t="str">
        <x:f>'Evaluation Plan'!L102</x:f>
        <x:v>closest</x:v>
      </x:c>
      <x:c r="M102" s="42" t="str">
        <x:f>'Evaluation Plan'!M102</x:f>
        <x:v>crushed soda can</x:v>
      </x:c>
      <x:c r="N102" s="42" t="n">
        <x:f>'Evaluation Plan'!N102</x:f>
        <x:v>5</x:v>
      </x:c>
      <x:c r="O102" s="42" t="n">
        <x:f>'Evaluation Plan'!O102</x:f>
        <x:v>1</x:v>
      </x:c>
      <x:c r="P102" s="42" t="str">
        <x:f>'Evaluation Plan'!P102</x:f>
        <x:v>Empty</x:v>
      </x:c>
      <x:c r="Q102" s="41" t="str">
        <x:f>'Evaluation Plan'!Q102</x:f>
        <x:v>Primary held-out relation × candidate-category composition — Put</x:v>
      </x:c>
      <x:c r="R102" s="42" t="n">
        <x:f>'Evaluation Plan'!R102</x:f>
        <x:v>4</x:v>
      </x:c>
      <x:c r="S102" s="41" t="str">
        <x:f>'Evaluation Plan'!S102</x:f>
        <x:v>Build the listed relation scene with the bowl empty.</x:v>
      </x:c>
      <x:c r="T102" s="41" t="str">
        <x:f>'Evaluation Plan'!T102</x:f>
        <x:v>Both candidates are present. The held-out relation is the only information that identifies the target.</x:v>
      </x:c>
      <x:c r="U102" s="41" t="n">
        <x:f>'Evaluation Plan'!U102</x:f>
        <x:v>0</x:v>
      </x:c>
    </x:row>
    <x:row r="103" ht="51" customHeight="1">
      <x:c r="A103" s="44" t="str">
        <x:v>Not collected</x:v>
      </x:c>
      <x:c r="B103" s="45" t="n">
        <x:f>'Evaluation Plan'!B103</x:f>
        <x:v>101</x:v>
      </x:c>
      <x:c r="C103" s="44" t="str">
        <x:f>'Evaluation Plan'!C103</x:f>
        <x:v>Put the pencil sharpener between the airplane toy with propellers and the yellow pen in the bowl.</x:v>
      </x:c>
      <x:c r="D103" s="44" t="str">
        <x:f>'Evaluation Plan'!D103</x:f>
        <x:v>Reference A: airplane toy with propellers at 14 cm toward the robot from table centre; Reference B: yellow pen at 14 cm away from the robot from table centre; green pencil sharpener: at table centre on the straight Reference A–B segment; red pencil sharpener: 12 cm to robot-right of table centre, off the Reference A–B segment; airplane toy without propellers: at the far robot-left corner, outside the distance comparison; Bowl: empty</x:v>
      </x:c>
      <x:c r="E103" s="45" t="str">
        <x:f>'Evaluation Plan'!E103</x:f>
      </x:c>
      <x:c r="F103" s="45" t="str">
        <x:f>'Evaluation Plan'!F103</x:f>
        <x:v>495</x:v>
      </x:c>
      <x:c r="G103" s="44" t="str">
        <x:f>'Evaluation Plan'!G103</x:f>
        <x:v>Masked source trajectory: the target identity and physical manipulation are trained under a direct-name prompt, while this relation × candidate-category composition is intentionally absent.</x:v>
      </x:c>
      <x:c r="H103" s="44" t="str">
        <x:f>'Evaluation Plan'!H103</x:f>
        <x:v>green pencil sharpener</x:v>
      </x:c>
      <x:c r="I103" s="44" t="str"/>
      <x:c r="J103" s="46" t="str">
        <x:f>'Evaluation Plan'!J103</x:f>
        <x:v>Concept/compositional transfer</x:v>
      </x:c>
      <x:c r="K103" s="45" t="str">
        <x:f>'Evaluation Plan'!K103</x:f>
        <x:v>RD-CT42</x:v>
      </x:c>
      <x:c r="L103" s="45" t="str">
        <x:f>'Evaluation Plan'!L103</x:f>
        <x:v>between</x:v>
      </x:c>
      <x:c r="M103" s="45" t="str">
        <x:f>'Evaluation Plan'!M103</x:f>
        <x:v>pencil sharpener</x:v>
      </x:c>
      <x:c r="N103" s="45" t="n">
        <x:f>'Evaluation Plan'!N103</x:f>
        <x:v>5</x:v>
      </x:c>
      <x:c r="O103" s="45" t="n">
        <x:f>'Evaluation Plan'!O103</x:f>
        <x:v>1</x:v>
      </x:c>
      <x:c r="P103" s="45" t="str">
        <x:f>'Evaluation Plan'!P103</x:f>
        <x:v>Empty</x:v>
      </x:c>
      <x:c r="Q103" s="44" t="str">
        <x:f>'Evaluation Plan'!Q103</x:f>
        <x:v>Primary held-out relation × candidate-category composition — Put</x:v>
      </x:c>
      <x:c r="R103" s="45" t="n">
        <x:f>'Evaluation Plan'!R103</x:f>
        <x:v>4</x:v>
      </x:c>
      <x:c r="S103" s="44" t="str">
        <x:f>'Evaluation Plan'!S103</x:f>
        <x:v>Build the listed relation scene with the bowl empty.</x:v>
      </x:c>
      <x:c r="T103" s="44" t="str">
        <x:f>'Evaluation Plan'!T103</x:f>
        <x:v>Both candidates are present. The held-out relation is the only information that identifies the target.</x:v>
      </x:c>
      <x:c r="U103" s="44" t="n">
        <x:f>'Evaluation Plan'!U103</x:f>
        <x:v>0</x:v>
      </x:c>
    </x:row>
    <x:row r="104" ht="51" customHeight="1">
      <x:c r="A104" s="41" t="str">
        <x:v>Not collected</x:v>
      </x:c>
      <x:c r="B104" s="42" t="n">
        <x:f>'Evaluation Plan'!B104</x:f>
        <x:v>102</x:v>
      </x:c>
      <x:c r="C104" s="41" t="str">
        <x:f>'Evaluation Plan'!C104</x:f>
        <x:v>Move the airplane toy furthest from the green pencil sharpener into the bowl.</x:v>
      </x:c>
      <x:c r="D104" s="41" t="str">
        <x:f>'Evaluation Plan'!D104</x:f>
        <x:v>Reference: green pencil sharpener at table centre; airplane toy with propellers: 10 cm toward the robot from the reference; airplane toy without propellers: 24 cm away from the robot from the reference; red pencil sharpener: at the far robot-left corner, outside the distance comparison; green pen: at the far robot-right corner, outside the distance comparison; Bowl: empty</x:v>
      </x:c>
      <x:c r="E104" s="42" t="str">
        <x:f>'Evaluation Plan'!E104</x:f>
      </x:c>
      <x:c r="F104" s="42" t="str">
        <x:f>'Evaluation Plan'!F104</x:f>
        <x:v>577</x:v>
      </x:c>
      <x:c r="G104" s="41" t="str">
        <x:f>'Evaluation Plan'!G104</x:f>
        <x:v>Masked source trajectory: the target identity and physical manipulation are trained under a direct-name prompt, while this relation × candidate-category composition is intentionally absent.</x:v>
      </x:c>
      <x:c r="H104" s="41" t="str">
        <x:f>'Evaluation Plan'!H104</x:f>
        <x:v>airplane toy without propellers</x:v>
      </x:c>
      <x:c r="I104" s="41" t="str"/>
      <x:c r="J104" s="46" t="str">
        <x:f>'Evaluation Plan'!J104</x:f>
        <x:v>Concept/compositional transfer</x:v>
      </x:c>
      <x:c r="K104" s="42" t="str">
        <x:f>'Evaluation Plan'!K104</x:f>
        <x:v>RD-CT43</x:v>
      </x:c>
      <x:c r="L104" s="42" t="str">
        <x:f>'Evaluation Plan'!L104</x:f>
        <x:v>furthest</x:v>
      </x:c>
      <x:c r="M104" s="42" t="str">
        <x:f>'Evaluation Plan'!M104</x:f>
        <x:v>airplane toy</x:v>
      </x:c>
      <x:c r="N104" s="42" t="n">
        <x:f>'Evaluation Plan'!N104</x:f>
        <x:v>5</x:v>
      </x:c>
      <x:c r="O104" s="42" t="n">
        <x:f>'Evaluation Plan'!O104</x:f>
        <x:v>1</x:v>
      </x:c>
      <x:c r="P104" s="42" t="str">
        <x:f>'Evaluation Plan'!P104</x:f>
        <x:v>Empty</x:v>
      </x:c>
      <x:c r="Q104" s="41" t="str">
        <x:f>'Evaluation Plan'!Q104</x:f>
        <x:v>Primary held-out relation × candidate-category composition — Move</x:v>
      </x:c>
      <x:c r="R104" s="42" t="n">
        <x:f>'Evaluation Plan'!R104</x:f>
        <x:v>4</x:v>
      </x:c>
      <x:c r="S104" s="41" t="str">
        <x:f>'Evaluation Plan'!S104</x:f>
        <x:v>Build the listed relation scene with the bowl empty.</x:v>
      </x:c>
      <x:c r="T104" s="41" t="str">
        <x:f>'Evaluation Plan'!T104</x:f>
        <x:v>Both candidates are present. The held-out relation is the only information that identifies the target.</x:v>
      </x:c>
      <x:c r="U104" s="41" t="n">
        <x:f>'Evaluation Plan'!U104</x:f>
        <x:v>0</x:v>
      </x:c>
    </x:row>
    <x:row r="105" ht="51" customHeight="1">
      <x:c r="A105" s="44" t="str">
        <x:v>Not collected</x:v>
      </x:c>
      <x:c r="B105" s="45" t="n">
        <x:f>'Evaluation Plan'!B105</x:f>
        <x:v>103</x:v>
      </x:c>
      <x:c r="C105" s="44" t="str">
        <x:f>'Evaluation Plan'!C105</x:f>
        <x:v>Move the crushed soda can closest to the green pencil sharpener into the bowl.</x:v>
      </x:c>
      <x:c r="D105" s="44" t="str">
        <x:f>'Evaluation Plan'!D105</x:f>
        <x:v>Reference: green pencil sharpener at table centre; crushed Pepsi can: 10 cm toward the robot from the reference; crushed Coke can: 24 cm away from the robot from the reference; airplane toy without propellers: at the far robot-left corner, outside the distance comparison; red pencil sharpener: at the far robot-right corner, outside the distance comparison; Bowl: empty</x:v>
      </x:c>
      <x:c r="E105" s="45" t="str">
        <x:f>'Evaluation Plan'!E105</x:f>
      </x:c>
      <x:c r="F105" s="45" t="str">
        <x:f>'Evaluation Plan'!F105</x:f>
        <x:v>413</x:v>
      </x:c>
      <x:c r="G105" s="44" t="str">
        <x:f>'Evaluation Plan'!G105</x:f>
        <x:v>Masked source trajectory: the target identity and physical manipulation are trained under a direct-name prompt, while this relation × candidate-category composition is intentionally absent.</x:v>
      </x:c>
      <x:c r="H105" s="44" t="str">
        <x:f>'Evaluation Plan'!H105</x:f>
        <x:v>crushed Pepsi can</x:v>
      </x:c>
      <x:c r="I105" s="44" t="str"/>
      <x:c r="J105" s="46" t="str">
        <x:f>'Evaluation Plan'!J105</x:f>
        <x:v>Concept/compositional transfer</x:v>
      </x:c>
      <x:c r="K105" s="45" t="str">
        <x:f>'Evaluation Plan'!K105</x:f>
        <x:v>RD-CT44</x:v>
      </x:c>
      <x:c r="L105" s="45" t="str">
        <x:f>'Evaluation Plan'!L105</x:f>
        <x:v>closest</x:v>
      </x:c>
      <x:c r="M105" s="45" t="str">
        <x:f>'Evaluation Plan'!M105</x:f>
        <x:v>crushed soda can</x:v>
      </x:c>
      <x:c r="N105" s="45" t="n">
        <x:f>'Evaluation Plan'!N105</x:f>
        <x:v>5</x:v>
      </x:c>
      <x:c r="O105" s="45" t="n">
        <x:f>'Evaluation Plan'!O105</x:f>
        <x:v>1</x:v>
      </x:c>
      <x:c r="P105" s="45" t="str">
        <x:f>'Evaluation Plan'!P105</x:f>
        <x:v>Empty</x:v>
      </x:c>
      <x:c r="Q105" s="44" t="str">
        <x:f>'Evaluation Plan'!Q105</x:f>
        <x:v>Primary held-out relation × candidate-category composition — Move</x:v>
      </x:c>
      <x:c r="R105" s="45" t="n">
        <x:f>'Evaluation Plan'!R105</x:f>
        <x:v>4</x:v>
      </x:c>
      <x:c r="S105" s="44" t="str">
        <x:f>'Evaluation Plan'!S105</x:f>
        <x:v>Build the listed relation scene with the bowl empty.</x:v>
      </x:c>
      <x:c r="T105" s="44" t="str">
        <x:f>'Evaluation Plan'!T105</x:f>
        <x:v>Both candidates are present. The held-out relation is the only information that identifies the target.</x:v>
      </x:c>
      <x:c r="U105" s="44" t="n">
        <x:f>'Evaluation Plan'!U105</x:f>
        <x:v>0</x:v>
      </x:c>
    </x:row>
    <x:row r="106" ht="51" customHeight="1">
      <x:c r="A106" s="41" t="str">
        <x:v>Not collected</x:v>
      </x:c>
      <x:c r="B106" s="42" t="n">
        <x:f>'Evaluation Plan'!B106</x:f>
        <x:v>104</x:v>
      </x:c>
      <x:c r="C106" s="41" t="str">
        <x:f>'Evaluation Plan'!C106</x:f>
        <x:v>Move the pencil sharpener between the crushed Pepsi can and the airplane toy without propellers into the bowl.</x:v>
      </x:c>
      <x:c r="D106" s="41" t="str">
        <x:f>'Evaluation Plan'!D106</x:f>
        <x:v>Reference A: crushed Pepsi can at 14 cm toward robot-left from table centre; Reference B: airplane toy without propellers at 14 cm away toward robot-right from table centre; red pencil sharpener: at table centre on the straight Reference A–B segment; green pencil sharpener: 12 cm toward robot-right from table centre, off the Reference A–B segment; yellow pen: at the far robot-left corner, outside the distance comparison; Bowl: empty</x:v>
      </x:c>
      <x:c r="E106" s="42" t="str">
        <x:f>'Evaluation Plan'!E106</x:f>
      </x:c>
      <x:c r="F106" s="42" t="str">
        <x:f>'Evaluation Plan'!F106</x:f>
        <x:v>493</x:v>
      </x:c>
      <x:c r="G106" s="41" t="str">
        <x:f>'Evaluation Plan'!G106</x:f>
        <x:v>Masked source trajectory: the target identity and physical manipulation are trained under a direct-name prompt, while this relation × candidate-category composition is intentionally absent.</x:v>
      </x:c>
      <x:c r="H106" s="41" t="str">
        <x:f>'Evaluation Plan'!H106</x:f>
        <x:v>red pencil sharpener</x:v>
      </x:c>
      <x:c r="I106" s="41" t="str"/>
      <x:c r="J106" s="46" t="str">
        <x:f>'Evaluation Plan'!J106</x:f>
        <x:v>Concept/compositional transfer</x:v>
      </x:c>
      <x:c r="K106" s="42" t="str">
        <x:f>'Evaluation Plan'!K106</x:f>
        <x:v>RD-CT45</x:v>
      </x:c>
      <x:c r="L106" s="42" t="str">
        <x:f>'Evaluation Plan'!L106</x:f>
        <x:v>between</x:v>
      </x:c>
      <x:c r="M106" s="42" t="str">
        <x:f>'Evaluation Plan'!M106</x:f>
        <x:v>pencil sharpener</x:v>
      </x:c>
      <x:c r="N106" s="42" t="n">
        <x:f>'Evaluation Plan'!N106</x:f>
        <x:v>5</x:v>
      </x:c>
      <x:c r="O106" s="42" t="n">
        <x:f>'Evaluation Plan'!O106</x:f>
        <x:v>1</x:v>
      </x:c>
      <x:c r="P106" s="42" t="str">
        <x:f>'Evaluation Plan'!P106</x:f>
        <x:v>Empty</x:v>
      </x:c>
      <x:c r="Q106" s="41" t="str">
        <x:f>'Evaluation Plan'!Q106</x:f>
        <x:v>Primary held-out relation × candidate-category composition — Move</x:v>
      </x:c>
      <x:c r="R106" s="42" t="n">
        <x:f>'Evaluation Plan'!R106</x:f>
        <x:v>4</x:v>
      </x:c>
      <x:c r="S106" s="41" t="str">
        <x:f>'Evaluation Plan'!S106</x:f>
        <x:v>Build the listed relation scene with the bowl empty.</x:v>
      </x:c>
      <x:c r="T106" s="41" t="str">
        <x:f>'Evaluation Plan'!T106</x:f>
        <x:v>Both candidates are present. The held-out relation is the only information that identifies the target.</x:v>
      </x:c>
      <x:c r="U106" s="41" t="n">
        <x:f>'Evaluation Plan'!U106</x:f>
        <x:v>0</x:v>
      </x:c>
    </x:row>
    <x:row r="107" ht="51" customHeight="1">
      <x:c r="A107" s="44" t="str">
        <x:v>Not collected</x:v>
      </x:c>
      <x:c r="B107" s="45" t="n">
        <x:f>'Evaluation Plan'!B107</x:f>
        <x:v>105</x:v>
      </x:c>
      <x:c r="C107" s="44" t="str">
        <x:f>'Evaluation Plan'!C107</x:f>
        <x:v>Pick up the airplane toy furthest from the yellow pen and place it in the bowl.</x:v>
      </x:c>
      <x:c r="D107" s="44" t="str">
        <x:f>'Evaluation Plan'!D107</x:f>
        <x:v>Reference: yellow pen at table centre; airplane toy with propellers: 10 cm away from the robot from the reference; airplane toy without propellers: 24 cm toward the robot from the reference; crushed Coke can: at the far robot-left corner, outside the distance comparison; crushed Pepsi can: at the far robot-right corner, outside the distance comparison; Bowl: empty</x:v>
      </x:c>
      <x:c r="E107" s="45" t="str">
        <x:f>'Evaluation Plan'!E107</x:f>
      </x:c>
      <x:c r="F107" s="45" t="str">
        <x:f>'Evaluation Plan'!F107</x:f>
        <x:v>579</x:v>
      </x:c>
      <x:c r="G107" s="44" t="str">
        <x:f>'Evaluation Plan'!G107</x:f>
        <x:v>Masked source trajectory: the target identity and physical manipulation are trained under a direct-name prompt, while this relation × candidate-category composition is intentionally absent.</x:v>
      </x:c>
      <x:c r="H107" s="44" t="str">
        <x:f>'Evaluation Plan'!H107</x:f>
        <x:v>airplane toy without propellers</x:v>
      </x:c>
      <x:c r="I107" s="44" t="str"/>
      <x:c r="J107" s="46" t="str">
        <x:f>'Evaluation Plan'!J107</x:f>
        <x:v>Concept/compositional transfer</x:v>
      </x:c>
      <x:c r="K107" s="45" t="str">
        <x:f>'Evaluation Plan'!K107</x:f>
        <x:v>RD-CT46</x:v>
      </x:c>
      <x:c r="L107" s="45" t="str">
        <x:f>'Evaluation Plan'!L107</x:f>
        <x:v>furthest</x:v>
      </x:c>
      <x:c r="M107" s="45" t="str">
        <x:f>'Evaluation Plan'!M107</x:f>
        <x:v>airplane toy</x:v>
      </x:c>
      <x:c r="N107" s="45" t="n">
        <x:f>'Evaluation Plan'!N107</x:f>
        <x:v>5</x:v>
      </x:c>
      <x:c r="O107" s="45" t="n">
        <x:f>'Evaluation Plan'!O107</x:f>
        <x:v>1</x:v>
      </x:c>
      <x:c r="P107" s="45" t="str">
        <x:f>'Evaluation Plan'!P107</x:f>
        <x:v>Empty</x:v>
      </x:c>
      <x:c r="Q107" s="44" t="str">
        <x:f>'Evaluation Plan'!Q107</x:f>
        <x:v>Primary held-out relation × candidate-category composition — Pick up</x:v>
      </x:c>
      <x:c r="R107" s="45" t="n">
        <x:f>'Evaluation Plan'!R107</x:f>
        <x:v>4</x:v>
      </x:c>
      <x:c r="S107" s="44" t="str">
        <x:f>'Evaluation Plan'!S107</x:f>
        <x:v>Build the listed relation scene with the bowl empty.</x:v>
      </x:c>
      <x:c r="T107" s="44" t="str">
        <x:f>'Evaluation Plan'!T107</x:f>
        <x:v>Both candidates are present. The held-out relation is the only information that identifies the target.</x:v>
      </x:c>
      <x:c r="U107" s="44" t="n">
        <x:f>'Evaluation Plan'!U107</x:f>
        <x:v>0</x:v>
      </x:c>
    </x:row>
    <x:row r="108" ht="51" customHeight="1">
      <x:c r="A108" s="41" t="str">
        <x:v>Not collected</x:v>
      </x:c>
      <x:c r="B108" s="42" t="n">
        <x:f>'Evaluation Plan'!B108</x:f>
        <x:v>106</x:v>
      </x:c>
      <x:c r="C108" s="41" t="str">
        <x:f>'Evaluation Plan'!C108</x:f>
        <x:v>Pick up the crushed soda can closest to the yellow pen and place it in the bowl.</x:v>
      </x:c>
      <x:c r="D108" s="41" t="str">
        <x:f>'Evaluation Plan'!D108</x:f>
        <x:v>Reference: yellow pen at table centre; crushed Pepsi can: 10 cm away from the robot from the reference; crushed Coke can: 24 cm toward the robot from the reference; green pen: at the far robot-left corner, outside the distance comparison; airplane toy with propellers: at the far robot-right corner, outside the distance comparison; Bowl: empty</x:v>
      </x:c>
      <x:c r="E108" s="42" t="str">
        <x:f>'Evaluation Plan'!E108</x:f>
      </x:c>
      <x:c r="F108" s="42" t="str">
        <x:f>'Evaluation Plan'!F108</x:f>
        <x:v>401</x:v>
      </x:c>
      <x:c r="G108" s="41" t="str">
        <x:f>'Evaluation Plan'!G108</x:f>
        <x:v>Masked source trajectory: the target identity and physical manipulation are trained under a direct-name prompt, while this relation × candidate-category composition is intentionally absent.</x:v>
      </x:c>
      <x:c r="H108" s="41" t="str">
        <x:f>'Evaluation Plan'!H108</x:f>
        <x:v>crushed Pepsi can</x:v>
      </x:c>
      <x:c r="I108" s="41" t="str"/>
      <x:c r="J108" s="46" t="str">
        <x:f>'Evaluation Plan'!J108</x:f>
        <x:v>Concept/compositional transfer</x:v>
      </x:c>
      <x:c r="K108" s="42" t="str">
        <x:f>'Evaluation Plan'!K108</x:f>
        <x:v>RD-CT47</x:v>
      </x:c>
      <x:c r="L108" s="42" t="str">
        <x:f>'Evaluation Plan'!L108</x:f>
        <x:v>closest</x:v>
      </x:c>
      <x:c r="M108" s="42" t="str">
        <x:f>'Evaluation Plan'!M108</x:f>
        <x:v>crushed soda can</x:v>
      </x:c>
      <x:c r="N108" s="42" t="n">
        <x:f>'Evaluation Plan'!N108</x:f>
        <x:v>5</x:v>
      </x:c>
      <x:c r="O108" s="42" t="n">
        <x:f>'Evaluation Plan'!O108</x:f>
        <x:v>1</x:v>
      </x:c>
      <x:c r="P108" s="42" t="str">
        <x:f>'Evaluation Plan'!P108</x:f>
        <x:v>Empty</x:v>
      </x:c>
      <x:c r="Q108" s="41" t="str">
        <x:f>'Evaluation Plan'!Q108</x:f>
        <x:v>Primary held-out relation × candidate-category composition — Pick up</x:v>
      </x:c>
      <x:c r="R108" s="42" t="n">
        <x:f>'Evaluation Plan'!R108</x:f>
        <x:v>4</x:v>
      </x:c>
      <x:c r="S108" s="41" t="str">
        <x:f>'Evaluation Plan'!S108</x:f>
        <x:v>Build the listed relation scene with the bowl empty.</x:v>
      </x:c>
      <x:c r="T108" s="41" t="str">
        <x:f>'Evaluation Plan'!T108</x:f>
        <x:v>Both candidates are present. The held-out relation is the only information that identifies the target.</x:v>
      </x:c>
      <x:c r="U108" s="41" t="n">
        <x:f>'Evaluation Plan'!U108</x:f>
        <x:v>0</x:v>
      </x:c>
    </x:row>
    <x:row r="109" ht="51" customHeight="1">
      <x:c r="A109" s="44" t="str">
        <x:v>Not collected</x:v>
      </x:c>
      <x:c r="B109" s="45" t="n">
        <x:f>'Evaluation Plan'!B109</x:f>
        <x:v>107</x:v>
      </x:c>
      <x:c r="C109" s="44" t="str">
        <x:f>'Evaluation Plan'!C109</x:f>
        <x:v>Pick up the pencil sharpener between the green pen and the crushed Coke can and place it in the bowl.</x:v>
      </x:c>
      <x:c r="D109" s="44" t="str">
        <x:f>'Evaluation Plan'!D109</x:f>
        <x:v>Reference A: green pen at 14 cm toward robot-right from table centre; Reference B: crushed Coke can at 14 cm away toward robot-left from table centre; red pencil sharpener: at table centre on the straight Reference A–B segment; green pencil sharpener: 12 cm toward robot-left from table centre, off the Reference A–B segment; yellow pen: at the far robot-left corner, outside the distance comparison; Bowl: empty</x:v>
      </x:c>
      <x:c r="E109" s="45" t="str">
        <x:f>'Evaluation Plan'!E109</x:f>
      </x:c>
      <x:c r="F109" s="45" t="str">
        <x:f>'Evaluation Plan'!F109</x:f>
        <x:v>494</x:v>
      </x:c>
      <x:c r="G109" s="44" t="str">
        <x:f>'Evaluation Plan'!G109</x:f>
        <x:v>Masked source trajectory: the target identity and physical manipulation are trained under a direct-name prompt, while this relation × candidate-category composition is intentionally absent.</x:v>
      </x:c>
      <x:c r="H109" s="44" t="str">
        <x:f>'Evaluation Plan'!H109</x:f>
        <x:v>red pencil sharpener</x:v>
      </x:c>
      <x:c r="I109" s="44" t="str"/>
      <x:c r="J109" s="46" t="str">
        <x:f>'Evaluation Plan'!J109</x:f>
        <x:v>Concept/compositional transfer</x:v>
      </x:c>
      <x:c r="K109" s="45" t="str">
        <x:f>'Evaluation Plan'!K109</x:f>
        <x:v>RD-CT48</x:v>
      </x:c>
      <x:c r="L109" s="45" t="str">
        <x:f>'Evaluation Plan'!L109</x:f>
        <x:v>between</x:v>
      </x:c>
      <x:c r="M109" s="45" t="str">
        <x:f>'Evaluation Plan'!M109</x:f>
        <x:v>pencil sharpener</x:v>
      </x:c>
      <x:c r="N109" s="45" t="n">
        <x:f>'Evaluation Plan'!N109</x:f>
        <x:v>5</x:v>
      </x:c>
      <x:c r="O109" s="45" t="n">
        <x:f>'Evaluation Plan'!O109</x:f>
        <x:v>1</x:v>
      </x:c>
      <x:c r="P109" s="45" t="str">
        <x:f>'Evaluation Plan'!P109</x:f>
        <x:v>Empty</x:v>
      </x:c>
      <x:c r="Q109" s="44" t="str">
        <x:f>'Evaluation Plan'!Q109</x:f>
        <x:v>Primary held-out relation × candidate-category composition — Pick up</x:v>
      </x:c>
      <x:c r="R109" s="45" t="n">
        <x:f>'Evaluation Plan'!R109</x:f>
        <x:v>4</x:v>
      </x:c>
      <x:c r="S109" s="44" t="str">
        <x:f>'Evaluation Plan'!S109</x:f>
        <x:v>Build the listed relation scene with the bowl empty.</x:v>
      </x:c>
      <x:c r="T109" s="44" t="str">
        <x:f>'Evaluation Plan'!T109</x:f>
        <x:v>Both candidates are present. The held-out relation is the only information that identifies the target.</x:v>
      </x:c>
      <x:c r="U109" s="44" t="n">
        <x:f>'Evaluation Plan'!U109</x:f>
        <x:v>0</x:v>
      </x:c>
    </x:row>
    <x:row r="110" ht="51" customHeight="1">
      <x:c r="A110" s="41" t="str">
        <x:v>Not collected</x:v>
      </x:c>
      <x:c r="B110" s="42" t="n">
        <x:f>'Evaluation Plan'!B110</x:f>
        <x:v>108</x:v>
      </x:c>
      <x:c r="C110" s="41" t="str">
        <x:f>'Evaluation Plan'!C110</x:f>
        <x:v>Put the airplane toy furthest from the crushed Pepsi can in the bowl.</x:v>
      </x:c>
      <x:c r="D110" s="41" t="str">
        <x:f>'Evaluation Plan'!D110</x:f>
        <x:v>Reference: crushed Pepsi can at table centre; airplane toy without propellers: 10 cm toward robot-left from the reference; airplane toy with propellers: 24 cm away toward robot-right from the reference; green pen: at the far robot-left corner, outside the distance comparison; yellow pen: at the far robot-right corner, outside the distance comparison; Bowl: empty</x:v>
      </x:c>
      <x:c r="E110" s="42" t="str">
        <x:f>'Evaluation Plan'!E110</x:f>
      </x:c>
      <x:c r="F110" s="42" t="str">
        <x:f>'Evaluation Plan'!F110</x:f>
        <x:v>568</x:v>
      </x:c>
      <x:c r="G110" s="41" t="str">
        <x:f>'Evaluation Plan'!G110</x:f>
        <x:v>Masked source trajectory: the target identity and physical manipulation are trained under a direct-name prompt, while this relation × candidate-category composition is intentionally absent.</x:v>
      </x:c>
      <x:c r="H110" s="41" t="str">
        <x:f>'Evaluation Plan'!H110</x:f>
        <x:v>airplane toy with propellers</x:v>
      </x:c>
      <x:c r="I110" s="41" t="str"/>
      <x:c r="J110" s="46" t="str">
        <x:f>'Evaluation Plan'!J110</x:f>
        <x:v>Concept/compositional transfer</x:v>
      </x:c>
      <x:c r="K110" s="42" t="str">
        <x:f>'Evaluation Plan'!K110</x:f>
        <x:v>RD-CT49</x:v>
      </x:c>
      <x:c r="L110" s="42" t="str">
        <x:f>'Evaluation Plan'!L110</x:f>
        <x:v>furthest</x:v>
      </x:c>
      <x:c r="M110" s="42" t="str">
        <x:f>'Evaluation Plan'!M110</x:f>
        <x:v>airplane toy</x:v>
      </x:c>
      <x:c r="N110" s="42" t="n">
        <x:f>'Evaluation Plan'!N110</x:f>
        <x:v>5</x:v>
      </x:c>
      <x:c r="O110" s="42" t="n">
        <x:f>'Evaluation Plan'!O110</x:f>
        <x:v>1</x:v>
      </x:c>
      <x:c r="P110" s="42" t="str">
        <x:f>'Evaluation Plan'!P110</x:f>
        <x:v>Empty</x:v>
      </x:c>
      <x:c r="Q110" s="41" t="str">
        <x:f>'Evaluation Plan'!Q110</x:f>
        <x:v>Primary held-out relation × candidate-category composition — Put</x:v>
      </x:c>
      <x:c r="R110" s="42" t="n">
        <x:f>'Evaluation Plan'!R110</x:f>
        <x:v>4</x:v>
      </x:c>
      <x:c r="S110" s="41" t="str">
        <x:f>'Evaluation Plan'!S110</x:f>
        <x:v>Build the listed relation scene with the bowl empty.</x:v>
      </x:c>
      <x:c r="T110" s="41" t="str">
        <x:f>'Evaluation Plan'!T110</x:f>
        <x:v>Both candidates are present. The held-out relation is the only information that identifies the target.</x:v>
      </x:c>
      <x:c r="U110" s="41" t="n">
        <x:f>'Evaluation Plan'!U110</x:f>
        <x:v>0</x:v>
      </x:c>
    </x:row>
    <x:row r="111" ht="51" customHeight="1">
      <x:c r="A111" s="44" t="str">
        <x:v>Not collected</x:v>
      </x:c>
      <x:c r="B111" s="45" t="n">
        <x:f>'Evaluation Plan'!B111</x:f>
        <x:v>109</x:v>
      </x:c>
      <x:c r="C111" s="44" t="str">
        <x:f>'Evaluation Plan'!C111</x:f>
        <x:v>Put the crushed soda can closest to the airplane toy without propellers in the bowl.</x:v>
      </x:c>
      <x:c r="D111" s="44" t="str">
        <x:f>'Evaluation Plan'!D111</x:f>
        <x:v>Reference: airplane toy without propellers at table centre; crushed Coke can: 10 cm toward robot-left from the reference; crushed Pepsi can: 24 cm away toward robot-right from the reference; green pencil sharpener: at the far robot-left corner, outside the distance comparison; red pencil sharpener: at the far robot-right corner, outside the distance comparison; Bowl: empty</x:v>
      </x:c>
      <x:c r="E111" s="45" t="str">
        <x:f>'Evaluation Plan'!E111</x:f>
      </x:c>
      <x:c r="F111" s="45" t="str">
        <x:f>'Evaluation Plan'!F111</x:f>
        <x:v>400</x:v>
      </x:c>
      <x:c r="G111" s="44" t="str">
        <x:f>'Evaluation Plan'!G111</x:f>
        <x:v>Masked source trajectory: the target identity and physical manipulation are trained under a direct-name prompt, while this relation × candidate-category composition is intentionally absent.</x:v>
      </x:c>
      <x:c r="H111" s="44" t="str">
        <x:f>'Evaluation Plan'!H111</x:f>
        <x:v>crushed Coke can</x:v>
      </x:c>
      <x:c r="I111" s="44" t="str"/>
      <x:c r="J111" s="46" t="str">
        <x:f>'Evaluation Plan'!J111</x:f>
        <x:v>Concept/compositional transfer</x:v>
      </x:c>
      <x:c r="K111" s="45" t="str">
        <x:f>'Evaluation Plan'!K111</x:f>
        <x:v>RD-CT50</x:v>
      </x:c>
      <x:c r="L111" s="45" t="str">
        <x:f>'Evaluation Plan'!L111</x:f>
        <x:v>closest</x:v>
      </x:c>
      <x:c r="M111" s="45" t="str">
        <x:f>'Evaluation Plan'!M111</x:f>
        <x:v>crushed soda can</x:v>
      </x:c>
      <x:c r="N111" s="45" t="n">
        <x:f>'Evaluation Plan'!N111</x:f>
        <x:v>5</x:v>
      </x:c>
      <x:c r="O111" s="45" t="n">
        <x:f>'Evaluation Plan'!O111</x:f>
        <x:v>1</x:v>
      </x:c>
      <x:c r="P111" s="45" t="str">
        <x:f>'Evaluation Plan'!P111</x:f>
        <x:v>Empty</x:v>
      </x:c>
      <x:c r="Q111" s="44" t="str">
        <x:f>'Evaluation Plan'!Q111</x:f>
        <x:v>Primary held-out relation × candidate-category composition — Put</x:v>
      </x:c>
      <x:c r="R111" s="45" t="n">
        <x:f>'Evaluation Plan'!R111</x:f>
        <x:v>4</x:v>
      </x:c>
      <x:c r="S111" s="44" t="str">
        <x:f>'Evaluation Plan'!S111</x:f>
        <x:v>Build the listed relation scene with the bowl empty.</x:v>
      </x:c>
      <x:c r="T111" s="44" t="str">
        <x:f>'Evaluation Plan'!T111</x:f>
        <x:v>Both candidates are present. The held-out relation is the only information that identifies the target.</x:v>
      </x:c>
      <x:c r="U111" s="44" t="n">
        <x:f>'Evaluation Plan'!U111</x:f>
        <x:v>0</x:v>
      </x:c>
    </x:row>
    <x:row r="112" ht="51" customHeight="1">
      <x:c r="A112" s="41" t="str">
        <x:v>Not collected</x:v>
      </x:c>
      <x:c r="B112" s="42" t="n">
        <x:f>'Evaluation Plan'!B112</x:f>
        <x:v>110</x:v>
      </x:c>
      <x:c r="C112" s="41" t="str">
        <x:f>'Evaluation Plan'!C112</x:f>
        <x:v>Pick up the block closest to the crushed Coke can and place it in the bowl.</x:v>
      </x:c>
      <x:c r="D112" s="41" t="str">
        <x:f>'Evaluation Plan'!D112</x:f>
        <x:v>Reference: crushed Coke can at table centre; green block: 10 cm toward the robot from the reference; blue block: 24 cm away from the robot from the reference; airplane toy with propellers: at the far robot-left corner, outside the distance comparison; Bowl: empty</x:v>
      </x:c>
      <x:c r="E112" s="42" t="str">
        <x:f>'Evaluation Plan'!E112</x:f>
      </x:c>
      <x:c r="F112" s="42" t="str">
        <x:f>'Evaluation Plan'!F112</x:f>
        <x:v>500; 1075; 350</x:v>
      </x:c>
      <x:c r="G112" s="41" t="str">
        <x:f>'Evaluation Plan'!G112</x:f>
        <x:v>Relation grounding is explicit in Referential Disambiguation, and both block identities are manipulated elsewhere in fine-tuning; block × referential-relation is absent.</x:v>
      </x:c>
      <x:c r="H112" s="41" t="str">
        <x:f>'Evaluation Plan'!H112</x:f>
        <x:v>green block</x:v>
      </x:c>
      <x:c r="I112" s="41" t="str"/>
      <x:c r="J112" s="47" t="str">
        <x:f>'Evaluation Plan'!J112</x:f>
        <x:v>Cross-task block reasoning</x:v>
      </x:c>
      <x:c r="K112" s="42" t="str">
        <x:f>'Evaluation Plan'!K112</x:f>
        <x:v>RD-BLOCK01</x:v>
      </x:c>
      <x:c r="L112" s="42" t="str">
        <x:f>'Evaluation Plan'!L112</x:f>
        <x:v>closest</x:v>
      </x:c>
      <x:c r="M112" s="42" t="str">
        <x:f>'Evaluation Plan'!M112</x:f>
        <x:v>block</x:v>
      </x:c>
      <x:c r="N112" s="42" t="n">
        <x:f>'Evaluation Plan'!N112</x:f>
        <x:v>4</x:v>
      </x:c>
      <x:c r="O112" s="42" t="n">
        <x:f>'Evaluation Plan'!O112</x:f>
        <x:v>1</x:v>
      </x:c>
      <x:c r="P112" s="42" t="str">
        <x:f>'Evaluation Plan'!P112</x:f>
        <x:v>Empty</x:v>
      </x:c>
      <x:c r="Q112" s="41" t="str">
        <x:f>'Evaluation Plan'!Q112</x:f>
        <x:v>Cross-task block candidate pair — closest</x:v>
      </x:c>
      <x:c r="R112" s="42" t="n">
        <x:f>'Evaluation Plan'!R112</x:f>
        <x:v>5</x:v>
      </x:c>
      <x:c r="S112" s="41" t="str">
        <x:f>'Evaluation Plan'!S112</x:f>
        <x:v>Build the listed four-object block scene with the bowl empty.</x:v>
      </x:c>
      <x:c r="T112" s="41" t="str">
        <x:f>'Evaluation Plan'!T112</x:f>
        <x:v>Reasoning-only cross-task diagnostic; no direct-name block control is included.</x:v>
      </x:c>
      <x:c r="U112" s="41" t="n">
        <x:f>'Evaluation Plan'!U112</x:f>
        <x:v>0</x:v>
      </x:c>
    </x:row>
    <x:row r="113" ht="51" customHeight="1">
      <x:c r="A113" s="32" t="str">
        <x:v>Not collected</x:v>
      </x:c>
      <x:c r="B113" s="34" t="n">
        <x:f>'Evaluation Plan'!B113</x:f>
        <x:v>111</x:v>
      </x:c>
      <x:c r="C113" s="32" t="str">
        <x:f>'Evaluation Plan'!C113</x:f>
        <x:v>Put the block furthest from the crushed Coke can in the bowl.</x:v>
      </x:c>
      <x:c r="D113" s="32" t="str">
        <x:f>'Evaluation Plan'!D113</x:f>
        <x:v>Reference: crushed Coke can at table centre; green block: 10 cm toward the robot from the reference; blue block: 24 cm away from the robot from the reference; airplane toy with propellers: at the far robot-left corner, outside the distance comparison; Bowl: empty</x:v>
      </x:c>
      <x:c r="E113" s="34" t="n">
        <x:f>'Evaluation Plan'!E113</x:f>
        <x:v>110</x:v>
      </x:c>
      <x:c r="F113" s="34" t="str">
        <x:f>'Evaluation Plan'!F113</x:f>
        <x:v>515; 1075; 350</x:v>
      </x:c>
      <x:c r="G113" s="32" t="str">
        <x:f>'Evaluation Plan'!G113</x:f>
        <x:v>Relation grounding is explicit in Referential Disambiguation, and both block identities are manipulated elsewhere in fine-tuning; block × referential-relation is absent.</x:v>
      </x:c>
      <x:c r="H113" s="32" t="str">
        <x:f>'Evaluation Plan'!H113</x:f>
        <x:v>blue block</x:v>
      </x:c>
      <x:c r="I113" s="32" t="str"/>
      <x:c r="J113" s="39" t="str">
        <x:f>'Evaluation Plan'!J113</x:f>
        <x:v>Cross-task block reasoning</x:v>
      </x:c>
      <x:c r="K113" s="34" t="str">
        <x:f>'Evaluation Plan'!K113</x:f>
        <x:v>RD-BLOCK01</x:v>
      </x:c>
      <x:c r="L113" s="34" t="str">
        <x:f>'Evaluation Plan'!L113</x:f>
        <x:v>furthest</x:v>
      </x:c>
      <x:c r="M113" s="34" t="str">
        <x:f>'Evaluation Plan'!M113</x:f>
        <x:v>block</x:v>
      </x:c>
      <x:c r="N113" s="34" t="n">
        <x:f>'Evaluation Plan'!N113</x:f>
        <x:v>4</x:v>
      </x:c>
      <x:c r="O113" s="34" t="n">
        <x:f>'Evaluation Plan'!O113</x:f>
        <x:v>1</x:v>
      </x:c>
      <x:c r="P113" s="34" t="str">
        <x:f>'Evaluation Plan'!P113</x:f>
        <x:v>Empty</x:v>
      </x:c>
      <x:c r="Q113" s="32" t="str">
        <x:f>'Evaluation Plan'!Q113</x:f>
        <x:v>Cross-task block candidate pair — furthest</x:v>
      </x:c>
      <x:c r="R113" s="34" t="n">
        <x:f>'Evaluation Plan'!R113</x:f>
        <x:v>5</x:v>
      </x:c>
      <x:c r="S113" s="32" t="str">
        <x:f>'Evaluation Plan'!S113</x:f>
        <x:v>Reset the moved block exactly; preserve the scene; change only the relation prompt.</x:v>
      </x:c>
      <x:c r="T113" s="32" t="str">
        <x:f>'Evaluation Plan'!T113</x:f>
        <x:v>Exact-scene closest/furthest counterfactual; the correct block switches.</x:v>
      </x:c>
      <x:c r="U113" s="32" t="n">
        <x:f>'Evaluation Plan'!U113</x:f>
        <x:v>0</x:v>
      </x:c>
    </x:row>
    <x:row r="114" ht="51" customHeight="1">
      <x:c r="A114" s="41" t="str">
        <x:v>Not collected</x:v>
      </x:c>
      <x:c r="B114" s="42" t="n">
        <x:f>'Evaluation Plan'!B114</x:f>
        <x:v>112</x:v>
      </x:c>
      <x:c r="C114" s="41" t="str">
        <x:f>'Evaluation Plan'!C114</x:f>
        <x:v>Put the block closest to the green pencil sharpener in the bowl.</x:v>
      </x:c>
      <x:c r="D114" s="41" t="str">
        <x:f>'Evaluation Plan'!D114</x:f>
        <x:v>Reference: green pencil sharpener at table centre; blue block: 10 cm away from the robot from the reference; green block: 24 cm toward the robot from the reference; airplane toy without propellers: at the far robot-left corner, outside the distance comparison; Bowl: empty</x:v>
      </x:c>
      <x:c r="E114" s="42" t="str">
        <x:f>'Evaluation Plan'!E114</x:f>
      </x:c>
      <x:c r="F114" s="42" t="str">
        <x:f>'Evaluation Plan'!F114</x:f>
        <x:v>500; 1075; 350</x:v>
      </x:c>
      <x:c r="G114" s="41" t="str">
        <x:f>'Evaluation Plan'!G114</x:f>
        <x:v>Relation grounding is explicit in Referential Disambiguation, and both block identities are manipulated elsewhere in fine-tuning; block × referential-relation is absent.</x:v>
      </x:c>
      <x:c r="H114" s="41" t="str">
        <x:f>'Evaluation Plan'!H114</x:f>
        <x:v>blue block</x:v>
      </x:c>
      <x:c r="I114" s="41" t="str"/>
      <x:c r="J114" s="47" t="str">
        <x:f>'Evaluation Plan'!J114</x:f>
        <x:v>Cross-task block reasoning</x:v>
      </x:c>
      <x:c r="K114" s="42" t="str">
        <x:f>'Evaluation Plan'!K114</x:f>
        <x:v>RD-BLOCK02</x:v>
      </x:c>
      <x:c r="L114" s="42" t="str">
        <x:f>'Evaluation Plan'!L114</x:f>
        <x:v>closest</x:v>
      </x:c>
      <x:c r="M114" s="42" t="str">
        <x:f>'Evaluation Plan'!M114</x:f>
        <x:v>block</x:v>
      </x:c>
      <x:c r="N114" s="42" t="n">
        <x:f>'Evaluation Plan'!N114</x:f>
        <x:v>4</x:v>
      </x:c>
      <x:c r="O114" s="42" t="n">
        <x:f>'Evaluation Plan'!O114</x:f>
        <x:v>1</x:v>
      </x:c>
      <x:c r="P114" s="42" t="str">
        <x:f>'Evaluation Plan'!P114</x:f>
        <x:v>Empty</x:v>
      </x:c>
      <x:c r="Q114" s="41" t="str">
        <x:f>'Evaluation Plan'!Q114</x:f>
        <x:v>Cross-task block candidate pair — closest</x:v>
      </x:c>
      <x:c r="R114" s="42" t="n">
        <x:f>'Evaluation Plan'!R114</x:f>
        <x:v>5</x:v>
      </x:c>
      <x:c r="S114" s="41" t="str">
        <x:f>'Evaluation Plan'!S114</x:f>
        <x:v>Build the listed four-object block scene with the bowl empty.</x:v>
      </x:c>
      <x:c r="T114" s="41" t="str">
        <x:f>'Evaluation Plan'!T114</x:f>
        <x:v>Reasoning-only cross-task diagnostic; no direct-name block control is included.</x:v>
      </x:c>
      <x:c r="U114" s="41" t="n">
        <x:f>'Evaluation Plan'!U114</x:f>
        <x:v>0</x:v>
      </x:c>
    </x:row>
    <x:row r="115" ht="51" customHeight="1">
      <x:c r="A115" s="32" t="str">
        <x:v>Not collected</x:v>
      </x:c>
      <x:c r="B115" s="34" t="n">
        <x:f>'Evaluation Plan'!B115</x:f>
        <x:v>113</x:v>
      </x:c>
      <x:c r="C115" s="32" t="str">
        <x:f>'Evaluation Plan'!C115</x:f>
        <x:v>Move the block furthest from the green pencil sharpener into the bowl.</x:v>
      </x:c>
      <x:c r="D115" s="32" t="str">
        <x:f>'Evaluation Plan'!D115</x:f>
        <x:v>Reference: green pencil sharpener at table centre; blue block: 10 cm away from the robot from the reference; green block: 24 cm toward the robot from the reference; airplane toy without propellers: at the far robot-left corner, outside the distance comparison; Bowl: empty</x:v>
      </x:c>
      <x:c r="E115" s="34" t="n">
        <x:f>'Evaluation Plan'!E115</x:f>
        <x:v>112</x:v>
      </x:c>
      <x:c r="F115" s="34" t="str">
        <x:f>'Evaluation Plan'!F115</x:f>
        <x:v>515; 1075; 350</x:v>
      </x:c>
      <x:c r="G115" s="32" t="str">
        <x:f>'Evaluation Plan'!G115</x:f>
        <x:v>Relation grounding is explicit in Referential Disambiguation, and both block identities are manipulated elsewhere in fine-tuning; block × referential-relation is absent.</x:v>
      </x:c>
      <x:c r="H115" s="32" t="str">
        <x:f>'Evaluation Plan'!H115</x:f>
        <x:v>green block</x:v>
      </x:c>
      <x:c r="I115" s="32" t="str"/>
      <x:c r="J115" s="39" t="str">
        <x:f>'Evaluation Plan'!J115</x:f>
        <x:v>Cross-task block reasoning</x:v>
      </x:c>
      <x:c r="K115" s="34" t="str">
        <x:f>'Evaluation Plan'!K115</x:f>
        <x:v>RD-BLOCK02</x:v>
      </x:c>
      <x:c r="L115" s="34" t="str">
        <x:f>'Evaluation Plan'!L115</x:f>
        <x:v>furthest</x:v>
      </x:c>
      <x:c r="M115" s="34" t="str">
        <x:f>'Evaluation Plan'!M115</x:f>
        <x:v>block</x:v>
      </x:c>
      <x:c r="N115" s="34" t="n">
        <x:f>'Evaluation Plan'!N115</x:f>
        <x:v>4</x:v>
      </x:c>
      <x:c r="O115" s="34" t="n">
        <x:f>'Evaluation Plan'!O115</x:f>
        <x:v>1</x:v>
      </x:c>
      <x:c r="P115" s="34" t="str">
        <x:f>'Evaluation Plan'!P115</x:f>
        <x:v>Empty</x:v>
      </x:c>
      <x:c r="Q115" s="32" t="str">
        <x:f>'Evaluation Plan'!Q115</x:f>
        <x:v>Cross-task block candidate pair — furthest</x:v>
      </x:c>
      <x:c r="R115" s="34" t="n">
        <x:f>'Evaluation Plan'!R115</x:f>
        <x:v>5</x:v>
      </x:c>
      <x:c r="S115" s="32" t="str">
        <x:f>'Evaluation Plan'!S115</x:f>
        <x:v>Reset the moved block exactly; preserve the scene; change only the relation prompt.</x:v>
      </x:c>
      <x:c r="T115" s="32" t="str">
        <x:f>'Evaluation Plan'!T115</x:f>
        <x:v>Exact-scene closest/furthest counterfactual; the correct block switches.</x:v>
      </x:c>
      <x:c r="U115" s="32" t="n">
        <x:f>'Evaluation Plan'!U115</x:f>
        <x:v>0</x:v>
      </x:c>
    </x:row>
    <x:row r="116" ht="51" customHeight="1">
      <x:c r="A116" s="41" t="str">
        <x:v>Not collected</x:v>
      </x:c>
      <x:c r="B116" s="42" t="n">
        <x:f>'Evaluation Plan'!B116</x:f>
        <x:v>114</x:v>
      </x:c>
      <x:c r="C116" s="41" t="str">
        <x:f>'Evaluation Plan'!C116</x:f>
        <x:v>Move the block closest to the green pen into the bowl.</x:v>
      </x:c>
      <x:c r="D116" s="41" t="str">
        <x:f>'Evaluation Plan'!D116</x:f>
        <x:v>Reference: green pen at table centre; green block: 10 cm toward robot-left from the reference; blue block: 24 cm away toward robot-right from the reference; crushed Coke can: at the far robot-left corner, outside the distance comparison; Bowl: empty</x:v>
      </x:c>
      <x:c r="E116" s="42" t="str">
        <x:f>'Evaluation Plan'!E116</x:f>
      </x:c>
      <x:c r="F116" s="42" t="str">
        <x:f>'Evaluation Plan'!F116</x:f>
        <x:v>500; 1075; 350</x:v>
      </x:c>
      <x:c r="G116" s="41" t="str">
        <x:f>'Evaluation Plan'!G116</x:f>
        <x:v>Relation grounding is explicit in Referential Disambiguation, and both block identities are manipulated elsewhere in fine-tuning; block × referential-relation is absent.</x:v>
      </x:c>
      <x:c r="H116" s="41" t="str">
        <x:f>'Evaluation Plan'!H116</x:f>
        <x:v>green block</x:v>
      </x:c>
      <x:c r="I116" s="41" t="str"/>
      <x:c r="J116" s="47" t="str">
        <x:f>'Evaluation Plan'!J116</x:f>
        <x:v>Cross-task block reasoning</x:v>
      </x:c>
      <x:c r="K116" s="42" t="str">
        <x:f>'Evaluation Plan'!K116</x:f>
        <x:v>RD-BLOCK03</x:v>
      </x:c>
      <x:c r="L116" s="42" t="str">
        <x:f>'Evaluation Plan'!L116</x:f>
        <x:v>closest</x:v>
      </x:c>
      <x:c r="M116" s="42" t="str">
        <x:f>'Evaluation Plan'!M116</x:f>
        <x:v>block</x:v>
      </x:c>
      <x:c r="N116" s="42" t="n">
        <x:f>'Evaluation Plan'!N116</x:f>
        <x:v>4</x:v>
      </x:c>
      <x:c r="O116" s="42" t="n">
        <x:f>'Evaluation Plan'!O116</x:f>
        <x:v>1</x:v>
      </x:c>
      <x:c r="P116" s="42" t="str">
        <x:f>'Evaluation Plan'!P116</x:f>
        <x:v>Empty</x:v>
      </x:c>
      <x:c r="Q116" s="41" t="str">
        <x:f>'Evaluation Plan'!Q116</x:f>
        <x:v>Cross-task block candidate pair — closest</x:v>
      </x:c>
      <x:c r="R116" s="42" t="n">
        <x:f>'Evaluation Plan'!R116</x:f>
        <x:v>5</x:v>
      </x:c>
      <x:c r="S116" s="41" t="str">
        <x:f>'Evaluation Plan'!S116</x:f>
        <x:v>Build the listed four-object block scene with the bowl empty.</x:v>
      </x:c>
      <x:c r="T116" s="41" t="str">
        <x:f>'Evaluation Plan'!T116</x:f>
        <x:v>Reasoning-only cross-task diagnostic; no direct-name block control is included.</x:v>
      </x:c>
      <x:c r="U116" s="41" t="n">
        <x:f>'Evaluation Plan'!U116</x:f>
        <x:v>0</x:v>
      </x:c>
    </x:row>
    <x:row r="117" ht="51" customHeight="1">
      <x:c r="A117" s="32" t="str">
        <x:v>Not collected</x:v>
      </x:c>
      <x:c r="B117" s="34" t="n">
        <x:f>'Evaluation Plan'!B117</x:f>
        <x:v>115</x:v>
      </x:c>
      <x:c r="C117" s="32" t="str">
        <x:f>'Evaluation Plan'!C117</x:f>
        <x:v>Pick up the block furthest from the green pen and place it in the bowl.</x:v>
      </x:c>
      <x:c r="D117" s="32" t="str">
        <x:f>'Evaluation Plan'!D117</x:f>
        <x:v>Reference: green pen at table centre; green block: 10 cm toward robot-left from the reference; blue block: 24 cm away toward robot-right from the reference; crushed Coke can: at the far robot-left corner, outside the distance comparison; Bowl: empty</x:v>
      </x:c>
      <x:c r="E117" s="34" t="n">
        <x:f>'Evaluation Plan'!E117</x:f>
        <x:v>114</x:v>
      </x:c>
      <x:c r="F117" s="34" t="str">
        <x:f>'Evaluation Plan'!F117</x:f>
        <x:v>515; 1075; 350</x:v>
      </x:c>
      <x:c r="G117" s="32" t="str">
        <x:f>'Evaluation Plan'!G117</x:f>
        <x:v>Relation grounding is explicit in Referential Disambiguation, and both block identities are manipulated elsewhere in fine-tuning; block × referential-relation is absent.</x:v>
      </x:c>
      <x:c r="H117" s="32" t="str">
        <x:f>'Evaluation Plan'!H117</x:f>
        <x:v>blue block</x:v>
      </x:c>
      <x:c r="I117" s="32" t="str"/>
      <x:c r="J117" s="39" t="str">
        <x:f>'Evaluation Plan'!J117</x:f>
        <x:v>Cross-task block reasoning</x:v>
      </x:c>
      <x:c r="K117" s="34" t="str">
        <x:f>'Evaluation Plan'!K117</x:f>
        <x:v>RD-BLOCK03</x:v>
      </x:c>
      <x:c r="L117" s="34" t="str">
        <x:f>'Evaluation Plan'!L117</x:f>
        <x:v>furthest</x:v>
      </x:c>
      <x:c r="M117" s="34" t="str">
        <x:f>'Evaluation Plan'!M117</x:f>
        <x:v>block</x:v>
      </x:c>
      <x:c r="N117" s="34" t="n">
        <x:f>'Evaluation Plan'!N117</x:f>
        <x:v>4</x:v>
      </x:c>
      <x:c r="O117" s="34" t="n">
        <x:f>'Evaluation Plan'!O117</x:f>
        <x:v>1</x:v>
      </x:c>
      <x:c r="P117" s="34" t="str">
        <x:f>'Evaluation Plan'!P117</x:f>
        <x:v>Empty</x:v>
      </x:c>
      <x:c r="Q117" s="32" t="str">
        <x:f>'Evaluation Plan'!Q117</x:f>
        <x:v>Cross-task block candidate pair — furthest</x:v>
      </x:c>
      <x:c r="R117" s="34" t="n">
        <x:f>'Evaluation Plan'!R117</x:f>
        <x:v>5</x:v>
      </x:c>
      <x:c r="S117" s="32" t="str">
        <x:f>'Evaluation Plan'!S117</x:f>
        <x:v>Reset the moved block exactly; preserve the scene; change only the relation prompt.</x:v>
      </x:c>
      <x:c r="T117" s="32" t="str">
        <x:f>'Evaluation Plan'!T117</x:f>
        <x:v>Exact-scene closest/furthest counterfactual; the correct block switches.</x:v>
      </x:c>
      <x:c r="U117" s="32" t="n">
        <x:f>'Evaluation Plan'!U117</x:f>
        <x:v>0</x:v>
      </x:c>
    </x:row>
    <x:row r="118" ht="51" customHeight="1">
      <x:c r="A118" s="41" t="str">
        <x:v>Not collected</x:v>
      </x:c>
      <x:c r="B118" s="42" t="n">
        <x:f>'Evaluation Plan'!B118</x:f>
        <x:v>116</x:v>
      </x:c>
      <x:c r="C118" s="41" t="str">
        <x:f>'Evaluation Plan'!C118</x:f>
        <x:v>Pick up the block closest to the airplane toy with propellers and place it in the bowl.</x:v>
      </x:c>
      <x:c r="D118" s="41" t="str">
        <x:f>'Evaluation Plan'!D118</x:f>
        <x:v>Reference: airplane toy with propellers at table centre; blue block: 10 cm toward robot-right from the reference; green block: 24 cm away toward robot-left from the reference; crushed Pepsi can: at the far robot-left corner, outside the distance comparison; Bowl: empty</x:v>
      </x:c>
      <x:c r="E118" s="42" t="str">
        <x:f>'Evaluation Plan'!E118</x:f>
      </x:c>
      <x:c r="F118" s="42" t="str">
        <x:f>'Evaluation Plan'!F118</x:f>
        <x:v>500; 1075; 350</x:v>
      </x:c>
      <x:c r="G118" s="41" t="str">
        <x:f>'Evaluation Plan'!G118</x:f>
        <x:v>Relation grounding is explicit in Referential Disambiguation, and both block identities are manipulated elsewhere in fine-tuning; block × referential-relation is absent.</x:v>
      </x:c>
      <x:c r="H118" s="41" t="str">
        <x:f>'Evaluation Plan'!H118</x:f>
        <x:v>blue block</x:v>
      </x:c>
      <x:c r="I118" s="41" t="str"/>
      <x:c r="J118" s="47" t="str">
        <x:f>'Evaluation Plan'!J118</x:f>
        <x:v>Cross-task block reasoning</x:v>
      </x:c>
      <x:c r="K118" s="42" t="str">
        <x:f>'Evaluation Plan'!K118</x:f>
        <x:v>RD-BLOCK04</x:v>
      </x:c>
      <x:c r="L118" s="42" t="str">
        <x:f>'Evaluation Plan'!L118</x:f>
        <x:v>closest</x:v>
      </x:c>
      <x:c r="M118" s="42" t="str">
        <x:f>'Evaluation Plan'!M118</x:f>
        <x:v>block</x:v>
      </x:c>
      <x:c r="N118" s="42" t="n">
        <x:f>'Evaluation Plan'!N118</x:f>
        <x:v>4</x:v>
      </x:c>
      <x:c r="O118" s="42" t="n">
        <x:f>'Evaluation Plan'!O118</x:f>
        <x:v>1</x:v>
      </x:c>
      <x:c r="P118" s="42" t="str">
        <x:f>'Evaluation Plan'!P118</x:f>
        <x:v>Empty</x:v>
      </x:c>
      <x:c r="Q118" s="41" t="str">
        <x:f>'Evaluation Plan'!Q118</x:f>
        <x:v>Cross-task block candidate pair — closest</x:v>
      </x:c>
      <x:c r="R118" s="42" t="n">
        <x:f>'Evaluation Plan'!R118</x:f>
        <x:v>5</x:v>
      </x:c>
      <x:c r="S118" s="41" t="str">
        <x:f>'Evaluation Plan'!S118</x:f>
        <x:v>Build the listed four-object block scene with the bowl empty.</x:v>
      </x:c>
      <x:c r="T118" s="41" t="str">
        <x:f>'Evaluation Plan'!T118</x:f>
        <x:v>Reasoning-only cross-task diagnostic; no direct-name block control is included.</x:v>
      </x:c>
      <x:c r="U118" s="41" t="n">
        <x:f>'Evaluation Plan'!U118</x:f>
        <x:v>0</x:v>
      </x:c>
    </x:row>
    <x:row r="119" ht="51" customHeight="1">
      <x:c r="A119" s="32" t="str">
        <x:v>Not collected</x:v>
      </x:c>
      <x:c r="B119" s="34" t="n">
        <x:f>'Evaluation Plan'!B119</x:f>
        <x:v>117</x:v>
      </x:c>
      <x:c r="C119" s="32" t="str">
        <x:f>'Evaluation Plan'!C119</x:f>
        <x:v>Put the block furthest from the airplane toy with propellers in the bowl.</x:v>
      </x:c>
      <x:c r="D119" s="32" t="str">
        <x:f>'Evaluation Plan'!D119</x:f>
        <x:v>Reference: airplane toy with propellers at table centre; blue block: 10 cm toward robot-right from the reference; green block: 24 cm away toward robot-left from the reference; crushed Pepsi can: at the far robot-left corner, outside the distance comparison; Bowl: empty</x:v>
      </x:c>
      <x:c r="E119" s="34" t="n">
        <x:f>'Evaluation Plan'!E119</x:f>
        <x:v>116</x:v>
      </x:c>
      <x:c r="F119" s="34" t="str">
        <x:f>'Evaluation Plan'!F119</x:f>
        <x:v>515; 1075; 350</x:v>
      </x:c>
      <x:c r="G119" s="32" t="str">
        <x:f>'Evaluation Plan'!G119</x:f>
        <x:v>Relation grounding is explicit in Referential Disambiguation, and both block identities are manipulated elsewhere in fine-tuning; block × referential-relation is absent.</x:v>
      </x:c>
      <x:c r="H119" s="32" t="str">
        <x:f>'Evaluation Plan'!H119</x:f>
        <x:v>green block</x:v>
      </x:c>
      <x:c r="I119" s="32" t="str"/>
      <x:c r="J119" s="39" t="str">
        <x:f>'Evaluation Plan'!J119</x:f>
        <x:v>Cross-task block reasoning</x:v>
      </x:c>
      <x:c r="K119" s="34" t="str">
        <x:f>'Evaluation Plan'!K119</x:f>
        <x:v>RD-BLOCK04</x:v>
      </x:c>
      <x:c r="L119" s="34" t="str">
        <x:f>'Evaluation Plan'!L119</x:f>
        <x:v>furthest</x:v>
      </x:c>
      <x:c r="M119" s="34" t="str">
        <x:f>'Evaluation Plan'!M119</x:f>
        <x:v>block</x:v>
      </x:c>
      <x:c r="N119" s="34" t="n">
        <x:f>'Evaluation Plan'!N119</x:f>
        <x:v>4</x:v>
      </x:c>
      <x:c r="O119" s="34" t="n">
        <x:f>'Evaluation Plan'!O119</x:f>
        <x:v>1</x:v>
      </x:c>
      <x:c r="P119" s="34" t="str">
        <x:f>'Evaluation Plan'!P119</x:f>
        <x:v>Empty</x:v>
      </x:c>
      <x:c r="Q119" s="32" t="str">
        <x:f>'Evaluation Plan'!Q119</x:f>
        <x:v>Cross-task block candidate pair — furthest</x:v>
      </x:c>
      <x:c r="R119" s="34" t="n">
        <x:f>'Evaluation Plan'!R119</x:f>
        <x:v>5</x:v>
      </x:c>
      <x:c r="S119" s="32" t="str">
        <x:f>'Evaluation Plan'!S119</x:f>
        <x:v>Reset the moved block exactly; preserve the scene; change only the relation prompt.</x:v>
      </x:c>
      <x:c r="T119" s="32" t="str">
        <x:f>'Evaluation Plan'!T119</x:f>
        <x:v>Exact-scene closest/furthest counterfactual; the correct block switches.</x:v>
      </x:c>
      <x:c r="U119" s="32" t="n">
        <x:f>'Evaluation Plan'!U119</x:f>
        <x:v>0</x:v>
      </x:c>
    </x:row>
    <x:row r="120" ht="51" customHeight="1">
      <x:c r="A120" s="41" t="str">
        <x:v>Not collected</x:v>
      </x:c>
      <x:c r="B120" s="42" t="n">
        <x:f>'Evaluation Plan'!B120</x:f>
        <x:v>118</x:v>
      </x:c>
      <x:c r="C120" s="41" t="str">
        <x:f>'Evaluation Plan'!C120</x:f>
        <x:v>Put the block closest to the crushed Coke can in the bowl.</x:v>
      </x:c>
      <x:c r="D120" s="41" t="str">
        <x:f>'Evaluation Plan'!D120</x:f>
        <x:v>Reference: crushed Coke can at table centre; green block: 10 cm to robot-left of the reference; blue block: 24 cm to robot-right of the reference; red pencil sharpener: at the far robot-left corner, outside the distance comparison; Bowl: empty</x:v>
      </x:c>
      <x:c r="E120" s="42" t="str">
        <x:f>'Evaluation Plan'!E120</x:f>
      </x:c>
      <x:c r="F120" s="42" t="str">
        <x:f>'Evaluation Plan'!F120</x:f>
        <x:v>500; 1075; 350</x:v>
      </x:c>
      <x:c r="G120" s="41" t="str">
        <x:f>'Evaluation Plan'!G120</x:f>
        <x:v>Relation grounding is explicit in Referential Disambiguation, and both block identities are manipulated elsewhere in fine-tuning; block × referential-relation is absent.</x:v>
      </x:c>
      <x:c r="H120" s="41" t="str">
        <x:f>'Evaluation Plan'!H120</x:f>
        <x:v>green block</x:v>
      </x:c>
      <x:c r="I120" s="41" t="str"/>
      <x:c r="J120" s="47" t="str">
        <x:f>'Evaluation Plan'!J120</x:f>
        <x:v>Cross-task block reasoning</x:v>
      </x:c>
      <x:c r="K120" s="42" t="str">
        <x:f>'Evaluation Plan'!K120</x:f>
        <x:v>RD-BLOCK05</x:v>
      </x:c>
      <x:c r="L120" s="42" t="str">
        <x:f>'Evaluation Plan'!L120</x:f>
        <x:v>closest</x:v>
      </x:c>
      <x:c r="M120" s="42" t="str">
        <x:f>'Evaluation Plan'!M120</x:f>
        <x:v>block</x:v>
      </x:c>
      <x:c r="N120" s="42" t="n">
        <x:f>'Evaluation Plan'!N120</x:f>
        <x:v>4</x:v>
      </x:c>
      <x:c r="O120" s="42" t="n">
        <x:f>'Evaluation Plan'!O120</x:f>
        <x:v>1</x:v>
      </x:c>
      <x:c r="P120" s="42" t="str">
        <x:f>'Evaluation Plan'!P120</x:f>
        <x:v>Empty</x:v>
      </x:c>
      <x:c r="Q120" s="41" t="str">
        <x:f>'Evaluation Plan'!Q120</x:f>
        <x:v>Cross-task block candidate pair — closest</x:v>
      </x:c>
      <x:c r="R120" s="42" t="n">
        <x:f>'Evaluation Plan'!R120</x:f>
        <x:v>5</x:v>
      </x:c>
      <x:c r="S120" s="41" t="str">
        <x:f>'Evaluation Plan'!S120</x:f>
        <x:v>Build the listed four-object block scene with the bowl empty.</x:v>
      </x:c>
      <x:c r="T120" s="41" t="str">
        <x:f>'Evaluation Plan'!T120</x:f>
        <x:v>Reasoning-only cross-task diagnostic; no direct-name block control is included.</x:v>
      </x:c>
      <x:c r="U120" s="41" t="n">
        <x:f>'Evaluation Plan'!U120</x:f>
        <x:v>0</x:v>
      </x:c>
    </x:row>
    <x:row r="121" ht="51" customHeight="1">
      <x:c r="A121" s="32" t="str">
        <x:v>Not collected</x:v>
      </x:c>
      <x:c r="B121" s="34" t="n">
        <x:f>'Evaluation Plan'!B121</x:f>
        <x:v>119</x:v>
      </x:c>
      <x:c r="C121" s="32" t="str">
        <x:f>'Evaluation Plan'!C121</x:f>
        <x:v>Move the block furthest from the crushed Coke can into the bowl.</x:v>
      </x:c>
      <x:c r="D121" s="32" t="str">
        <x:f>'Evaluation Plan'!D121</x:f>
        <x:v>Reference: crushed Coke can at table centre; green block: 10 cm to robot-left of the reference; blue block: 24 cm to robot-right of the reference; red pencil sharpener: at the far robot-left corner, outside the distance comparison; Bowl: empty</x:v>
      </x:c>
      <x:c r="E121" s="34" t="n">
        <x:f>'Evaluation Plan'!E121</x:f>
        <x:v>118</x:v>
      </x:c>
      <x:c r="F121" s="34" t="str">
        <x:f>'Evaluation Plan'!F121</x:f>
        <x:v>515; 1075; 350</x:v>
      </x:c>
      <x:c r="G121" s="32" t="str">
        <x:f>'Evaluation Plan'!G121</x:f>
        <x:v>Relation grounding is explicit in Referential Disambiguation, and both block identities are manipulated elsewhere in fine-tuning; block × referential-relation is absent.</x:v>
      </x:c>
      <x:c r="H121" s="32" t="str">
        <x:f>'Evaluation Plan'!H121</x:f>
        <x:v>blue block</x:v>
      </x:c>
      <x:c r="I121" s="32" t="str"/>
      <x:c r="J121" s="39" t="str">
        <x:f>'Evaluation Plan'!J121</x:f>
        <x:v>Cross-task block reasoning</x:v>
      </x:c>
      <x:c r="K121" s="34" t="str">
        <x:f>'Evaluation Plan'!K121</x:f>
        <x:v>RD-BLOCK05</x:v>
      </x:c>
      <x:c r="L121" s="34" t="str">
        <x:f>'Evaluation Plan'!L121</x:f>
        <x:v>furthest</x:v>
      </x:c>
      <x:c r="M121" s="34" t="str">
        <x:f>'Evaluation Plan'!M121</x:f>
        <x:v>block</x:v>
      </x:c>
      <x:c r="N121" s="34" t="n">
        <x:f>'Evaluation Plan'!N121</x:f>
        <x:v>4</x:v>
      </x:c>
      <x:c r="O121" s="34" t="n">
        <x:f>'Evaluation Plan'!O121</x:f>
        <x:v>1</x:v>
      </x:c>
      <x:c r="P121" s="34" t="str">
        <x:f>'Evaluation Plan'!P121</x:f>
        <x:v>Empty</x:v>
      </x:c>
      <x:c r="Q121" s="32" t="str">
        <x:f>'Evaluation Plan'!Q121</x:f>
        <x:v>Cross-task block candidate pair — furthest</x:v>
      </x:c>
      <x:c r="R121" s="34" t="n">
        <x:f>'Evaluation Plan'!R121</x:f>
        <x:v>5</x:v>
      </x:c>
      <x:c r="S121" s="32" t="str">
        <x:f>'Evaluation Plan'!S121</x:f>
        <x:v>Reset the moved block exactly; preserve the scene; change only the relation prompt.</x:v>
      </x:c>
      <x:c r="T121" s="32" t="str">
        <x:f>'Evaluation Plan'!T121</x:f>
        <x:v>Exact-scene closest/furthest counterfactual; the correct block switches.</x:v>
      </x:c>
      <x:c r="U121" s="32" t="n">
        <x:f>'Evaluation Plan'!U121</x:f>
        <x:v>0</x:v>
      </x:c>
    </x:row>
    <x:row r="122" ht="51" customHeight="1">
      <x:c r="A122" s="41" t="str">
        <x:v>Not collected</x:v>
      </x:c>
      <x:c r="B122" s="42" t="n">
        <x:f>'Evaluation Plan'!B122</x:f>
        <x:v>120</x:v>
      </x:c>
      <x:c r="C122" s="41" t="str">
        <x:f>'Evaluation Plan'!C122</x:f>
        <x:v>Move the block closest to the green pencil sharpener into the bowl.</x:v>
      </x:c>
      <x:c r="D122" s="41" t="str">
        <x:f>'Evaluation Plan'!D122</x:f>
        <x:v>Reference: green pencil sharpener at table centre; blue block: 10 cm to robot-right of the reference; green block: 24 cm to robot-left of the reference; green pen: at the far robot-left corner, outside the distance comparison; Bowl: empty</x:v>
      </x:c>
      <x:c r="E122" s="42" t="str">
        <x:f>'Evaluation Plan'!E122</x:f>
      </x:c>
      <x:c r="F122" s="42" t="str">
        <x:f>'Evaluation Plan'!F122</x:f>
        <x:v>500; 1075; 350</x:v>
      </x:c>
      <x:c r="G122" s="41" t="str">
        <x:f>'Evaluation Plan'!G122</x:f>
        <x:v>Relation grounding is explicit in Referential Disambiguation, and both block identities are manipulated elsewhere in fine-tuning; block × referential-relation is absent.</x:v>
      </x:c>
      <x:c r="H122" s="41" t="str">
        <x:f>'Evaluation Plan'!H122</x:f>
        <x:v>blue block</x:v>
      </x:c>
      <x:c r="I122" s="41" t="str"/>
      <x:c r="J122" s="47" t="str">
        <x:f>'Evaluation Plan'!J122</x:f>
        <x:v>Cross-task block reasoning</x:v>
      </x:c>
      <x:c r="K122" s="42" t="str">
        <x:f>'Evaluation Plan'!K122</x:f>
        <x:v>RD-BLOCK06</x:v>
      </x:c>
      <x:c r="L122" s="42" t="str">
        <x:f>'Evaluation Plan'!L122</x:f>
        <x:v>closest</x:v>
      </x:c>
      <x:c r="M122" s="42" t="str">
        <x:f>'Evaluation Plan'!M122</x:f>
        <x:v>block</x:v>
      </x:c>
      <x:c r="N122" s="42" t="n">
        <x:f>'Evaluation Plan'!N122</x:f>
        <x:v>4</x:v>
      </x:c>
      <x:c r="O122" s="42" t="n">
        <x:f>'Evaluation Plan'!O122</x:f>
        <x:v>1</x:v>
      </x:c>
      <x:c r="P122" s="42" t="str">
        <x:f>'Evaluation Plan'!P122</x:f>
        <x:v>Empty</x:v>
      </x:c>
      <x:c r="Q122" s="41" t="str">
        <x:f>'Evaluation Plan'!Q122</x:f>
        <x:v>Cross-task block candidate pair — closest</x:v>
      </x:c>
      <x:c r="R122" s="42" t="n">
        <x:f>'Evaluation Plan'!R122</x:f>
        <x:v>5</x:v>
      </x:c>
      <x:c r="S122" s="41" t="str">
        <x:f>'Evaluation Plan'!S122</x:f>
        <x:v>Build the listed four-object block scene with the bowl empty.</x:v>
      </x:c>
      <x:c r="T122" s="41" t="str">
        <x:f>'Evaluation Plan'!T122</x:f>
        <x:v>Reasoning-only cross-task diagnostic; no direct-name block control is included.</x:v>
      </x:c>
      <x:c r="U122" s="41" t="n">
        <x:f>'Evaluation Plan'!U122</x:f>
        <x:v>0</x:v>
      </x:c>
    </x:row>
    <x:row r="123" ht="51" customHeight="1">
      <x:c r="A123" s="32" t="str">
        <x:v>Not collected</x:v>
      </x:c>
      <x:c r="B123" s="34" t="n">
        <x:f>'Evaluation Plan'!B123</x:f>
        <x:v>121</x:v>
      </x:c>
      <x:c r="C123" s="32" t="str">
        <x:f>'Evaluation Plan'!C123</x:f>
        <x:v>Pick up the block furthest from the green pencil sharpener and place it in the bowl.</x:v>
      </x:c>
      <x:c r="D123" s="32" t="str">
        <x:f>'Evaluation Plan'!D123</x:f>
        <x:v>Reference: green pencil sharpener at table centre; blue block: 10 cm to robot-right of the reference; green block: 24 cm to robot-left of the reference; green pen: at the far robot-left corner, outside the distance comparison; Bowl: empty</x:v>
      </x:c>
      <x:c r="E123" s="34" t="n">
        <x:f>'Evaluation Plan'!E123</x:f>
        <x:v>120</x:v>
      </x:c>
      <x:c r="F123" s="34" t="str">
        <x:f>'Evaluation Plan'!F123</x:f>
        <x:v>515; 1075; 350</x:v>
      </x:c>
      <x:c r="G123" s="32" t="str">
        <x:f>'Evaluation Plan'!G123</x:f>
        <x:v>Relation grounding is explicit in Referential Disambiguation, and both block identities are manipulated elsewhere in fine-tuning; block × referential-relation is absent.</x:v>
      </x:c>
      <x:c r="H123" s="32" t="str">
        <x:f>'Evaluation Plan'!H123</x:f>
        <x:v>green block</x:v>
      </x:c>
      <x:c r="I123" s="32" t="str"/>
      <x:c r="J123" s="39" t="str">
        <x:f>'Evaluation Plan'!J123</x:f>
        <x:v>Cross-task block reasoning</x:v>
      </x:c>
      <x:c r="K123" s="34" t="str">
        <x:f>'Evaluation Plan'!K123</x:f>
        <x:v>RD-BLOCK06</x:v>
      </x:c>
      <x:c r="L123" s="34" t="str">
        <x:f>'Evaluation Plan'!L123</x:f>
        <x:v>furthest</x:v>
      </x:c>
      <x:c r="M123" s="34" t="str">
        <x:f>'Evaluation Plan'!M123</x:f>
        <x:v>block</x:v>
      </x:c>
      <x:c r="N123" s="34" t="n">
        <x:f>'Evaluation Plan'!N123</x:f>
        <x:v>4</x:v>
      </x:c>
      <x:c r="O123" s="34" t="n">
        <x:f>'Evaluation Plan'!O123</x:f>
        <x:v>1</x:v>
      </x:c>
      <x:c r="P123" s="34" t="str">
        <x:f>'Evaluation Plan'!P123</x:f>
        <x:v>Empty</x:v>
      </x:c>
      <x:c r="Q123" s="32" t="str">
        <x:f>'Evaluation Plan'!Q123</x:f>
        <x:v>Cross-task block candidate pair — furthest</x:v>
      </x:c>
      <x:c r="R123" s="34" t="n">
        <x:f>'Evaluation Plan'!R123</x:f>
        <x:v>5</x:v>
      </x:c>
      <x:c r="S123" s="32" t="str">
        <x:f>'Evaluation Plan'!S123</x:f>
        <x:v>Reset the moved block exactly; preserve the scene; change only the relation prompt.</x:v>
      </x:c>
      <x:c r="T123" s="32" t="str">
        <x:f>'Evaluation Plan'!T123</x:f>
        <x:v>Exact-scene closest/furthest counterfactual; the correct block switches.</x:v>
      </x:c>
      <x:c r="U123" s="32" t="n">
        <x:f>'Evaluation Plan'!U123</x:f>
        <x:v>0</x:v>
      </x:c>
    </x:row>
    <x:row r="124" ht="51" customHeight="1">
      <x:c r="A124" s="41" t="str">
        <x:v>Not collected</x:v>
      </x:c>
      <x:c r="B124" s="42" t="n">
        <x:f>'Evaluation Plan'!B124</x:f>
        <x:v>122</x:v>
      </x:c>
      <x:c r="C124" s="41" t="str">
        <x:f>'Evaluation Plan'!C124</x:f>
        <x:v>Pick up the block closest to the green pen and place it in the bowl.</x:v>
      </x:c>
      <x:c r="D124" s="41" t="str">
        <x:f>'Evaluation Plan'!D124</x:f>
        <x:v>Reference: green pen at table centre; green block: 10 cm toward the robot from the reference; blue block: 24 cm away from the robot from the reference; yellow pen: at the far robot-left corner, outside the distance comparison; Bowl: empty</x:v>
      </x:c>
      <x:c r="E124" s="42" t="str">
        <x:f>'Evaluation Plan'!E124</x:f>
      </x:c>
      <x:c r="F124" s="42" t="str">
        <x:f>'Evaluation Plan'!F124</x:f>
        <x:v>500; 1075; 350</x:v>
      </x:c>
      <x:c r="G124" s="41" t="str">
        <x:f>'Evaluation Plan'!G124</x:f>
        <x:v>Relation grounding is explicit in Referential Disambiguation, and both block identities are manipulated elsewhere in fine-tuning; block × referential-relation is absent.</x:v>
      </x:c>
      <x:c r="H124" s="41" t="str">
        <x:f>'Evaluation Plan'!H124</x:f>
        <x:v>green block</x:v>
      </x:c>
      <x:c r="I124" s="41" t="str"/>
      <x:c r="J124" s="47" t="str">
        <x:f>'Evaluation Plan'!J124</x:f>
        <x:v>Cross-task block reasoning</x:v>
      </x:c>
      <x:c r="K124" s="42" t="str">
        <x:f>'Evaluation Plan'!K124</x:f>
        <x:v>RD-BLOCK07</x:v>
      </x:c>
      <x:c r="L124" s="42" t="str">
        <x:f>'Evaluation Plan'!L124</x:f>
        <x:v>closest</x:v>
      </x:c>
      <x:c r="M124" s="42" t="str">
        <x:f>'Evaluation Plan'!M124</x:f>
        <x:v>block</x:v>
      </x:c>
      <x:c r="N124" s="42" t="n">
        <x:f>'Evaluation Plan'!N124</x:f>
        <x:v>4</x:v>
      </x:c>
      <x:c r="O124" s="42" t="n">
        <x:f>'Evaluation Plan'!O124</x:f>
        <x:v>1</x:v>
      </x:c>
      <x:c r="P124" s="42" t="str">
        <x:f>'Evaluation Plan'!P124</x:f>
        <x:v>Empty</x:v>
      </x:c>
      <x:c r="Q124" s="41" t="str">
        <x:f>'Evaluation Plan'!Q124</x:f>
        <x:v>Cross-task block candidate pair — closest</x:v>
      </x:c>
      <x:c r="R124" s="42" t="n">
        <x:f>'Evaluation Plan'!R124</x:f>
        <x:v>5</x:v>
      </x:c>
      <x:c r="S124" s="41" t="str">
        <x:f>'Evaluation Plan'!S124</x:f>
        <x:v>Build the listed four-object block scene with the bowl empty.</x:v>
      </x:c>
      <x:c r="T124" s="41" t="str">
        <x:f>'Evaluation Plan'!T124</x:f>
        <x:v>Reasoning-only cross-task diagnostic; no direct-name block control is included.</x:v>
      </x:c>
      <x:c r="U124" s="41" t="n">
        <x:f>'Evaluation Plan'!U124</x:f>
        <x:v>0</x:v>
      </x:c>
    </x:row>
    <x:row r="125" ht="51" customHeight="1">
      <x:c r="A125" s="32" t="str">
        <x:v>Not collected</x:v>
      </x:c>
      <x:c r="B125" s="34" t="n">
        <x:f>'Evaluation Plan'!B125</x:f>
        <x:v>123</x:v>
      </x:c>
      <x:c r="C125" s="32" t="str">
        <x:f>'Evaluation Plan'!C125</x:f>
        <x:v>Put the block furthest from the green pen in the bowl.</x:v>
      </x:c>
      <x:c r="D125" s="32" t="str">
        <x:f>'Evaluation Plan'!D125</x:f>
        <x:v>Reference: green pen at table centre; green block: 10 cm toward the robot from the reference; blue block: 24 cm away from the robot from the reference; yellow pen: at the far robot-left corner, outside the distance comparison; Bowl: empty</x:v>
      </x:c>
      <x:c r="E125" s="34" t="n">
        <x:f>'Evaluation Plan'!E125</x:f>
        <x:v>122</x:v>
      </x:c>
      <x:c r="F125" s="34" t="str">
        <x:f>'Evaluation Plan'!F125</x:f>
        <x:v>515; 1075; 350</x:v>
      </x:c>
      <x:c r="G125" s="32" t="str">
        <x:f>'Evaluation Plan'!G125</x:f>
        <x:v>Relation grounding is explicit in Referential Disambiguation, and both block identities are manipulated elsewhere in fine-tuning; block × referential-relation is absent.</x:v>
      </x:c>
      <x:c r="H125" s="32" t="str">
        <x:f>'Evaluation Plan'!H125</x:f>
        <x:v>blue block</x:v>
      </x:c>
      <x:c r="I125" s="32" t="str"/>
      <x:c r="J125" s="39" t="str">
        <x:f>'Evaluation Plan'!J125</x:f>
        <x:v>Cross-task block reasoning</x:v>
      </x:c>
      <x:c r="K125" s="34" t="str">
        <x:f>'Evaluation Plan'!K125</x:f>
        <x:v>RD-BLOCK07</x:v>
      </x:c>
      <x:c r="L125" s="34" t="str">
        <x:f>'Evaluation Plan'!L125</x:f>
        <x:v>furthest</x:v>
      </x:c>
      <x:c r="M125" s="34" t="str">
        <x:f>'Evaluation Plan'!M125</x:f>
        <x:v>block</x:v>
      </x:c>
      <x:c r="N125" s="34" t="n">
        <x:f>'Evaluation Plan'!N125</x:f>
        <x:v>4</x:v>
      </x:c>
      <x:c r="O125" s="34" t="n">
        <x:f>'Evaluation Plan'!O125</x:f>
        <x:v>1</x:v>
      </x:c>
      <x:c r="P125" s="34" t="str">
        <x:f>'Evaluation Plan'!P125</x:f>
        <x:v>Empty</x:v>
      </x:c>
      <x:c r="Q125" s="32" t="str">
        <x:f>'Evaluation Plan'!Q125</x:f>
        <x:v>Cross-task block candidate pair — furthest</x:v>
      </x:c>
      <x:c r="R125" s="34" t="n">
        <x:f>'Evaluation Plan'!R125</x:f>
        <x:v>5</x:v>
      </x:c>
      <x:c r="S125" s="32" t="str">
        <x:f>'Evaluation Plan'!S125</x:f>
        <x:v>Reset the moved block exactly; preserve the scene; change only the relation prompt.</x:v>
      </x:c>
      <x:c r="T125" s="32" t="str">
        <x:f>'Evaluation Plan'!T125</x:f>
        <x:v>Exact-scene closest/furthest counterfactual; the correct block switches.</x:v>
      </x:c>
      <x:c r="U125" s="32" t="n">
        <x:f>'Evaluation Plan'!U125</x:f>
        <x:v>0</x:v>
      </x:c>
    </x:row>
    <x:row r="126" ht="51" customHeight="1">
      <x:c r="A126" s="41" t="str">
        <x:v>Not collected</x:v>
      </x:c>
      <x:c r="B126" s="42" t="n">
        <x:f>'Evaluation Plan'!B126</x:f>
        <x:v>124</x:v>
      </x:c>
      <x:c r="C126" s="41" t="str">
        <x:f>'Evaluation Plan'!C126</x:f>
        <x:v>Pick up the block between the green pen and the crushed Coke can and place it in the bowl.</x:v>
      </x:c>
      <x:c r="D126" s="41" t="str">
        <x:f>'Evaluation Plan'!D126</x:f>
        <x:v>Reference A: green pen at 14 cm toward robot-left from table centre; Reference B: crushed Coke can at 14 cm away toward robot-right from table centre; green block: at table centre on the straight Reference A–B segment; blue block: 12 cm toward robot-right from table centre, off the Reference A–B segment; Bowl: empty</x:v>
      </x:c>
      <x:c r="E126" s="42" t="str">
        <x:f>'Evaluation Plan'!E126</x:f>
      </x:c>
      <x:c r="F126" s="42" t="str">
        <x:f>'Evaluation Plan'!F126</x:f>
        <x:v>530; 1075; 350</x:v>
      </x:c>
      <x:c r="G126" s="41" t="str">
        <x:f>'Evaluation Plan'!G126</x:f>
        <x:v>Between is explicit in Referential Disambiguation, and both block identities are manipulated elsewhere in fine-tuning; block × between is absent.</x:v>
      </x:c>
      <x:c r="H126" s="41" t="str">
        <x:f>'Evaluation Plan'!H126</x:f>
        <x:v>green block</x:v>
      </x:c>
      <x:c r="I126" s="41" t="str"/>
      <x:c r="J126" s="47" t="str">
        <x:f>'Evaluation Plan'!J126</x:f>
        <x:v>Cross-task block reasoning</x:v>
      </x:c>
      <x:c r="K126" s="42" t="str">
        <x:f>'Evaluation Plan'!K126</x:f>
        <x:v>RD-BLOCK-B01A</x:v>
      </x:c>
      <x:c r="L126" s="42" t="str">
        <x:f>'Evaluation Plan'!L126</x:f>
        <x:v>between</x:v>
      </x:c>
      <x:c r="M126" s="42" t="str">
        <x:f>'Evaluation Plan'!M126</x:f>
        <x:v>block</x:v>
      </x:c>
      <x:c r="N126" s="42" t="n">
        <x:f>'Evaluation Plan'!N126</x:f>
        <x:v>4</x:v>
      </x:c>
      <x:c r="O126" s="42" t="n">
        <x:f>'Evaluation Plan'!O126</x:f>
        <x:v>1</x:v>
      </x:c>
      <x:c r="P126" s="42" t="str">
        <x:f>'Evaluation Plan'!P126</x:f>
        <x:v>Empty</x:v>
      </x:c>
      <x:c r="Q126" s="41" t="str">
        <x:f>'Evaluation Plan'!Q126</x:f>
        <x:v>Cross-task block candidate pair — between</x:v>
      </x:c>
      <x:c r="R126" s="42" t="n">
        <x:f>'Evaluation Plan'!R126</x:f>
        <x:v>5</x:v>
      </x:c>
      <x:c r="S126" s="41" t="str">
        <x:f>'Evaluation Plan'!S126</x:f>
        <x:v>Build the listed four-object between scene.</x:v>
      </x:c>
      <x:c r="T126" s="41" t="str">
        <x:f>'Evaluation Plan'!T126</x:f>
        <x:v>Adjacent between counterfactual scenes alternate which block occupies the midpoint.</x:v>
      </x:c>
      <x:c r="U126" s="41" t="n">
        <x:f>'Evaluation Plan'!U126</x:f>
        <x:v>0</x:v>
      </x:c>
    </x:row>
    <x:row r="127" ht="51" customHeight="1">
      <x:c r="A127" s="44" t="str">
        <x:v>Not collected</x:v>
      </x:c>
      <x:c r="B127" s="45" t="n">
        <x:f>'Evaluation Plan'!B127</x:f>
        <x:v>125</x:v>
      </x:c>
      <x:c r="C127" s="44" t="str">
        <x:f>'Evaluation Plan'!C127</x:f>
        <x:v>Put the block between the yellow pen and the crushed Pepsi can in the bowl.</x:v>
      </x:c>
      <x:c r="D127" s="44" t="str">
        <x:f>'Evaluation Plan'!D127</x:f>
        <x:v>Reference A: yellow pen at 14 cm toward robot-right from table centre; Reference B: crushed Pepsi can at 14 cm away toward robot-left from table centre; blue block: at table centre on the straight Reference A–B segment; green block: 12 cm toward robot-left from table centre, off the Reference A–B segment; Bowl: empty</x:v>
      </x:c>
      <x:c r="E127" s="45" t="str">
        <x:f>'Evaluation Plan'!E127</x:f>
      </x:c>
      <x:c r="F127" s="45" t="str">
        <x:f>'Evaluation Plan'!F127</x:f>
        <x:v>530; 1075; 350</x:v>
      </x:c>
      <x:c r="G127" s="44" t="str">
        <x:f>'Evaluation Plan'!G127</x:f>
        <x:v>Between is explicit in Referential Disambiguation, and both block identities are manipulated elsewhere in fine-tuning; block × between is absent.</x:v>
      </x:c>
      <x:c r="H127" s="44" t="str">
        <x:f>'Evaluation Plan'!H127</x:f>
        <x:v>blue block</x:v>
      </x:c>
      <x:c r="I127" s="44" t="str"/>
      <x:c r="J127" s="47" t="str">
        <x:f>'Evaluation Plan'!J127</x:f>
        <x:v>Cross-task block reasoning</x:v>
      </x:c>
      <x:c r="K127" s="45" t="str">
        <x:f>'Evaluation Plan'!K127</x:f>
        <x:v>RD-BLOCK-B01B</x:v>
      </x:c>
      <x:c r="L127" s="45" t="str">
        <x:f>'Evaluation Plan'!L127</x:f>
        <x:v>between</x:v>
      </x:c>
      <x:c r="M127" s="45" t="str">
        <x:f>'Evaluation Plan'!M127</x:f>
        <x:v>block</x:v>
      </x:c>
      <x:c r="N127" s="45" t="n">
        <x:f>'Evaluation Plan'!N127</x:f>
        <x:v>4</x:v>
      </x:c>
      <x:c r="O127" s="45" t="n">
        <x:f>'Evaluation Plan'!O127</x:f>
        <x:v>1</x:v>
      </x:c>
      <x:c r="P127" s="45" t="str">
        <x:f>'Evaluation Plan'!P127</x:f>
        <x:v>Empty</x:v>
      </x:c>
      <x:c r="Q127" s="44" t="str">
        <x:f>'Evaluation Plan'!Q127</x:f>
        <x:v>Cross-task block candidate pair — between</x:v>
      </x:c>
      <x:c r="R127" s="45" t="n">
        <x:f>'Evaluation Plan'!R127</x:f>
        <x:v>5</x:v>
      </x:c>
      <x:c r="S127" s="44" t="str">
        <x:f>'Evaluation Plan'!S127</x:f>
        <x:v>Swap only the green and blue block roles from the preceding between setup.</x:v>
      </x:c>
      <x:c r="T127" s="44" t="str">
        <x:f>'Evaluation Plan'!T127</x:f>
        <x:v>Adjacent between counterfactual scenes alternate which block occupies the midpoint.</x:v>
      </x:c>
      <x:c r="U127" s="44" t="n">
        <x:f>'Evaluation Plan'!U127</x:f>
        <x:v>0</x:v>
      </x:c>
    </x:row>
    <x:row r="128" ht="51" customHeight="1">
      <x:c r="A128" s="41" t="str">
        <x:v>Not collected</x:v>
      </x:c>
      <x:c r="B128" s="42" t="n">
        <x:f>'Evaluation Plan'!B128</x:f>
        <x:v>126</x:v>
      </x:c>
      <x:c r="C128" s="41" t="str">
        <x:f>'Evaluation Plan'!C128</x:f>
        <x:v>Move the block between the green pencil sharpener and the airplane toy with propellers into the bowl.</x:v>
      </x:c>
      <x:c r="D128" s="41" t="str">
        <x:f>'Evaluation Plan'!D128</x:f>
        <x:v>Reference A: green pencil sharpener at 14 cm to robot-left of table centre; Reference B: airplane toy with propellers at 14 cm to robot-right of table centre; green block: at table centre on the straight Reference A–B segment; blue block: 12 cm toward the robot from table centre, off the Reference A–B segment; Bowl: empty</x:v>
      </x:c>
      <x:c r="E128" s="42" t="str">
        <x:f>'Evaluation Plan'!E128</x:f>
      </x:c>
      <x:c r="F128" s="42" t="str">
        <x:f>'Evaluation Plan'!F128</x:f>
        <x:v>530; 1075; 350</x:v>
      </x:c>
      <x:c r="G128" s="41" t="str">
        <x:f>'Evaluation Plan'!G128</x:f>
        <x:v>Between is explicit in Referential Disambiguation, and both block identities are manipulated elsewhere in fine-tuning; block × between is absent.</x:v>
      </x:c>
      <x:c r="H128" s="41" t="str">
        <x:f>'Evaluation Plan'!H128</x:f>
        <x:v>green block</x:v>
      </x:c>
      <x:c r="I128" s="41" t="str"/>
      <x:c r="J128" s="47" t="str">
        <x:f>'Evaluation Plan'!J128</x:f>
        <x:v>Cross-task block reasoning</x:v>
      </x:c>
      <x:c r="K128" s="42" t="str">
        <x:f>'Evaluation Plan'!K128</x:f>
        <x:v>RD-BLOCK-B02A</x:v>
      </x:c>
      <x:c r="L128" s="42" t="str">
        <x:f>'Evaluation Plan'!L128</x:f>
        <x:v>between</x:v>
      </x:c>
      <x:c r="M128" s="42" t="str">
        <x:f>'Evaluation Plan'!M128</x:f>
        <x:v>block</x:v>
      </x:c>
      <x:c r="N128" s="42" t="n">
        <x:f>'Evaluation Plan'!N128</x:f>
        <x:v>4</x:v>
      </x:c>
      <x:c r="O128" s="42" t="n">
        <x:f>'Evaluation Plan'!O128</x:f>
        <x:v>1</x:v>
      </x:c>
      <x:c r="P128" s="42" t="str">
        <x:f>'Evaluation Plan'!P128</x:f>
        <x:v>Empty</x:v>
      </x:c>
      <x:c r="Q128" s="41" t="str">
        <x:f>'Evaluation Plan'!Q128</x:f>
        <x:v>Cross-task block candidate pair — between</x:v>
      </x:c>
      <x:c r="R128" s="42" t="n">
        <x:f>'Evaluation Plan'!R128</x:f>
        <x:v>5</x:v>
      </x:c>
      <x:c r="S128" s="41" t="str">
        <x:f>'Evaluation Plan'!S128</x:f>
        <x:v>Build the listed four-object between scene.</x:v>
      </x:c>
      <x:c r="T128" s="41" t="str">
        <x:f>'Evaluation Plan'!T128</x:f>
        <x:v>Adjacent between counterfactual scenes alternate which block occupies the midpoint.</x:v>
      </x:c>
      <x:c r="U128" s="41" t="n">
        <x:f>'Evaluation Plan'!U128</x:f>
        <x:v>0</x:v>
      </x:c>
    </x:row>
    <x:row r="129" ht="51" customHeight="1">
      <x:c r="A129" s="44" t="str">
        <x:v>Not collected</x:v>
      </x:c>
      <x:c r="B129" s="45" t="n">
        <x:f>'Evaluation Plan'!B129</x:f>
        <x:v>127</x:v>
      </x:c>
      <x:c r="C129" s="44" t="str">
        <x:f>'Evaluation Plan'!C129</x:f>
        <x:v>Pick up the block between the red pencil sharpener and the airplane toy without propellers and place it in the bowl.</x:v>
      </x:c>
      <x:c r="D129" s="44" t="str">
        <x:f>'Evaluation Plan'!D129</x:f>
        <x:v>Reference A: red pencil sharpener at 14 cm toward the robot from table centre; Reference B: airplane toy without propellers at 14 cm away from the robot from table centre; blue block: at table centre on the straight Reference A–B segment; green block: 12 cm to robot-right of table centre, off the Reference A–B segment; Bowl: empty</x:v>
      </x:c>
      <x:c r="E129" s="45" t="str">
        <x:f>'Evaluation Plan'!E129</x:f>
      </x:c>
      <x:c r="F129" s="45" t="str">
        <x:f>'Evaluation Plan'!F129</x:f>
        <x:v>530; 1075; 350</x:v>
      </x:c>
      <x:c r="G129" s="44" t="str">
        <x:f>'Evaluation Plan'!G129</x:f>
        <x:v>Between is explicit in Referential Disambiguation, and both block identities are manipulated elsewhere in fine-tuning; block × between is absent.</x:v>
      </x:c>
      <x:c r="H129" s="44" t="str">
        <x:f>'Evaluation Plan'!H129</x:f>
        <x:v>blue block</x:v>
      </x:c>
      <x:c r="I129" s="44" t="str"/>
      <x:c r="J129" s="47" t="str">
        <x:f>'Evaluation Plan'!J129</x:f>
        <x:v>Cross-task block reasoning</x:v>
      </x:c>
      <x:c r="K129" s="45" t="str">
        <x:f>'Evaluation Plan'!K129</x:f>
        <x:v>RD-BLOCK-B02B</x:v>
      </x:c>
      <x:c r="L129" s="45" t="str">
        <x:f>'Evaluation Plan'!L129</x:f>
        <x:v>between</x:v>
      </x:c>
      <x:c r="M129" s="45" t="str">
        <x:f>'Evaluation Plan'!M129</x:f>
        <x:v>block</x:v>
      </x:c>
      <x:c r="N129" s="45" t="n">
        <x:f>'Evaluation Plan'!N129</x:f>
        <x:v>4</x:v>
      </x:c>
      <x:c r="O129" s="45" t="n">
        <x:f>'Evaluation Plan'!O129</x:f>
        <x:v>1</x:v>
      </x:c>
      <x:c r="P129" s="45" t="str">
        <x:f>'Evaluation Plan'!P129</x:f>
        <x:v>Empty</x:v>
      </x:c>
      <x:c r="Q129" s="44" t="str">
        <x:f>'Evaluation Plan'!Q129</x:f>
        <x:v>Cross-task block candidate pair — between</x:v>
      </x:c>
      <x:c r="R129" s="45" t="n">
        <x:f>'Evaluation Plan'!R129</x:f>
        <x:v>5</x:v>
      </x:c>
      <x:c r="S129" s="44" t="str">
        <x:f>'Evaluation Plan'!S129</x:f>
        <x:v>Swap only the green and blue block roles from the preceding between setup.</x:v>
      </x:c>
      <x:c r="T129" s="44" t="str">
        <x:f>'Evaluation Plan'!T129</x:f>
        <x:v>Adjacent between counterfactual scenes alternate which block occupies the midpoint.</x:v>
      </x:c>
      <x:c r="U129" s="44" t="n">
        <x:f>'Evaluation Plan'!U129</x:f>
        <x:v>0</x:v>
      </x:c>
    </x:row>
    <x:row r="130" ht="51" customHeight="1">
      <x:c r="A130" s="41" t="str">
        <x:v>Not collected</x:v>
      </x:c>
      <x:c r="B130" s="42" t="n">
        <x:f>'Evaluation Plan'!B130</x:f>
        <x:v>128</x:v>
      </x:c>
      <x:c r="C130" s="41" t="str">
        <x:f>'Evaluation Plan'!C130</x:f>
        <x:v>Put the block between the green pen and the airplane toy without propellers in the bowl.</x:v>
      </x:c>
      <x:c r="D130" s="41" t="str">
        <x:f>'Evaluation Plan'!D130</x:f>
        <x:v>Reference A: green pen at 14 cm toward robot-left from table centre; Reference B: airplane toy without propellers at 14 cm away toward robot-right from table centre; green block: at table centre on the straight Reference A–B segment; blue block: 12 cm toward robot-right from table centre, off the Reference A–B segment; Bowl: empty</x:v>
      </x:c>
      <x:c r="E130" s="42" t="str">
        <x:f>'Evaluation Plan'!E130</x:f>
      </x:c>
      <x:c r="F130" s="42" t="str">
        <x:f>'Evaluation Plan'!F130</x:f>
        <x:v>530; 1075; 350</x:v>
      </x:c>
      <x:c r="G130" s="41" t="str">
        <x:f>'Evaluation Plan'!G130</x:f>
        <x:v>Between is explicit in Referential Disambiguation, and both block identities are manipulated elsewhere in fine-tuning; block × between is absent.</x:v>
      </x:c>
      <x:c r="H130" s="41" t="str">
        <x:f>'Evaluation Plan'!H130</x:f>
        <x:v>green block</x:v>
      </x:c>
      <x:c r="I130" s="41" t="str"/>
      <x:c r="J130" s="47" t="str">
        <x:f>'Evaluation Plan'!J130</x:f>
        <x:v>Cross-task block reasoning</x:v>
      </x:c>
      <x:c r="K130" s="42" t="str">
        <x:f>'Evaluation Plan'!K130</x:f>
        <x:v>RD-BLOCK-B03A</x:v>
      </x:c>
      <x:c r="L130" s="42" t="str">
        <x:f>'Evaluation Plan'!L130</x:f>
        <x:v>between</x:v>
      </x:c>
      <x:c r="M130" s="42" t="str">
        <x:f>'Evaluation Plan'!M130</x:f>
        <x:v>block</x:v>
      </x:c>
      <x:c r="N130" s="42" t="n">
        <x:f>'Evaluation Plan'!N130</x:f>
        <x:v>4</x:v>
      </x:c>
      <x:c r="O130" s="42" t="n">
        <x:f>'Evaluation Plan'!O130</x:f>
        <x:v>1</x:v>
      </x:c>
      <x:c r="P130" s="42" t="str">
        <x:f>'Evaluation Plan'!P130</x:f>
        <x:v>Empty</x:v>
      </x:c>
      <x:c r="Q130" s="41" t="str">
        <x:f>'Evaluation Plan'!Q130</x:f>
        <x:v>Cross-task block candidate pair — between</x:v>
      </x:c>
      <x:c r="R130" s="42" t="n">
        <x:f>'Evaluation Plan'!R130</x:f>
        <x:v>5</x:v>
      </x:c>
      <x:c r="S130" s="41" t="str">
        <x:f>'Evaluation Plan'!S130</x:f>
        <x:v>Build the listed four-object between scene.</x:v>
      </x:c>
      <x:c r="T130" s="41" t="str">
        <x:f>'Evaluation Plan'!T130</x:f>
        <x:v>Adjacent between counterfactual scenes alternate which block occupies the midpoint.</x:v>
      </x:c>
      <x:c r="U130" s="41" t="n">
        <x:f>'Evaluation Plan'!U130</x:f>
        <x:v>0</x:v>
      </x:c>
    </x:row>
    <x:row r="131" ht="51" customHeight="1">
      <x:c r="A131" s="44" t="str">
        <x:v>Not collected</x:v>
      </x:c>
      <x:c r="B131" s="45" t="n">
        <x:f>'Evaluation Plan'!B131</x:f>
        <x:v>129</x:v>
      </x:c>
      <x:c r="C131" s="44" t="str">
        <x:f>'Evaluation Plan'!C131</x:f>
        <x:v>Move the block between the yellow pen and the airplane toy with propellers into the bowl.</x:v>
      </x:c>
      <x:c r="D131" s="44" t="str">
        <x:f>'Evaluation Plan'!D131</x:f>
        <x:v>Reference A: yellow pen at 14 cm toward robot-right from table centre; Reference B: airplane toy with propellers at 14 cm away toward robot-left from table centre; blue block: at table centre on the straight Reference A–B segment; green block: 12 cm toward robot-left from table centre, off the Reference A–B segment; Bowl: empty</x:v>
      </x:c>
      <x:c r="E131" s="45" t="str">
        <x:f>'Evaluation Plan'!E131</x:f>
      </x:c>
      <x:c r="F131" s="45" t="str">
        <x:f>'Evaluation Plan'!F131</x:f>
        <x:v>530; 1075; 350</x:v>
      </x:c>
      <x:c r="G131" s="44" t="str">
        <x:f>'Evaluation Plan'!G131</x:f>
        <x:v>Between is explicit in Referential Disambiguation, and both block identities are manipulated elsewhere in fine-tuning; block × between is absent.</x:v>
      </x:c>
      <x:c r="H131" s="44" t="str">
        <x:f>'Evaluation Plan'!H131</x:f>
        <x:v>blue block</x:v>
      </x:c>
      <x:c r="I131" s="44" t="str"/>
      <x:c r="J131" s="47" t="str">
        <x:f>'Evaluation Plan'!J131</x:f>
        <x:v>Cross-task block reasoning</x:v>
      </x:c>
      <x:c r="K131" s="45" t="str">
        <x:f>'Evaluation Plan'!K131</x:f>
        <x:v>RD-BLOCK-B03B</x:v>
      </x:c>
      <x:c r="L131" s="45" t="str">
        <x:f>'Evaluation Plan'!L131</x:f>
        <x:v>between</x:v>
      </x:c>
      <x:c r="M131" s="45" t="str">
        <x:f>'Evaluation Plan'!M131</x:f>
        <x:v>block</x:v>
      </x:c>
      <x:c r="N131" s="45" t="n">
        <x:f>'Evaluation Plan'!N131</x:f>
        <x:v>4</x:v>
      </x:c>
      <x:c r="O131" s="45" t="n">
        <x:f>'Evaluation Plan'!O131</x:f>
        <x:v>1</x:v>
      </x:c>
      <x:c r="P131" s="45" t="str">
        <x:f>'Evaluation Plan'!P131</x:f>
        <x:v>Empty</x:v>
      </x:c>
      <x:c r="Q131" s="44" t="str">
        <x:f>'Evaluation Plan'!Q131</x:f>
        <x:v>Cross-task block candidate pair — between</x:v>
      </x:c>
      <x:c r="R131" s="45" t="n">
        <x:f>'Evaluation Plan'!R131</x:f>
        <x:v>5</x:v>
      </x:c>
      <x:c r="S131" s="44" t="str">
        <x:f>'Evaluation Plan'!S131</x:f>
        <x:v>Swap only the green and blue block roles from the preceding between setup.</x:v>
      </x:c>
      <x:c r="T131" s="44" t="str">
        <x:f>'Evaluation Plan'!T131</x:f>
        <x:v>Adjacent between counterfactual scenes alternate which block occupies the midpoint.</x:v>
      </x:c>
      <x:c r="U131" s="44" t="n">
        <x:f>'Evaluation Plan'!U131</x:f>
        <x:v>0</x:v>
      </x:c>
    </x:row>
    <x:row r="132" ht="51" customHeight="1">
      <x:c r="A132" s="41" t="str">
        <x:v>Not collected</x:v>
      </x:c>
      <x:c r="B132" s="42" t="n">
        <x:f>'Evaluation Plan'!B132</x:f>
        <x:v>130</x:v>
      </x:c>
      <x:c r="C132" s="41" t="str">
        <x:f>'Evaluation Plan'!C132</x:f>
        <x:v>Pick up the crushed soda can between the green pen and the airplane toy with propellers and place it in the bowl.</x:v>
      </x:c>
      <x:c r="D132" s="41" t="str">
        <x:f>'Evaluation Plan'!D132</x:f>
        <x:v>Reference A: green pen at 14 cm to robot-left of table centre; Reference B: airplane toy with propellers at 14 cm to robot-right of table centre; Absent candidate pair: crushed Coke can and crushed Pepsi can are not in the scene; Bowl: empty</x:v>
      </x:c>
      <x:c r="E132" s="42" t="str">
        <x:f>'Evaluation Plan'!E132</x:f>
      </x:c>
      <x:c r="F132" s="42" t="str">
        <x:f>'Evaluation Plan'!F132</x:f>
        <x:v>430</x:v>
      </x:c>
      <x:c r="G132" s="41" t="str">
        <x:f>'Evaluation Plan'!G132</x:f>
        <x:v>The relation × candidate-category prompt cell is explicitly trained. The evaluation scene deliberately removes both candidate identities; the abstention outcome is not demonstrated in training.</x:v>
      </x:c>
      <x:c r="H132" s="41" t="str">
        <x:f>'Evaluation Plan'!H132</x:f>
        <x:v>NO-OP; neither crushed Coke can nor crushed Pepsi can is present</x:v>
      </x:c>
      <x:c r="I132" s="41" t="str"/>
      <x:c r="J132" s="48" t="str">
        <x:f>'Evaluation Plan'!J132</x:f>
        <x:v>No valid candidate category / no movement</x:v>
      </x:c>
      <x:c r="K132" s="42" t="str">
        <x:f>'Evaluation Plan'!K132</x:f>
        <x:v>RD-NOVALID01</x:v>
      </x:c>
      <x:c r="L132" s="42" t="str">
        <x:f>'Evaluation Plan'!L132</x:f>
        <x:v>between</x:v>
      </x:c>
      <x:c r="M132" s="42" t="str">
        <x:f>'Evaluation Plan'!M132</x:f>
        <x:v>crushed soda can</x:v>
      </x:c>
      <x:c r="N132" s="42" t="n">
        <x:f>'Evaluation Plan'!N132</x:f>
        <x:v>2</x:v>
      </x:c>
      <x:c r="O132" s="42" t="n">
        <x:f>'Evaluation Plan'!O132</x:f>
        <x:v>0</x:v>
      </x:c>
      <x:c r="P132" s="42" t="str">
        <x:f>'Evaluation Plan'!P132</x:f>
        <x:v>Empty</x:v>
      </x:c>
      <x:c r="Q132" s="41" t="str">
        <x:f>'Evaluation Plan'!Q132</x:f>
        <x:v>Queried candidate pair absent; bowl remains empty</x:v>
      </x:c>
      <x:c r="R132" s="42" t="n">
        <x:f>'Evaluation Plan'!R132</x:f>
        <x:v>6</x:v>
      </x:c>
      <x:c r="S132" s="41" t="str">
        <x:f>'Evaluation Plan'!S132</x:f>
        <x:v>Build the listed candidate-absent scene and confirm the bowl is empty.</x:v>
      </x:c>
      <x:c r="T132" s="41" t="str">
        <x:f>'Evaluation Plan'!T132</x:f>
        <x:v>The instruction uses normal active-trial wording. Success requires no grasp or object displacement.</x:v>
      </x:c>
      <x:c r="U132" s="41" t="n">
        <x:f>'Evaluation Plan'!U132</x:f>
        <x:v>0</x:v>
      </x:c>
    </x:row>
    <x:row r="133" ht="51" customHeight="1">
      <x:c r="A133" s="44" t="str">
        <x:v>Not collected</x:v>
      </x:c>
      <x:c r="B133" s="45" t="n">
        <x:f>'Evaluation Plan'!B133</x:f>
        <x:v>131</x:v>
      </x:c>
      <x:c r="C133" s="44" t="str">
        <x:f>'Evaluation Plan'!C133</x:f>
        <x:v>Pick up the pencil sharpener closest to the crushed Coke can and place it in the bowl.</x:v>
      </x:c>
      <x:c r="D133" s="44" t="str">
        <x:f>'Evaluation Plan'!D133</x:f>
        <x:v>Reference: crushed Coke can at table centre; green pen: at the far robot-left corner, outside the distance comparison; yellow pen: at the far robot-right corner, outside the distance comparison; Absent candidate pair: green pencil sharpener and red pencil sharpener are not in the scene; Bowl: empty</x:v>
      </x:c>
      <x:c r="E133" s="45" t="str">
        <x:f>'Evaluation Plan'!E133</x:f>
      </x:c>
      <x:c r="F133" s="45" t="str">
        <x:f>'Evaluation Plan'!F133</x:f>
        <x:v>450</x:v>
      </x:c>
      <x:c r="G133" s="44" t="str">
        <x:f>'Evaluation Plan'!G133</x:f>
        <x:v>The relation × candidate-category prompt cell is explicitly trained. The evaluation scene deliberately removes both candidate identities; the abstention outcome is not demonstrated in training.</x:v>
      </x:c>
      <x:c r="H133" s="44" t="str">
        <x:f>'Evaluation Plan'!H133</x:f>
        <x:v>NO-OP; neither green pencil sharpener nor red pencil sharpener is present</x:v>
      </x:c>
      <x:c r="I133" s="44" t="str"/>
      <x:c r="J133" s="48" t="str">
        <x:f>'Evaluation Plan'!J133</x:f>
        <x:v>No valid candidate category / no movement</x:v>
      </x:c>
      <x:c r="K133" s="45" t="str">
        <x:f>'Evaluation Plan'!K133</x:f>
        <x:v>RD-NOVALID02</x:v>
      </x:c>
      <x:c r="L133" s="45" t="str">
        <x:f>'Evaluation Plan'!L133</x:f>
        <x:v>closest</x:v>
      </x:c>
      <x:c r="M133" s="45" t="str">
        <x:f>'Evaluation Plan'!M133</x:f>
        <x:v>pencil sharpener</x:v>
      </x:c>
      <x:c r="N133" s="45" t="n">
        <x:f>'Evaluation Plan'!N133</x:f>
        <x:v>3</x:v>
      </x:c>
      <x:c r="O133" s="45" t="n">
        <x:f>'Evaluation Plan'!O133</x:f>
        <x:v>0</x:v>
      </x:c>
      <x:c r="P133" s="45" t="str">
        <x:f>'Evaluation Plan'!P133</x:f>
        <x:v>Empty</x:v>
      </x:c>
      <x:c r="Q133" s="44" t="str">
        <x:f>'Evaluation Plan'!Q133</x:f>
        <x:v>Queried candidate pair absent; bowl remains empty</x:v>
      </x:c>
      <x:c r="R133" s="45" t="n">
        <x:f>'Evaluation Plan'!R133</x:f>
        <x:v>6</x:v>
      </x:c>
      <x:c r="S133" s="44" t="str">
        <x:f>'Evaluation Plan'!S133</x:f>
        <x:v>Build the listed candidate-absent scene and confirm the bowl is empty.</x:v>
      </x:c>
      <x:c r="T133" s="44" t="str">
        <x:f>'Evaluation Plan'!T133</x:f>
        <x:v>The instruction uses normal active-trial wording. Success requires no grasp or object displacement.</x:v>
      </x:c>
      <x:c r="U133" s="44" t="n">
        <x:f>'Evaluation Plan'!U133</x:f>
        <x:v>0</x:v>
      </x:c>
    </x:row>
    <x:row r="134" ht="51" customHeight="1">
      <x:c r="A134" s="41" t="str">
        <x:v>Not collected</x:v>
      </x:c>
      <x:c r="B134" s="42" t="n">
        <x:f>'Evaluation Plan'!B134</x:f>
        <x:v>132</x:v>
      </x:c>
      <x:c r="C134" s="41" t="str">
        <x:f>'Evaluation Plan'!C134</x:f>
        <x:v>Put the airplane toy closest to the green pencil sharpener in the bowl.</x:v>
      </x:c>
      <x:c r="D134" s="41" t="str">
        <x:f>'Evaluation Plan'!D134</x:f>
        <x:v>Reference: green pencil sharpener at table centre; red pencil sharpener: at the far robot-left corner, outside the distance comparison; green pen: at the far robot-right corner, outside the distance comparison; yellow pen: near the back edge, outside the distance comparison; Absent candidate pair: airplane toy with propellers and airplane toy without propellers are not in the scene; Bowl: empty</x:v>
      </x:c>
      <x:c r="E134" s="42" t="str">
        <x:f>'Evaluation Plan'!E134</x:f>
      </x:c>
      <x:c r="F134" s="42" t="str">
        <x:f>'Evaluation Plan'!F134</x:f>
        <x:v>550</x:v>
      </x:c>
      <x:c r="G134" s="41" t="str">
        <x:f>'Evaluation Plan'!G134</x:f>
        <x:v>The relation × candidate-category prompt cell is explicitly trained. The evaluation scene deliberately removes both candidate identities; the abstention outcome is not demonstrated in training.</x:v>
      </x:c>
      <x:c r="H134" s="41" t="str">
        <x:f>'Evaluation Plan'!H134</x:f>
        <x:v>NO-OP; neither airplane toy with propellers nor airplane toy without propellers is present</x:v>
      </x:c>
      <x:c r="I134" s="41" t="str"/>
      <x:c r="J134" s="48" t="str">
        <x:f>'Evaluation Plan'!J134</x:f>
        <x:v>No valid candidate category / no movement</x:v>
      </x:c>
      <x:c r="K134" s="42" t="str">
        <x:f>'Evaluation Plan'!K134</x:f>
        <x:v>RD-NOVALID03</x:v>
      </x:c>
      <x:c r="L134" s="42" t="str">
        <x:f>'Evaluation Plan'!L134</x:f>
        <x:v>closest</x:v>
      </x:c>
      <x:c r="M134" s="42" t="str">
        <x:f>'Evaluation Plan'!M134</x:f>
        <x:v>airplane toy</x:v>
      </x:c>
      <x:c r="N134" s="42" t="n">
        <x:f>'Evaluation Plan'!N134</x:f>
        <x:v>4</x:v>
      </x:c>
      <x:c r="O134" s="42" t="n">
        <x:f>'Evaluation Plan'!O134</x:f>
        <x:v>0</x:v>
      </x:c>
      <x:c r="P134" s="42" t="str">
        <x:f>'Evaluation Plan'!P134</x:f>
        <x:v>Empty</x:v>
      </x:c>
      <x:c r="Q134" s="41" t="str">
        <x:f>'Evaluation Plan'!Q134</x:f>
        <x:v>Queried candidate pair absent; bowl remains empty</x:v>
      </x:c>
      <x:c r="R134" s="42" t="n">
        <x:f>'Evaluation Plan'!R134</x:f>
        <x:v>6</x:v>
      </x:c>
      <x:c r="S134" s="41" t="str">
        <x:f>'Evaluation Plan'!S134</x:f>
        <x:v>Build the listed candidate-absent scene and confirm the bowl is empty.</x:v>
      </x:c>
      <x:c r="T134" s="41" t="str">
        <x:f>'Evaluation Plan'!T134</x:f>
        <x:v>The instruction uses normal active-trial wording. Success requires no grasp or object displacement.</x:v>
      </x:c>
      <x:c r="U134" s="41" t="n">
        <x:f>'Evaluation Plan'!U134</x:f>
        <x:v>0</x:v>
      </x:c>
    </x:row>
    <x:row r="135" ht="51" customHeight="1">
      <x:c r="A135" s="44" t="str">
        <x:v>Not collected</x:v>
      </x:c>
      <x:c r="B135" s="45" t="n">
        <x:f>'Evaluation Plan'!B135</x:f>
        <x:v>133</x:v>
      </x:c>
      <x:c r="C135" s="44" t="str">
        <x:f>'Evaluation Plan'!C135</x:f>
        <x:v>Pick up the pen furthest from the crushed Pepsi can and place it in the bowl.</x:v>
      </x:c>
      <x:c r="D135" s="44" t="str">
        <x:f>'Evaluation Plan'!D135</x:f>
        <x:v>Reference: crushed Pepsi can at table centre; airplane toy with propellers: at the far robot-left corner, outside the distance comparison; Absent candidate pair: green pen and yellow pen are not in the scene; Bowl: empty</x:v>
      </x:c>
      <x:c r="E135" s="45" t="str">
        <x:f>'Evaluation Plan'!E135</x:f>
      </x:c>
      <x:c r="F135" s="45" t="str">
        <x:f>'Evaluation Plan'!F135</x:f>
        <x:v>515</x:v>
      </x:c>
      <x:c r="G135" s="44" t="str">
        <x:f>'Evaluation Plan'!G135</x:f>
        <x:v>The relation × candidate-category prompt cell is explicitly trained. The evaluation scene deliberately removes both candidate identities; the abstention outcome is not demonstrated in training.</x:v>
      </x:c>
      <x:c r="H135" s="44" t="str">
        <x:f>'Evaluation Plan'!H135</x:f>
        <x:v>NO-OP; neither green pen nor yellow pen is present</x:v>
      </x:c>
      <x:c r="I135" s="44" t="str"/>
      <x:c r="J135" s="48" t="str">
        <x:f>'Evaluation Plan'!J135</x:f>
        <x:v>No valid candidate category / no movement</x:v>
      </x:c>
      <x:c r="K135" s="45" t="str">
        <x:f>'Evaluation Plan'!K135</x:f>
        <x:v>RD-NOVALID04</x:v>
      </x:c>
      <x:c r="L135" s="45" t="str">
        <x:f>'Evaluation Plan'!L135</x:f>
        <x:v>furthest</x:v>
      </x:c>
      <x:c r="M135" s="45" t="str">
        <x:f>'Evaluation Plan'!M135</x:f>
        <x:v>pen</x:v>
      </x:c>
      <x:c r="N135" s="45" t="n">
        <x:f>'Evaluation Plan'!N135</x:f>
        <x:v>2</x:v>
      </x:c>
      <x:c r="O135" s="45" t="n">
        <x:f>'Evaluation Plan'!O135</x:f>
        <x:v>0</x:v>
      </x:c>
      <x:c r="P135" s="45" t="str">
        <x:f>'Evaluation Plan'!P135</x:f>
        <x:v>Empty</x:v>
      </x:c>
      <x:c r="Q135" s="44" t="str">
        <x:f>'Evaluation Plan'!Q135</x:f>
        <x:v>Queried candidate pair absent; bowl remains empty</x:v>
      </x:c>
      <x:c r="R135" s="45" t="n">
        <x:f>'Evaluation Plan'!R135</x:f>
        <x:v>6</x:v>
      </x:c>
      <x:c r="S135" s="44" t="str">
        <x:f>'Evaluation Plan'!S135</x:f>
        <x:v>Build the listed candidate-absent scene and confirm the bowl is empty.</x:v>
      </x:c>
      <x:c r="T135" s="44" t="str">
        <x:f>'Evaluation Plan'!T135</x:f>
        <x:v>The instruction uses normal active-trial wording. Success requires no grasp or object displacement.</x:v>
      </x:c>
      <x:c r="U135" s="44" t="n">
        <x:f>'Evaluation Plan'!U135</x:f>
        <x:v>0</x:v>
      </x:c>
    </x:row>
    <x:row r="136" ht="51" customHeight="1">
      <x:c r="A136" s="41" t="str">
        <x:v>Not collected</x:v>
      </x:c>
      <x:c r="B136" s="42" t="n">
        <x:f>'Evaluation Plan'!B136</x:f>
        <x:v>134</x:v>
      </x:c>
      <x:c r="C136" s="41" t="str">
        <x:f>'Evaluation Plan'!C136</x:f>
        <x:v>Put the crushed soda can furthest from the airplane toy without propellers in the bowl.</x:v>
      </x:c>
      <x:c r="D136" s="41" t="str">
        <x:f>'Evaluation Plan'!D136</x:f>
        <x:v>Reference: airplane toy without propellers at table centre; airplane toy with propellers: at the far robot-left corner, outside the distance comparison; green pencil sharpener: at the far robot-right corner, outside the distance comparison; Absent candidate pair: crushed Coke can and crushed Pepsi can are not in the scene; Bowl: empty</x:v>
      </x:c>
      <x:c r="E136" s="42" t="str">
        <x:f>'Evaluation Plan'!E136</x:f>
      </x:c>
      <x:c r="F136" s="42" t="str">
        <x:f>'Evaluation Plan'!F136</x:f>
        <x:v>415</x:v>
      </x:c>
      <x:c r="G136" s="41" t="str">
        <x:f>'Evaluation Plan'!G136</x:f>
        <x:v>The relation × candidate-category prompt cell is explicitly trained. The evaluation scene deliberately removes both candidate identities; the abstention outcome is not demonstrated in training.</x:v>
      </x:c>
      <x:c r="H136" s="41" t="str">
        <x:f>'Evaluation Plan'!H136</x:f>
        <x:v>NO-OP; neither crushed Coke can nor crushed Pepsi can is present</x:v>
      </x:c>
      <x:c r="I136" s="41" t="str"/>
      <x:c r="J136" s="48" t="str">
        <x:f>'Evaluation Plan'!J136</x:f>
        <x:v>No valid candidate category / no movement</x:v>
      </x:c>
      <x:c r="K136" s="42" t="str">
        <x:f>'Evaluation Plan'!K136</x:f>
        <x:v>RD-NOVALID05</x:v>
      </x:c>
      <x:c r="L136" s="42" t="str">
        <x:f>'Evaluation Plan'!L136</x:f>
        <x:v>furthest</x:v>
      </x:c>
      <x:c r="M136" s="42" t="str">
        <x:f>'Evaluation Plan'!M136</x:f>
        <x:v>crushed soda can</x:v>
      </x:c>
      <x:c r="N136" s="42" t="n">
        <x:f>'Evaluation Plan'!N136</x:f>
        <x:v>3</x:v>
      </x:c>
      <x:c r="O136" s="42" t="n">
        <x:f>'Evaluation Plan'!O136</x:f>
        <x:v>0</x:v>
      </x:c>
      <x:c r="P136" s="42" t="str">
        <x:f>'Evaluation Plan'!P136</x:f>
        <x:v>Empty</x:v>
      </x:c>
      <x:c r="Q136" s="41" t="str">
        <x:f>'Evaluation Plan'!Q136</x:f>
        <x:v>Queried candidate pair absent; bowl remains empty</x:v>
      </x:c>
      <x:c r="R136" s="42" t="n">
        <x:f>'Evaluation Plan'!R136</x:f>
        <x:v>6</x:v>
      </x:c>
      <x:c r="S136" s="41" t="str">
        <x:f>'Evaluation Plan'!S136</x:f>
        <x:v>Build the listed candidate-absent scene and confirm the bowl is empty.</x:v>
      </x:c>
      <x:c r="T136" s="41" t="str">
        <x:f>'Evaluation Plan'!T136</x:f>
        <x:v>The instruction uses normal active-trial wording. Success requires no grasp or object displacement.</x:v>
      </x:c>
      <x:c r="U136" s="41" t="n">
        <x:f>'Evaluation Plan'!U136</x:f>
        <x:v>0</x:v>
      </x:c>
    </x:row>
    <x:row r="137" ht="51" customHeight="1">
      <x:c r="A137" s="44" t="str">
        <x:v>Not collected</x:v>
      </x:c>
      <x:c r="B137" s="45" t="n">
        <x:f>'Evaluation Plan'!B137</x:f>
        <x:v>135</x:v>
      </x:c>
      <x:c r="C137" s="44" t="str">
        <x:f>'Evaluation Plan'!C137</x:f>
        <x:v>Move the pencil sharpener furthest from the airplane toy without propellers into the bowl.</x:v>
      </x:c>
      <x:c r="D137" s="44" t="str">
        <x:f>'Evaluation Plan'!D137</x:f>
        <x:v>Reference: airplane toy without propellers at table centre; crushed Coke can: at the far robot-left corner, outside the distance comparison; crushed Pepsi can: at the far robot-right corner, outside the distance comparison; green pen: near the back edge, outside the distance comparison; Absent candidate pair: green pencil sharpener and red pencil sharpener are not in the scene; Bowl: empty</x:v>
      </x:c>
      <x:c r="E137" s="45" t="str">
        <x:f>'Evaluation Plan'!E137</x:f>
      </x:c>
      <x:c r="F137" s="45" t="str">
        <x:f>'Evaluation Plan'!F137</x:f>
        <x:v>465</x:v>
      </x:c>
      <x:c r="G137" s="44" t="str">
        <x:f>'Evaluation Plan'!G137</x:f>
        <x:v>The relation × candidate-category prompt cell is explicitly trained. The evaluation scene deliberately removes both candidate identities; the abstention outcome is not demonstrated in training.</x:v>
      </x:c>
      <x:c r="H137" s="44" t="str">
        <x:f>'Evaluation Plan'!H137</x:f>
        <x:v>NO-OP; neither green pencil sharpener nor red pencil sharpener is present</x:v>
      </x:c>
      <x:c r="I137" s="44" t="str"/>
      <x:c r="J137" s="48" t="str">
        <x:f>'Evaluation Plan'!J137</x:f>
        <x:v>No valid candidate category / no movement</x:v>
      </x:c>
      <x:c r="K137" s="45" t="str">
        <x:f>'Evaluation Plan'!K137</x:f>
        <x:v>RD-NOVALID06</x:v>
      </x:c>
      <x:c r="L137" s="45" t="str">
        <x:f>'Evaluation Plan'!L137</x:f>
        <x:v>furthest</x:v>
      </x:c>
      <x:c r="M137" s="45" t="str">
        <x:f>'Evaluation Plan'!M137</x:f>
        <x:v>pencil sharpener</x:v>
      </x:c>
      <x:c r="N137" s="45" t="n">
        <x:f>'Evaluation Plan'!N137</x:f>
        <x:v>4</x:v>
      </x:c>
      <x:c r="O137" s="45" t="n">
        <x:f>'Evaluation Plan'!O137</x:f>
        <x:v>0</x:v>
      </x:c>
      <x:c r="P137" s="45" t="str">
        <x:f>'Evaluation Plan'!P137</x:f>
        <x:v>Empty</x:v>
      </x:c>
      <x:c r="Q137" s="44" t="str">
        <x:f>'Evaluation Plan'!Q137</x:f>
        <x:v>Queried candidate pair absent; bowl remains empty</x:v>
      </x:c>
      <x:c r="R137" s="45" t="n">
        <x:f>'Evaluation Plan'!R137</x:f>
        <x:v>6</x:v>
      </x:c>
      <x:c r="S137" s="44" t="str">
        <x:f>'Evaluation Plan'!S137</x:f>
        <x:v>Build the listed candidate-absent scene and confirm the bowl is empty.</x:v>
      </x:c>
      <x:c r="T137" s="44" t="str">
        <x:f>'Evaluation Plan'!T137</x:f>
        <x:v>The instruction uses normal active-trial wording. Success requires no grasp or object displacement.</x:v>
      </x:c>
      <x:c r="U137" s="44" t="n">
        <x:f>'Evaluation Plan'!U137</x:f>
        <x:v>0</x:v>
      </x:c>
    </x:row>
    <x:row r="138" ht="51" customHeight="1">
      <x:c r="A138" s="41" t="str">
        <x:v>Not collected</x:v>
      </x:c>
      <x:c r="B138" s="42" t="n">
        <x:f>'Evaluation Plan'!B138</x:f>
        <x:v>136</x:v>
      </x:c>
      <x:c r="C138" s="41" t="str">
        <x:f>'Evaluation Plan'!C138</x:f>
        <x:v>Put the airplane toy between the green pen and the crushed Coke can in the bowl.</x:v>
      </x:c>
      <x:c r="D138" s="41" t="str">
        <x:f>'Evaluation Plan'!D138</x:f>
        <x:v>Reference A: green pen at 14 cm to robot-left of table centre; Reference B: crushed Coke can at 14 cm to robot-right of table centre; Absent candidate pair: airplane toy with propellers and airplane toy without propellers are not in the scene; Bowl: empty</x:v>
      </x:c>
      <x:c r="E138" s="42" t="str">
        <x:f>'Evaluation Plan'!E138</x:f>
      </x:c>
      <x:c r="F138" s="42" t="str">
        <x:f>'Evaluation Plan'!F138</x:f>
        <x:v>580</x:v>
      </x:c>
      <x:c r="G138" s="41" t="str">
        <x:f>'Evaluation Plan'!G138</x:f>
        <x:v>The relation × candidate-category prompt cell is explicitly trained. The evaluation scene deliberately removes both candidate identities; the abstention outcome is not demonstrated in training.</x:v>
      </x:c>
      <x:c r="H138" s="41" t="str">
        <x:f>'Evaluation Plan'!H138</x:f>
        <x:v>NO-OP; neither airplane toy with propellers nor airplane toy without propellers is present</x:v>
      </x:c>
      <x:c r="I138" s="41" t="str"/>
      <x:c r="J138" s="48" t="str">
        <x:f>'Evaluation Plan'!J138</x:f>
        <x:v>No valid candidate category / no movement</x:v>
      </x:c>
      <x:c r="K138" s="42" t="str">
        <x:f>'Evaluation Plan'!K138</x:f>
        <x:v>RD-NOVALID07</x:v>
      </x:c>
      <x:c r="L138" s="42" t="str">
        <x:f>'Evaluation Plan'!L138</x:f>
        <x:v>between</x:v>
      </x:c>
      <x:c r="M138" s="42" t="str">
        <x:f>'Evaluation Plan'!M138</x:f>
        <x:v>airplane toy</x:v>
      </x:c>
      <x:c r="N138" s="42" t="n">
        <x:f>'Evaluation Plan'!N138</x:f>
        <x:v>2</x:v>
      </x:c>
      <x:c r="O138" s="42" t="n">
        <x:f>'Evaluation Plan'!O138</x:f>
        <x:v>0</x:v>
      </x:c>
      <x:c r="P138" s="42" t="str">
        <x:f>'Evaluation Plan'!P138</x:f>
        <x:v>Empty</x:v>
      </x:c>
      <x:c r="Q138" s="41" t="str">
        <x:f>'Evaluation Plan'!Q138</x:f>
        <x:v>Queried candidate pair absent; bowl remains empty</x:v>
      </x:c>
      <x:c r="R138" s="42" t="n">
        <x:f>'Evaluation Plan'!R138</x:f>
        <x:v>6</x:v>
      </x:c>
      <x:c r="S138" s="41" t="str">
        <x:f>'Evaluation Plan'!S138</x:f>
        <x:v>Build the listed candidate-absent scene and confirm the bowl is empty.</x:v>
      </x:c>
      <x:c r="T138" s="41" t="str">
        <x:f>'Evaluation Plan'!T138</x:f>
        <x:v>The instruction uses normal active-trial wording. Success requires no grasp or object displacement.</x:v>
      </x:c>
      <x:c r="U138" s="41" t="n">
        <x:f>'Evaluation Plan'!U138</x:f>
        <x:v>0</x:v>
      </x:c>
    </x:row>
    <x:row r="139" ht="51" customHeight="1">
      <x:c r="A139" s="44" t="str">
        <x:v>Not collected</x:v>
      </x:c>
      <x:c r="B139" s="45" t="n">
        <x:f>'Evaluation Plan'!B139</x:f>
        <x:v>137</x:v>
      </x:c>
      <x:c r="C139" s="44" t="str">
        <x:f>'Evaluation Plan'!C139</x:f>
        <x:v>Move the pen closest to the green pencil sharpener into the bowl.</x:v>
      </x:c>
      <x:c r="D139" s="44" t="str">
        <x:f>'Evaluation Plan'!D139</x:f>
        <x:v>Reference: green pencil sharpener at table centre; red pencil sharpener: at the far robot-left corner, outside the distance comparison; airplane toy with propellers: at the far robot-right corner, outside the distance comparison; Absent candidate pair: green pen and yellow pen are not in the scene; Bowl: empty</x:v>
      </x:c>
      <x:c r="E139" s="45" t="str">
        <x:f>'Evaluation Plan'!E139</x:f>
      </x:c>
      <x:c r="F139" s="45" t="str">
        <x:f>'Evaluation Plan'!F139</x:f>
        <x:v>500</x:v>
      </x:c>
      <x:c r="G139" s="44" t="str">
        <x:f>'Evaluation Plan'!G139</x:f>
        <x:v>The relation × candidate-category prompt cell is explicitly trained. The evaluation scene deliberately removes both candidate identities; the abstention outcome is not demonstrated in training.</x:v>
      </x:c>
      <x:c r="H139" s="44" t="str">
        <x:f>'Evaluation Plan'!H139</x:f>
        <x:v>NO-OP; neither green pen nor yellow pen is present</x:v>
      </x:c>
      <x:c r="I139" s="44" t="str"/>
      <x:c r="J139" s="48" t="str">
        <x:f>'Evaluation Plan'!J139</x:f>
        <x:v>No valid candidate category / no movement</x:v>
      </x:c>
      <x:c r="K139" s="45" t="str">
        <x:f>'Evaluation Plan'!K139</x:f>
        <x:v>RD-NOVALID08</x:v>
      </x:c>
      <x:c r="L139" s="45" t="str">
        <x:f>'Evaluation Plan'!L139</x:f>
        <x:v>closest</x:v>
      </x:c>
      <x:c r="M139" s="45" t="str">
        <x:f>'Evaluation Plan'!M139</x:f>
        <x:v>pen</x:v>
      </x:c>
      <x:c r="N139" s="45" t="n">
        <x:f>'Evaluation Plan'!N139</x:f>
        <x:v>3</x:v>
      </x:c>
      <x:c r="O139" s="45" t="n">
        <x:f>'Evaluation Plan'!O139</x:f>
        <x:v>0</x:v>
      </x:c>
      <x:c r="P139" s="45" t="str">
        <x:f>'Evaluation Plan'!P139</x:f>
        <x:v>Empty</x:v>
      </x:c>
      <x:c r="Q139" s="44" t="str">
        <x:f>'Evaluation Plan'!Q139</x:f>
        <x:v>Queried candidate pair absent; bowl remains empty</x:v>
      </x:c>
      <x:c r="R139" s="45" t="n">
        <x:f>'Evaluation Plan'!R139</x:f>
        <x:v>6</x:v>
      </x:c>
      <x:c r="S139" s="44" t="str">
        <x:f>'Evaluation Plan'!S139</x:f>
        <x:v>Build the listed candidate-absent scene and confirm the bowl is empty.</x:v>
      </x:c>
      <x:c r="T139" s="44" t="str">
        <x:f>'Evaluation Plan'!T139</x:f>
        <x:v>The instruction uses normal active-trial wording. Success requires no grasp or object displacement.</x:v>
      </x:c>
      <x:c r="U139" s="44" t="n">
        <x:f>'Evaluation Plan'!U139</x:f>
        <x:v>0</x:v>
      </x:c>
    </x:row>
    <x:row r="140" ht="51" customHeight="1">
      <x:c r="A140" s="41" t="str">
        <x:v>Not collected</x:v>
      </x:c>
      <x:c r="B140" s="42" t="n">
        <x:f>'Evaluation Plan'!B140</x:f>
        <x:v>138</x:v>
      </x:c>
      <x:c r="C140" s="41" t="str">
        <x:f>'Evaluation Plan'!C140</x:f>
        <x:v>Move the crushed soda can between the airplane toy without propellers and the red pencil sharpener into the bowl.</x:v>
      </x:c>
      <x:c r="D140" s="41" t="str">
        <x:f>'Evaluation Plan'!D140</x:f>
        <x:v>Reference A: airplane toy without propellers at 14 cm to robot-left of table centre; Reference B: red pencil sharpener at 14 cm to robot-right of table centre; yellow pen: at the far robot-left corner, outside the distance comparison; airplane toy with propellers: at the far robot-right corner, outside the distance comparison; Absent candidate pair: crushed Coke can and crushed Pepsi can are not in the scene; Bowl: empty</x:v>
      </x:c>
      <x:c r="E140" s="42" t="str">
        <x:f>'Evaluation Plan'!E140</x:f>
      </x:c>
      <x:c r="F140" s="42" t="str">
        <x:f>'Evaluation Plan'!F140</x:f>
        <x:v>431</x:v>
      </x:c>
      <x:c r="G140" s="41" t="str">
        <x:f>'Evaluation Plan'!G140</x:f>
        <x:v>The relation × candidate-category prompt cell is explicitly trained. The evaluation scene deliberately removes both candidate identities; the abstention outcome is not demonstrated in training.</x:v>
      </x:c>
      <x:c r="H140" s="41" t="str">
        <x:f>'Evaluation Plan'!H140</x:f>
        <x:v>NO-OP; neither crushed Coke can nor crushed Pepsi can is present</x:v>
      </x:c>
      <x:c r="I140" s="41" t="str"/>
      <x:c r="J140" s="48" t="str">
        <x:f>'Evaluation Plan'!J140</x:f>
        <x:v>No valid candidate category / no movement</x:v>
      </x:c>
      <x:c r="K140" s="42" t="str">
        <x:f>'Evaluation Plan'!K140</x:f>
        <x:v>RD-NOVALID09</x:v>
      </x:c>
      <x:c r="L140" s="42" t="str">
        <x:f>'Evaluation Plan'!L140</x:f>
        <x:v>between</x:v>
      </x:c>
      <x:c r="M140" s="42" t="str">
        <x:f>'Evaluation Plan'!M140</x:f>
        <x:v>crushed soda can</x:v>
      </x:c>
      <x:c r="N140" s="42" t="n">
        <x:f>'Evaluation Plan'!N140</x:f>
        <x:v>4</x:v>
      </x:c>
      <x:c r="O140" s="42" t="n">
        <x:f>'Evaluation Plan'!O140</x:f>
        <x:v>0</x:v>
      </x:c>
      <x:c r="P140" s="42" t="str">
        <x:f>'Evaluation Plan'!P140</x:f>
        <x:v>Empty</x:v>
      </x:c>
      <x:c r="Q140" s="41" t="str">
        <x:f>'Evaluation Plan'!Q140</x:f>
        <x:v>Queried candidate pair absent; bowl remains empty</x:v>
      </x:c>
      <x:c r="R140" s="42" t="n">
        <x:f>'Evaluation Plan'!R140</x:f>
        <x:v>6</x:v>
      </x:c>
      <x:c r="S140" s="41" t="str">
        <x:f>'Evaluation Plan'!S140</x:f>
        <x:v>Build the listed candidate-absent scene and confirm the bowl is empty.</x:v>
      </x:c>
      <x:c r="T140" s="41" t="str">
        <x:f>'Evaluation Plan'!T140</x:f>
        <x:v>The instruction uses normal active-trial wording. Success requires no grasp or object displacement.</x:v>
      </x:c>
      <x:c r="U140" s="41" t="n">
        <x:f>'Evaluation Plan'!U140</x:f>
        <x:v>0</x:v>
      </x:c>
    </x:row>
    <x:row r="141" ht="51" customHeight="1">
      <x:c r="A141" s="44" t="str">
        <x:v>Not collected</x:v>
      </x:c>
      <x:c r="B141" s="45" t="n">
        <x:f>'Evaluation Plan'!B141</x:f>
        <x:v>139</x:v>
      </x:c>
      <x:c r="C141" s="44" t="str">
        <x:f>'Evaluation Plan'!C141</x:f>
        <x:v>Pick up the pencil sharpener closest to the yellow pen and place it in the bowl.</x:v>
      </x:c>
      <x:c r="D141" s="44" t="str">
        <x:f>'Evaluation Plan'!D141</x:f>
        <x:v>Reference: yellow pen at table centre; airplane toy without propellers: at the far robot-left corner, outside the distance comparison; Absent candidate pair: green pencil sharpener and red pencil sharpener are not in the scene; Bowl: empty</x:v>
      </x:c>
      <x:c r="E141" s="45" t="str">
        <x:f>'Evaluation Plan'!E141</x:f>
      </x:c>
      <x:c r="F141" s="45" t="str">
        <x:f>'Evaluation Plan'!F141</x:f>
        <x:v>451</x:v>
      </x:c>
      <x:c r="G141" s="44" t="str">
        <x:f>'Evaluation Plan'!G141</x:f>
        <x:v>The relation × candidate-category prompt cell is explicitly trained. The evaluation scene deliberately removes both candidate identities; the abstention outcome is not demonstrated in training.</x:v>
      </x:c>
      <x:c r="H141" s="44" t="str">
        <x:f>'Evaluation Plan'!H141</x:f>
        <x:v>NO-OP; neither green pencil sharpener nor red pencil sharpener is present</x:v>
      </x:c>
      <x:c r="I141" s="44" t="str"/>
      <x:c r="J141" s="48" t="str">
        <x:f>'Evaluation Plan'!J141</x:f>
        <x:v>No valid candidate category / no movement</x:v>
      </x:c>
      <x:c r="K141" s="45" t="str">
        <x:f>'Evaluation Plan'!K141</x:f>
        <x:v>RD-NOVALID10</x:v>
      </x:c>
      <x:c r="L141" s="45" t="str">
        <x:f>'Evaluation Plan'!L141</x:f>
        <x:v>closest</x:v>
      </x:c>
      <x:c r="M141" s="45" t="str">
        <x:f>'Evaluation Plan'!M141</x:f>
        <x:v>pencil sharpener</x:v>
      </x:c>
      <x:c r="N141" s="45" t="n">
        <x:f>'Evaluation Plan'!N141</x:f>
        <x:v>2</x:v>
      </x:c>
      <x:c r="O141" s="45" t="n">
        <x:f>'Evaluation Plan'!O141</x:f>
        <x:v>0</x:v>
      </x:c>
      <x:c r="P141" s="45" t="str">
        <x:f>'Evaluation Plan'!P141</x:f>
        <x:v>Empty</x:v>
      </x:c>
      <x:c r="Q141" s="44" t="str">
        <x:f>'Evaluation Plan'!Q141</x:f>
        <x:v>Queried candidate pair absent; bowl remains empty</x:v>
      </x:c>
      <x:c r="R141" s="45" t="n">
        <x:f>'Evaluation Plan'!R141</x:f>
        <x:v>6</x:v>
      </x:c>
      <x:c r="S141" s="44" t="str">
        <x:f>'Evaluation Plan'!S141</x:f>
        <x:v>Build the listed candidate-absent scene and confirm the bowl is empty.</x:v>
      </x:c>
      <x:c r="T141" s="44" t="str">
        <x:f>'Evaluation Plan'!T141</x:f>
        <x:v>The instruction uses normal active-trial wording. Success requires no grasp or object displacement.</x:v>
      </x:c>
      <x:c r="U141" s="44" t="n">
        <x:f>'Evaluation Plan'!U141</x:f>
        <x:v>0</x:v>
      </x:c>
    </x:row>
    <x:row r="142" ht="51" customHeight="1">
      <x:c r="A142" s="41" t="str">
        <x:v>Not collected</x:v>
      </x:c>
      <x:c r="B142" s="42" t="n">
        <x:f>'Evaluation Plan'!B142</x:f>
        <x:v>140</x:v>
      </x:c>
      <x:c r="C142" s="41" t="str">
        <x:f>'Evaluation Plan'!C142</x:f>
        <x:v>Pick up the airplane toy between the green pencil sharpener and the yellow pen and place it in the bowl.</x:v>
      </x:c>
      <x:c r="D142" s="41" t="str">
        <x:f>'Evaluation Plan'!D142</x:f>
        <x:v>Reference A: green pencil sharpener at 14 cm to robot-left of table centre; Reference B: yellow pen at 14 cm to robot-right of table centre; crushed Coke can: at the far robot-left corner, outside the distance comparison; Absent candidate pair: airplane toy with propellers and airplane toy without propellers are not in the scene; Bowl: empty</x:v>
      </x:c>
      <x:c r="E142" s="42" t="str">
        <x:f>'Evaluation Plan'!E142</x:f>
      </x:c>
      <x:c r="F142" s="42" t="str">
        <x:f>'Evaluation Plan'!F142</x:f>
        <x:v>581</x:v>
      </x:c>
      <x:c r="G142" s="41" t="str">
        <x:f>'Evaluation Plan'!G142</x:f>
        <x:v>The relation × candidate-category prompt cell is explicitly trained. The evaluation scene deliberately removes both candidate identities; the abstention outcome is not demonstrated in training.</x:v>
      </x:c>
      <x:c r="H142" s="41" t="str">
        <x:f>'Evaluation Plan'!H142</x:f>
        <x:v>NO-OP; neither airplane toy with propellers nor airplane toy without propellers is present</x:v>
      </x:c>
      <x:c r="I142" s="41" t="str"/>
      <x:c r="J142" s="48" t="str">
        <x:f>'Evaluation Plan'!J142</x:f>
        <x:v>No valid candidate category / no movement</x:v>
      </x:c>
      <x:c r="K142" s="42" t="str">
        <x:f>'Evaluation Plan'!K142</x:f>
        <x:v>RD-NOVALID11</x:v>
      </x:c>
      <x:c r="L142" s="42" t="str">
        <x:f>'Evaluation Plan'!L142</x:f>
        <x:v>between</x:v>
      </x:c>
      <x:c r="M142" s="42" t="str">
        <x:f>'Evaluation Plan'!M142</x:f>
        <x:v>airplane toy</x:v>
      </x:c>
      <x:c r="N142" s="42" t="n">
        <x:f>'Evaluation Plan'!N142</x:f>
        <x:v>3</x:v>
      </x:c>
      <x:c r="O142" s="42" t="n">
        <x:f>'Evaluation Plan'!O142</x:f>
        <x:v>0</x:v>
      </x:c>
      <x:c r="P142" s="42" t="str">
        <x:f>'Evaluation Plan'!P142</x:f>
        <x:v>Empty</x:v>
      </x:c>
      <x:c r="Q142" s="41" t="str">
        <x:f>'Evaluation Plan'!Q142</x:f>
        <x:v>Queried candidate pair absent; bowl remains empty</x:v>
      </x:c>
      <x:c r="R142" s="42" t="n">
        <x:f>'Evaluation Plan'!R142</x:f>
        <x:v>6</x:v>
      </x:c>
      <x:c r="S142" s="41" t="str">
        <x:f>'Evaluation Plan'!S142</x:f>
        <x:v>Build the listed candidate-absent scene and confirm the bowl is empty.</x:v>
      </x:c>
      <x:c r="T142" s="41" t="str">
        <x:f>'Evaluation Plan'!T142</x:f>
        <x:v>The instruction uses normal active-trial wording. Success requires no grasp or object displacement.</x:v>
      </x:c>
      <x:c r="U142" s="41" t="n">
        <x:f>'Evaluation Plan'!U142</x:f>
        <x:v>0</x:v>
      </x:c>
    </x:row>
    <x:row r="143" ht="51" customHeight="1">
      <x:c r="A143" s="44" t="str">
        <x:v>Not collected</x:v>
      </x:c>
      <x:c r="B143" s="45" t="n">
        <x:f>'Evaluation Plan'!B143</x:f>
        <x:v>141</x:v>
      </x:c>
      <x:c r="C143" s="44" t="str">
        <x:f>'Evaluation Plan'!C143</x:f>
        <x:v>Pick up the pen furthest from the airplane toy without propellers and place it in the bowl.</x:v>
      </x:c>
      <x:c r="D143" s="44" t="str">
        <x:f>'Evaluation Plan'!D143</x:f>
        <x:v>Reference: airplane toy without propellers at table centre; crushed Pepsi can: at the far robot-left corner, outside the distance comparison; green pencil sharpener: at the far robot-right corner, outside the distance comparison; red pencil sharpener: near the back edge, outside the distance comparison; Absent candidate pair: green pen and yellow pen are not in the scene; Bowl: empty</x:v>
      </x:c>
      <x:c r="E143" s="45" t="str">
        <x:f>'Evaluation Plan'!E143</x:f>
      </x:c>
      <x:c r="F143" s="45" t="str">
        <x:f>'Evaluation Plan'!F143</x:f>
        <x:v>516</x:v>
      </x:c>
      <x:c r="G143" s="44" t="str">
        <x:f>'Evaluation Plan'!G143</x:f>
        <x:v>The relation × candidate-category prompt cell is explicitly trained. The evaluation scene deliberately removes both candidate identities; the abstention outcome is not demonstrated in training.</x:v>
      </x:c>
      <x:c r="H143" s="44" t="str">
        <x:f>'Evaluation Plan'!H143</x:f>
        <x:v>NO-OP; neither green pen nor yellow pen is present</x:v>
      </x:c>
      <x:c r="I143" s="44" t="str"/>
      <x:c r="J143" s="48" t="str">
        <x:f>'Evaluation Plan'!J143</x:f>
        <x:v>No valid candidate category / no movement</x:v>
      </x:c>
      <x:c r="K143" s="45" t="str">
        <x:f>'Evaluation Plan'!K143</x:f>
        <x:v>RD-NOVALID12</x:v>
      </x:c>
      <x:c r="L143" s="45" t="str">
        <x:f>'Evaluation Plan'!L143</x:f>
        <x:v>furthest</x:v>
      </x:c>
      <x:c r="M143" s="45" t="str">
        <x:f>'Evaluation Plan'!M143</x:f>
        <x:v>pen</x:v>
      </x:c>
      <x:c r="N143" s="45" t="n">
        <x:f>'Evaluation Plan'!N143</x:f>
        <x:v>4</x:v>
      </x:c>
      <x:c r="O143" s="45" t="n">
        <x:f>'Evaluation Plan'!O143</x:f>
        <x:v>0</x:v>
      </x:c>
      <x:c r="P143" s="45" t="str">
        <x:f>'Evaluation Plan'!P143</x:f>
        <x:v>Empty</x:v>
      </x:c>
      <x:c r="Q143" s="44" t="str">
        <x:f>'Evaluation Plan'!Q143</x:f>
        <x:v>Queried candidate pair absent; bowl remains empty</x:v>
      </x:c>
      <x:c r="R143" s="45" t="n">
        <x:f>'Evaluation Plan'!R143</x:f>
        <x:v>6</x:v>
      </x:c>
      <x:c r="S143" s="44" t="str">
        <x:f>'Evaluation Plan'!S143</x:f>
        <x:v>Build the listed candidate-absent scene and confirm the bowl is empty.</x:v>
      </x:c>
      <x:c r="T143" s="44" t="str">
        <x:f>'Evaluation Plan'!T143</x:f>
        <x:v>The instruction uses normal active-trial wording. Success requires no grasp or object displacement.</x:v>
      </x:c>
      <x:c r="U143" s="44" t="n">
        <x:f>'Evaluation Plan'!U143</x:f>
        <x:v>0</x:v>
      </x:c>
    </x:row>
    <x:row r="144" ht="51" customHeight="1">
      <x:c r="A144" s="41" t="str">
        <x:v>Not collected</x:v>
      </x:c>
      <x:c r="B144" s="42" t="n">
        <x:f>'Evaluation Plan'!B144</x:f>
        <x:v>142</x:v>
      </x:c>
      <x:c r="C144" s="41" t="str">
        <x:f>'Evaluation Plan'!C144</x:f>
        <x:v>Put the crushed soda can furthest from the green pen in the bowl.</x:v>
      </x:c>
      <x:c r="D144" s="41" t="str">
        <x:f>'Evaluation Plan'!D144</x:f>
        <x:v>Reference: green pen at table centre; yellow pen: at the far robot-left corner, outside the distance comparison; Absent candidate pair: crushed Coke can and crushed Pepsi can are not in the scene; Bowl: empty</x:v>
      </x:c>
      <x:c r="E144" s="42" t="str">
        <x:f>'Evaluation Plan'!E144</x:f>
      </x:c>
      <x:c r="F144" s="42" t="str">
        <x:f>'Evaluation Plan'!F144</x:f>
        <x:v>416</x:v>
      </x:c>
      <x:c r="G144" s="41" t="str">
        <x:f>'Evaluation Plan'!G144</x:f>
        <x:v>The relation × candidate-category prompt cell is explicitly trained. The evaluation scene deliberately removes both candidate identities; the abstention outcome is not demonstrated in training.</x:v>
      </x:c>
      <x:c r="H144" s="41" t="str">
        <x:f>'Evaluation Plan'!H144</x:f>
        <x:v>NO-OP; neither crushed Coke can nor crushed Pepsi can is present</x:v>
      </x:c>
      <x:c r="I144" s="41" t="str"/>
      <x:c r="J144" s="48" t="str">
        <x:f>'Evaluation Plan'!J144</x:f>
        <x:v>No valid candidate category / no movement</x:v>
      </x:c>
      <x:c r="K144" s="42" t="str">
        <x:f>'Evaluation Plan'!K144</x:f>
        <x:v>RD-NOVALID13</x:v>
      </x:c>
      <x:c r="L144" s="42" t="str">
        <x:f>'Evaluation Plan'!L144</x:f>
        <x:v>furthest</x:v>
      </x:c>
      <x:c r="M144" s="42" t="str">
        <x:f>'Evaluation Plan'!M144</x:f>
        <x:v>crushed soda can</x:v>
      </x:c>
      <x:c r="N144" s="42" t="n">
        <x:f>'Evaluation Plan'!N144</x:f>
        <x:v>2</x:v>
      </x:c>
      <x:c r="O144" s="42" t="n">
        <x:f>'Evaluation Plan'!O144</x:f>
        <x:v>0</x:v>
      </x:c>
      <x:c r="P144" s="42" t="str">
        <x:f>'Evaluation Plan'!P144</x:f>
        <x:v>Empty</x:v>
      </x:c>
      <x:c r="Q144" s="41" t="str">
        <x:f>'Evaluation Plan'!Q144</x:f>
        <x:v>Queried candidate pair absent; bowl remains empty</x:v>
      </x:c>
      <x:c r="R144" s="42" t="n">
        <x:f>'Evaluation Plan'!R144</x:f>
        <x:v>6</x:v>
      </x:c>
      <x:c r="S144" s="41" t="str">
        <x:f>'Evaluation Plan'!S144</x:f>
        <x:v>Build the listed candidate-absent scene and confirm the bowl is empty.</x:v>
      </x:c>
      <x:c r="T144" s="41" t="str">
        <x:f>'Evaluation Plan'!T144</x:f>
        <x:v>The instruction uses normal active-trial wording. Success requires no grasp or object displacement.</x:v>
      </x:c>
      <x:c r="U144" s="41" t="n">
        <x:f>'Evaluation Plan'!U144</x:f>
        <x:v>0</x:v>
      </x:c>
    </x:row>
    <x:row r="145" ht="51" customHeight="1">
      <x:c r="A145" s="44" t="str">
        <x:v>Not collected</x:v>
      </x:c>
      <x:c r="B145" s="45" t="n">
        <x:f>'Evaluation Plan'!B145</x:f>
        <x:v>143</x:v>
      </x:c>
      <x:c r="C145" s="44" t="str">
        <x:f>'Evaluation Plan'!C145</x:f>
        <x:v>Put the pencil sharpener closest to the crushed Coke can in the bowl.</x:v>
      </x:c>
      <x:c r="D145" s="44" t="str">
        <x:f>'Evaluation Plan'!D145</x:f>
        <x:v>Reference: crushed Coke can at table centre; airplane toy with propellers: at the far robot-left corner, outside the distance comparison; airplane toy without propellers: at the far robot-right corner, outside the distance comparison; Absent candidate pair: green pencil sharpener and red pencil sharpener are not in the scene; Bowl: empty</x:v>
      </x:c>
      <x:c r="E145" s="45" t="str">
        <x:f>'Evaluation Plan'!E145</x:f>
      </x:c>
      <x:c r="F145" s="45" t="str">
        <x:f>'Evaluation Plan'!F145</x:f>
        <x:v>452</x:v>
      </x:c>
      <x:c r="G145" s="44" t="str">
        <x:f>'Evaluation Plan'!G145</x:f>
        <x:v>The relation × candidate-category prompt cell is explicitly trained. The evaluation scene deliberately removes both candidate identities; the abstention outcome is not demonstrated in training.</x:v>
      </x:c>
      <x:c r="H145" s="44" t="str">
        <x:f>'Evaluation Plan'!H145</x:f>
        <x:v>NO-OP; neither green pencil sharpener nor red pencil sharpener is present</x:v>
      </x:c>
      <x:c r="I145" s="44" t="str"/>
      <x:c r="J145" s="48" t="str">
        <x:f>'Evaluation Plan'!J145</x:f>
        <x:v>No valid candidate category / no movement</x:v>
      </x:c>
      <x:c r="K145" s="45" t="str">
        <x:f>'Evaluation Plan'!K145</x:f>
        <x:v>RD-NOVALID14</x:v>
      </x:c>
      <x:c r="L145" s="45" t="str">
        <x:f>'Evaluation Plan'!L145</x:f>
        <x:v>closest</x:v>
      </x:c>
      <x:c r="M145" s="45" t="str">
        <x:f>'Evaluation Plan'!M145</x:f>
        <x:v>pencil sharpener</x:v>
      </x:c>
      <x:c r="N145" s="45" t="n">
        <x:f>'Evaluation Plan'!N145</x:f>
        <x:v>3</x:v>
      </x:c>
      <x:c r="O145" s="45" t="n">
        <x:f>'Evaluation Plan'!O145</x:f>
        <x:v>0</x:v>
      </x:c>
      <x:c r="P145" s="45" t="str">
        <x:f>'Evaluation Plan'!P145</x:f>
        <x:v>Empty</x:v>
      </x:c>
      <x:c r="Q145" s="44" t="str">
        <x:f>'Evaluation Plan'!Q145</x:f>
        <x:v>Queried candidate pair absent; bowl remains empty</x:v>
      </x:c>
      <x:c r="R145" s="45" t="n">
        <x:f>'Evaluation Plan'!R145</x:f>
        <x:v>6</x:v>
      </x:c>
      <x:c r="S145" s="44" t="str">
        <x:f>'Evaluation Plan'!S145</x:f>
        <x:v>Build the listed candidate-absent scene and confirm the bowl is empty.</x:v>
      </x:c>
      <x:c r="T145" s="44" t="str">
        <x:f>'Evaluation Plan'!T145</x:f>
        <x:v>The instruction uses normal active-trial wording. Success requires no grasp or object displacement.</x:v>
      </x:c>
      <x:c r="U145" s="44" t="n">
        <x:f>'Evaluation Plan'!U145</x:f>
        <x:v>0</x:v>
      </x:c>
    </x:row>
    <x:row r="146" ht="51" customHeight="1">
      <x:c r="A146" s="41" t="str">
        <x:v>Not collected</x:v>
      </x:c>
      <x:c r="B146" s="42" t="n">
        <x:f>'Evaluation Plan'!B146</x:f>
        <x:v>144</x:v>
      </x:c>
      <x:c r="C146" s="41" t="str">
        <x:f>'Evaluation Plan'!C146</x:f>
        <x:v>Move the airplane toy closest to the green pencil sharpener into the bowl.</x:v>
      </x:c>
      <x:c r="D146" s="41" t="str">
        <x:f>'Evaluation Plan'!D146</x:f>
        <x:v>Reference: green pencil sharpener at table centre; yellow pen: at the far robot-left corner, outside the distance comparison; crushed Coke can: at the far robot-right corner, outside the distance comparison; crushed Pepsi can: near the back edge, outside the distance comparison; Absent candidate pair: airplane toy with propellers and airplane toy without propellers are not in the scene; Bowl: empty</x:v>
      </x:c>
      <x:c r="E146" s="42" t="str">
        <x:f>'Evaluation Plan'!E146</x:f>
      </x:c>
      <x:c r="F146" s="42" t="str">
        <x:f>'Evaluation Plan'!F146</x:f>
        <x:v>551</x:v>
      </x:c>
      <x:c r="G146" s="41" t="str">
        <x:f>'Evaluation Plan'!G146</x:f>
        <x:v>The relation × candidate-category prompt cell is explicitly trained. The evaluation scene deliberately removes both candidate identities; the abstention outcome is not demonstrated in training.</x:v>
      </x:c>
      <x:c r="H146" s="41" t="str">
        <x:f>'Evaluation Plan'!H146</x:f>
        <x:v>NO-OP; neither airplane toy with propellers nor airplane toy without propellers is present</x:v>
      </x:c>
      <x:c r="I146" s="41" t="str"/>
      <x:c r="J146" s="48" t="str">
        <x:f>'Evaluation Plan'!J146</x:f>
        <x:v>No valid candidate category / no movement</x:v>
      </x:c>
      <x:c r="K146" s="42" t="str">
        <x:f>'Evaluation Plan'!K146</x:f>
        <x:v>RD-NOVALID15</x:v>
      </x:c>
      <x:c r="L146" s="42" t="str">
        <x:f>'Evaluation Plan'!L146</x:f>
        <x:v>closest</x:v>
      </x:c>
      <x:c r="M146" s="42" t="str">
        <x:f>'Evaluation Plan'!M146</x:f>
        <x:v>airplane toy</x:v>
      </x:c>
      <x:c r="N146" s="42" t="n">
        <x:f>'Evaluation Plan'!N146</x:f>
        <x:v>4</x:v>
      </x:c>
      <x:c r="O146" s="42" t="n">
        <x:f>'Evaluation Plan'!O146</x:f>
        <x:v>0</x:v>
      </x:c>
      <x:c r="P146" s="42" t="str">
        <x:f>'Evaluation Plan'!P146</x:f>
        <x:v>Empty</x:v>
      </x:c>
      <x:c r="Q146" s="41" t="str">
        <x:f>'Evaluation Plan'!Q146</x:f>
        <x:v>Queried candidate pair absent; bowl remains empty</x:v>
      </x:c>
      <x:c r="R146" s="42" t="n">
        <x:f>'Evaluation Plan'!R146</x:f>
        <x:v>6</x:v>
      </x:c>
      <x:c r="S146" s="41" t="str">
        <x:f>'Evaluation Plan'!S146</x:f>
        <x:v>Build the listed candidate-absent scene and confirm the bowl is empty.</x:v>
      </x:c>
      <x:c r="T146" s="41" t="str">
        <x:f>'Evaluation Plan'!T146</x:f>
        <x:v>The instruction uses normal active-trial wording. Success requires no grasp or object displacement.</x:v>
      </x:c>
      <x:c r="U146" s="41" t="n">
        <x:f>'Evaluation Plan'!U146</x:f>
        <x:v>0</x:v>
      </x:c>
    </x:row>
    <x:row r="147" ht="51" customHeight="1">
      <x:c r="A147" s="44" t="str">
        <x:v>Not collected</x:v>
      </x:c>
      <x:c r="B147" s="45" t="n">
        <x:f>'Evaluation Plan'!B147</x:f>
        <x:v>145</x:v>
      </x:c>
      <x:c r="C147" s="44" t="str">
        <x:f>'Evaluation Plan'!C147</x:f>
        <x:v>Move the pen furthest from the crushed Pepsi can into the bowl.</x:v>
      </x:c>
      <x:c r="D147" s="44" t="str">
        <x:f>'Evaluation Plan'!D147</x:f>
        <x:v>Reference: crushed Pepsi can at table centre; crushed Coke can: at the far robot-left corner, outside the distance comparison; Absent candidate pair: green pen and yellow pen are not in the scene; Bowl: empty</x:v>
      </x:c>
      <x:c r="E147" s="45" t="str">
        <x:f>'Evaluation Plan'!E147</x:f>
      </x:c>
      <x:c r="F147" s="45" t="str">
        <x:f>'Evaluation Plan'!F147</x:f>
        <x:v>517</x:v>
      </x:c>
      <x:c r="G147" s="44" t="str">
        <x:f>'Evaluation Plan'!G147</x:f>
        <x:v>The relation × candidate-category prompt cell is explicitly trained. The evaluation scene deliberately removes both candidate identities; the abstention outcome is not demonstrated in training.</x:v>
      </x:c>
      <x:c r="H147" s="44" t="str">
        <x:f>'Evaluation Plan'!H147</x:f>
        <x:v>NO-OP; neither green pen nor yellow pen is present</x:v>
      </x:c>
      <x:c r="I147" s="44" t="str"/>
      <x:c r="J147" s="48" t="str">
        <x:f>'Evaluation Plan'!J147</x:f>
        <x:v>No valid candidate category / no movement</x:v>
      </x:c>
      <x:c r="K147" s="45" t="str">
        <x:f>'Evaluation Plan'!K147</x:f>
        <x:v>RD-NOVALID16</x:v>
      </x:c>
      <x:c r="L147" s="45" t="str">
        <x:f>'Evaluation Plan'!L147</x:f>
        <x:v>furthest</x:v>
      </x:c>
      <x:c r="M147" s="45" t="str">
        <x:f>'Evaluation Plan'!M147</x:f>
        <x:v>pen</x:v>
      </x:c>
      <x:c r="N147" s="45" t="n">
        <x:f>'Evaluation Plan'!N147</x:f>
        <x:v>2</x:v>
      </x:c>
      <x:c r="O147" s="45" t="n">
        <x:f>'Evaluation Plan'!O147</x:f>
        <x:v>0</x:v>
      </x:c>
      <x:c r="P147" s="45" t="str">
        <x:f>'Evaluation Plan'!P147</x:f>
        <x:v>Empty</x:v>
      </x:c>
      <x:c r="Q147" s="44" t="str">
        <x:f>'Evaluation Plan'!Q147</x:f>
        <x:v>Queried candidate pair absent; bowl remains empty</x:v>
      </x:c>
      <x:c r="R147" s="45" t="n">
        <x:f>'Evaluation Plan'!R147</x:f>
        <x:v>6</x:v>
      </x:c>
      <x:c r="S147" s="44" t="str">
        <x:f>'Evaluation Plan'!S147</x:f>
        <x:v>Build the listed candidate-absent scene and confirm the bowl is empty.</x:v>
      </x:c>
      <x:c r="T147" s="44" t="str">
        <x:f>'Evaluation Plan'!T147</x:f>
        <x:v>The instruction uses normal active-trial wording. Success requires no grasp or object displacement.</x:v>
      </x:c>
      <x:c r="U147" s="44" t="n">
        <x:f>'Evaluation Plan'!U147</x:f>
        <x:v>0</x:v>
      </x:c>
    </x:row>
    <x:row r="148" ht="51" customHeight="1">
      <x:c r="A148" s="41" t="str">
        <x:v>Not collected</x:v>
      </x:c>
      <x:c r="B148" s="42" t="n">
        <x:f>'Evaluation Plan'!B148</x:f>
        <x:v>146</x:v>
      </x:c>
      <x:c r="C148" s="41" t="str">
        <x:f>'Evaluation Plan'!C148</x:f>
        <x:v>Put the crushed soda can between the green pencil sharpener and the yellow pen in the bowl.</x:v>
      </x:c>
      <x:c r="D148" s="41" t="str">
        <x:f>'Evaluation Plan'!D148</x:f>
        <x:v>Reference A: green pencil sharpener at 14 cm to robot-left of table centre; Reference B: yellow pen at 14 cm to robot-right of table centre; airplane toy with propellers: at the far robot-left corner, outside the distance comparison; Absent candidate pair: crushed Coke can and crushed Pepsi can are not in the scene; Bowl: empty</x:v>
      </x:c>
      <x:c r="E148" s="42" t="str">
        <x:f>'Evaluation Plan'!E148</x:f>
      </x:c>
      <x:c r="F148" s="42" t="str">
        <x:f>'Evaluation Plan'!F148</x:f>
        <x:v>432</x:v>
      </x:c>
      <x:c r="G148" s="41" t="str">
        <x:f>'Evaluation Plan'!G148</x:f>
        <x:v>The relation × candidate-category prompt cell is explicitly trained. The evaluation scene deliberately removes both candidate identities; the abstention outcome is not demonstrated in training.</x:v>
      </x:c>
      <x:c r="H148" s="41" t="str">
        <x:f>'Evaluation Plan'!H148</x:f>
        <x:v>NO-OP; neither crushed Coke can nor crushed Pepsi can is present</x:v>
      </x:c>
      <x:c r="I148" s="41" t="str"/>
      <x:c r="J148" s="48" t="str">
        <x:f>'Evaluation Plan'!J148</x:f>
        <x:v>No valid candidate category / no movement</x:v>
      </x:c>
      <x:c r="K148" s="42" t="str">
        <x:f>'Evaluation Plan'!K148</x:f>
        <x:v>RD-NOVALID17</x:v>
      </x:c>
      <x:c r="L148" s="42" t="str">
        <x:f>'Evaluation Plan'!L148</x:f>
        <x:v>between</x:v>
      </x:c>
      <x:c r="M148" s="42" t="str">
        <x:f>'Evaluation Plan'!M148</x:f>
        <x:v>crushed soda can</x:v>
      </x:c>
      <x:c r="N148" s="42" t="n">
        <x:f>'Evaluation Plan'!N148</x:f>
        <x:v>3</x:v>
      </x:c>
      <x:c r="O148" s="42" t="n">
        <x:f>'Evaluation Plan'!O148</x:f>
        <x:v>0</x:v>
      </x:c>
      <x:c r="P148" s="42" t="str">
        <x:f>'Evaluation Plan'!P148</x:f>
        <x:v>Empty</x:v>
      </x:c>
      <x:c r="Q148" s="41" t="str">
        <x:f>'Evaluation Plan'!Q148</x:f>
        <x:v>Queried candidate pair absent; bowl remains empty</x:v>
      </x:c>
      <x:c r="R148" s="42" t="n">
        <x:f>'Evaluation Plan'!R148</x:f>
        <x:v>6</x:v>
      </x:c>
      <x:c r="S148" s="41" t="str">
        <x:f>'Evaluation Plan'!S148</x:f>
        <x:v>Build the listed candidate-absent scene and confirm the bowl is empty.</x:v>
      </x:c>
      <x:c r="T148" s="41" t="str">
        <x:f>'Evaluation Plan'!T148</x:f>
        <x:v>The instruction uses normal active-trial wording. Success requires no grasp or object displacement.</x:v>
      </x:c>
      <x:c r="U148" s="41" t="n">
        <x:f>'Evaluation Plan'!U148</x:f>
        <x:v>0</x:v>
      </x:c>
    </x:row>
    <x:row r="149" ht="51" customHeight="1">
      <x:c r="A149" s="44" t="str">
        <x:v>Not collected</x:v>
      </x:c>
      <x:c r="B149" s="45" t="n">
        <x:f>'Evaluation Plan'!B149</x:f>
        <x:v>147</x:v>
      </x:c>
      <x:c r="C149" s="44" t="str">
        <x:f>'Evaluation Plan'!C149</x:f>
        <x:v>Pick up the pencil sharpener furthest from the airplane toy without propellers and place it in the bowl.</x:v>
      </x:c>
      <x:c r="D149" s="44" t="str">
        <x:f>'Evaluation Plan'!D149</x:f>
        <x:v>Reference: airplane toy without propellers at table centre; green pen: at the far robot-left corner, outside the distance comparison; yellow pen: at the far robot-right corner, outside the distance comparison; airplane toy with propellers: near the back edge, outside the distance comparison; Absent candidate pair: green pencil sharpener and red pencil sharpener are not in the scene; Bowl: empty</x:v>
      </x:c>
      <x:c r="E149" s="45" t="str">
        <x:f>'Evaluation Plan'!E149</x:f>
      </x:c>
      <x:c r="F149" s="45" t="str">
        <x:f>'Evaluation Plan'!F149</x:f>
        <x:v>466</x:v>
      </x:c>
      <x:c r="G149" s="44" t="str">
        <x:f>'Evaluation Plan'!G149</x:f>
        <x:v>The relation × candidate-category prompt cell is explicitly trained. The evaluation scene deliberately removes both candidate identities; the abstention outcome is not demonstrated in training.</x:v>
      </x:c>
      <x:c r="H149" s="44" t="str">
        <x:f>'Evaluation Plan'!H149</x:f>
        <x:v>NO-OP; neither green pencil sharpener nor red pencil sharpener is present</x:v>
      </x:c>
      <x:c r="I149" s="44" t="str"/>
      <x:c r="J149" s="48" t="str">
        <x:f>'Evaluation Plan'!J149</x:f>
        <x:v>No valid candidate category / no movement</x:v>
      </x:c>
      <x:c r="K149" s="45" t="str">
        <x:f>'Evaluation Plan'!K149</x:f>
        <x:v>RD-NOVALID18</x:v>
      </x:c>
      <x:c r="L149" s="45" t="str">
        <x:f>'Evaluation Plan'!L149</x:f>
        <x:v>furthest</x:v>
      </x:c>
      <x:c r="M149" s="45" t="str">
        <x:f>'Evaluation Plan'!M149</x:f>
        <x:v>pencil sharpener</x:v>
      </x:c>
      <x:c r="N149" s="45" t="n">
        <x:f>'Evaluation Plan'!N149</x:f>
        <x:v>4</x:v>
      </x:c>
      <x:c r="O149" s="45" t="n">
        <x:f>'Evaluation Plan'!O149</x:f>
        <x:v>0</x:v>
      </x:c>
      <x:c r="P149" s="45" t="str">
        <x:f>'Evaluation Plan'!P149</x:f>
        <x:v>Empty</x:v>
      </x:c>
      <x:c r="Q149" s="44" t="str">
        <x:f>'Evaluation Plan'!Q149</x:f>
        <x:v>Queried candidate pair absent; bowl remains empty</x:v>
      </x:c>
      <x:c r="R149" s="45" t="n">
        <x:f>'Evaluation Plan'!R149</x:f>
        <x:v>6</x:v>
      </x:c>
      <x:c r="S149" s="44" t="str">
        <x:f>'Evaluation Plan'!S149</x:f>
        <x:v>Build the listed candidate-absent scene and confirm the bowl is empty.</x:v>
      </x:c>
      <x:c r="T149" s="44" t="str">
        <x:f>'Evaluation Plan'!T149</x:f>
        <x:v>The instruction uses normal active-trial wording. Success requires no grasp or object displacement.</x:v>
      </x:c>
      <x:c r="U149" s="44" t="n">
        <x:f>'Evaluation Plan'!U149</x:f>
        <x:v>0</x:v>
      </x:c>
    </x:row>
    <x:row r="150" ht="51" customHeight="1">
      <x:c r="A150" s="41" t="str">
        <x:v>Not collected</x:v>
      </x:c>
      <x:c r="B150" s="42" t="n">
        <x:f>'Evaluation Plan'!B150</x:f>
        <x:v>148</x:v>
      </x:c>
      <x:c r="C150" s="41" t="str">
        <x:f>'Evaluation Plan'!C150</x:f>
        <x:v>Move the airplane toy between the green pen and the crushed Coke can into the bowl.</x:v>
      </x:c>
      <x:c r="D150" s="41" t="str">
        <x:f>'Evaluation Plan'!D150</x:f>
        <x:v>Reference A: green pen at 14 cm to robot-left of table centre; Reference B: crushed Coke can at 14 cm to robot-right of table centre; Absent candidate pair: airplane toy with propellers and airplane toy without propellers are not in the scene; Bowl: empty</x:v>
      </x:c>
      <x:c r="E150" s="42" t="str">
        <x:f>'Evaluation Plan'!E150</x:f>
      </x:c>
      <x:c r="F150" s="42" t="str">
        <x:f>'Evaluation Plan'!F150</x:f>
        <x:v>582</x:v>
      </x:c>
      <x:c r="G150" s="41" t="str">
        <x:f>'Evaluation Plan'!G150</x:f>
        <x:v>The relation × candidate-category prompt cell is explicitly trained. The evaluation scene deliberately removes both candidate identities; the abstention outcome is not demonstrated in training.</x:v>
      </x:c>
      <x:c r="H150" s="41" t="str">
        <x:f>'Evaluation Plan'!H150</x:f>
        <x:v>NO-OP; neither airplane toy with propellers nor airplane toy without propellers is present</x:v>
      </x:c>
      <x:c r="I150" s="41" t="str"/>
      <x:c r="J150" s="48" t="str">
        <x:f>'Evaluation Plan'!J150</x:f>
        <x:v>No valid candidate category / no movement</x:v>
      </x:c>
      <x:c r="K150" s="42" t="str">
        <x:f>'Evaluation Plan'!K150</x:f>
        <x:v>RD-NOVALID19</x:v>
      </x:c>
      <x:c r="L150" s="42" t="str">
        <x:f>'Evaluation Plan'!L150</x:f>
        <x:v>between</x:v>
      </x:c>
      <x:c r="M150" s="42" t="str">
        <x:f>'Evaluation Plan'!M150</x:f>
        <x:v>airplane toy</x:v>
      </x:c>
      <x:c r="N150" s="42" t="n">
        <x:f>'Evaluation Plan'!N150</x:f>
        <x:v>2</x:v>
      </x:c>
      <x:c r="O150" s="42" t="n">
        <x:f>'Evaluation Plan'!O150</x:f>
        <x:v>0</x:v>
      </x:c>
      <x:c r="P150" s="42" t="str">
        <x:f>'Evaluation Plan'!P150</x:f>
        <x:v>Empty</x:v>
      </x:c>
      <x:c r="Q150" s="41" t="str">
        <x:f>'Evaluation Plan'!Q150</x:f>
        <x:v>Queried candidate pair absent; bowl remains empty</x:v>
      </x:c>
      <x:c r="R150" s="42" t="n">
        <x:f>'Evaluation Plan'!R150</x:f>
        <x:v>6</x:v>
      </x:c>
      <x:c r="S150" s="41" t="str">
        <x:f>'Evaluation Plan'!S150</x:f>
        <x:v>Build the listed candidate-absent scene and confirm the bowl is empty.</x:v>
      </x:c>
      <x:c r="T150" s="41" t="str">
        <x:f>'Evaluation Plan'!T150</x:f>
        <x:v>The instruction uses normal active-trial wording. Success requires no grasp or object displacement.</x:v>
      </x:c>
      <x:c r="U150" s="41" t="n">
        <x:f>'Evaluation Plan'!U150</x:f>
        <x:v>0</x:v>
      </x:c>
    </x:row>
    <x:row r="151" ht="51" customHeight="1">
      <x:c r="A151" s="44" t="str">
        <x:v>Not collected</x:v>
      </x:c>
      <x:c r="B151" s="45" t="n">
        <x:f>'Evaluation Plan'!B151</x:f>
        <x:v>149</x:v>
      </x:c>
      <x:c r="C151" s="44" t="str">
        <x:f>'Evaluation Plan'!C151</x:f>
        <x:v>Pick up the pen closest to the green pencil sharpener and place it in the bowl.</x:v>
      </x:c>
      <x:c r="D151" s="44" t="str">
        <x:f>'Evaluation Plan'!D151</x:f>
        <x:v>Reference: green pencil sharpener at table centre; airplane toy without propellers: at the far robot-left corner, outside the distance comparison; crushed Coke can: at the far robot-right corner, outside the distance comparison; Absent candidate pair: green pen and yellow pen are not in the scene; Bowl: empty</x:v>
      </x:c>
      <x:c r="E151" s="45" t="n">
        <x:f>'Evaluation Plan'!E151</x:f>
        <x:v>0</x:v>
      </x:c>
      <x:c r="F151" s="45" t="str">
        <x:f>'Evaluation Plan'!F151</x:f>
        <x:v>501</x:v>
      </x:c>
      <x:c r="G151" s="44" t="str">
        <x:f>'Evaluation Plan'!G151</x:f>
        <x:v>The relation × candidate-category prompt cell is explicitly trained. The evaluation scene deliberately removes both candidate identities; the abstention outcome is not demonstrated in training.</x:v>
      </x:c>
      <x:c r="H151" s="44" t="str">
        <x:f>'Evaluation Plan'!H151</x:f>
        <x:v>NO-OP; neither green pen nor yellow pen is present</x:v>
      </x:c>
      <x:c r="I151" s="44" t="str"/>
      <x:c r="J151" s="48" t="str">
        <x:f>'Evaluation Plan'!J151</x:f>
        <x:v>No valid candidate category / no movement</x:v>
      </x:c>
      <x:c r="K151" s="45" t="str">
        <x:f>'Evaluation Plan'!K151</x:f>
        <x:v>RD-NOVALID20</x:v>
      </x:c>
      <x:c r="L151" s="45" t="str">
        <x:f>'Evaluation Plan'!L151</x:f>
        <x:v>closest</x:v>
      </x:c>
      <x:c r="M151" s="45" t="str">
        <x:f>'Evaluation Plan'!M151</x:f>
        <x:v>pen</x:v>
      </x:c>
      <x:c r="N151" s="45" t="n">
        <x:f>'Evaluation Plan'!N151</x:f>
        <x:v>3</x:v>
      </x:c>
      <x:c r="O151" s="45" t="n">
        <x:f>'Evaluation Plan'!O151</x:f>
        <x:v>0</x:v>
      </x:c>
      <x:c r="P151" s="45" t="str">
        <x:f>'Evaluation Plan'!P151</x:f>
        <x:v>Empty</x:v>
      </x:c>
      <x:c r="Q151" s="44" t="str">
        <x:f>'Evaluation Plan'!Q151</x:f>
        <x:v>Queried candidate pair absent; bowl remains empty</x:v>
      </x:c>
      <x:c r="R151" s="45" t="n">
        <x:f>'Evaluation Plan'!R151</x:f>
        <x:v>6</x:v>
      </x:c>
      <x:c r="S151" s="44" t="str">
        <x:f>'Evaluation Plan'!S151</x:f>
        <x:v>Build the listed candidate-absent scene and confirm the bowl is empty.</x:v>
      </x:c>
      <x:c r="T151" s="44" t="str">
        <x:f>'Evaluation Plan'!T151</x:f>
        <x:v>The instruction uses normal active-trial wording. Success requires no grasp or object displacement.</x:v>
      </x:c>
      <x:c r="U151" s="44" t="n">
        <x:f>'Evaluation Plan'!U151</x:f>
        <x:v>0</x:v>
      </x:c>
    </x:row>
  </x:sheetData>
  <x:conditionalFormatting sqref="A2:R131">
    <x:cfRule type="expression" dxfId="23" priority="1">
      <x:formula>$A2="Success"</x:formula>
    </x:cfRule>
    <x:cfRule type="expression" dxfId="24" priority="2">
      <x:formula>$A2="Failure"</x:formula>
    </x:cfRule>
  </x:conditionalFormatting>
  <x:conditionalFormatting sqref="H2:H131">
    <x:cfRule type="containsText" dxfId="25" priority="3" operator="containsText" text="Concept/compositional transfer"/>
    <x:cfRule type="containsText" dxfId="26" priority="4" operator="containsText" text="Matched manipulation control"/>
    <x:cfRule type="containsText" dxfId="27" priority="5" operator="containsText" text="Block"/>
    <x:cfRule type="containsText" dxfId="28" priority="6" operator="containsText" text="Language robustness"/>
    <x:cfRule type="containsText" dxfId="29" priority="7" operator="containsText" text="Seen-concept between baseline"/>
  </x:conditionalFormatting>
  <x:conditionalFormatting sqref="A2:U151">
    <x:cfRule type="expression" dxfId="36" priority="8">
      <x:formula>$A2="Success"</x:formula>
    </x:cfRule>
    <x:cfRule type="expression" dxfId="37"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tableParts count="1">
    <x:tablePart xmlns:r="http://schemas.openxmlformats.org/officeDocument/2006/relationships" r:id="R0a48e57e8d344839"/>
  </x:tableParts>
</x:worksheet>
</file>