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070d26b5a14bea" /></Relationships>
</file>

<file path=xl/workbook.xml><?xml version="1.0" encoding="utf-8"?>
<x:workbook xmlns:x="http://schemas.openxmlformats.org/spreadsheetml/2006/main">
  <x:sheets>
    <x:sheet xmlns:r="http://schemas.openxmlformats.org/officeDocument/2006/relationships" name="Evaluation Plan" sheetId="1" r:id="Rad31de56bc724e62"/>
    <x:sheet xmlns:r="http://schemas.openxmlformats.org/officeDocument/2006/relationships" name="Object Inventory" sheetId="2" r:id="R696e0d72964e4b38"/>
    <x:sheet xmlns:r="http://schemas.openxmlformats.org/officeDocument/2006/relationships" name="Training Alignment" sheetId="3" r:id="R0f7e645604394bda"/>
    <x:sheet xmlns:r="http://schemas.openxmlformats.org/officeDocument/2006/relationships" name="Protocol" sheetId="4" r:id="Rc1c86c35d9bb4daa"/>
    <x:sheet xmlns:r="http://schemas.openxmlformats.org/officeDocument/2006/relationships" name="Design QA" sheetId="5" r:id="R071c769ad58c43dd"/>
    <x:sheet xmlns:r="http://schemas.openxmlformats.org/officeDocument/2006/relationships" name="pi0.5 Results" sheetId="6" r:id="Re435b7a47e33422f"/>
    <x:sheet xmlns:r="http://schemas.openxmlformats.org/officeDocument/2006/relationships" name="VLA0 Results" sheetId="7" r:id="R873bd66898574976"/>
    <x:sheet xmlns:r="http://schemas.openxmlformats.org/officeDocument/2006/relationships" name="MolmoAct2 Results" sheetId="8" r:id="R0f664b19a7f04703"/>
  </x:sheets>
</x:workbook>
</file>

<file path=xl/sharedStrings.xml><?xml version="1.0" encoding="utf-8"?>
<x:sst xmlns:x="http://schemas.openxmlformats.org/spreadsheetml/2006/main">
  <x:si>
    <x:t xml:space="preserve">Status</x:t>
  </x:si>
  <x:si>
    <x:t xml:space="preserve">Episode</x:t>
  </x:si>
  <x:si>
    <x:t xml:space="preserve">Prompt</x:t>
  </x:si>
  <x:si>
    <x:t xml:space="preserve">Objects and States</x:t>
  </x:si>
  <x:si>
    <x:t xml:space="preserve">Reference Episode</x:t>
  </x:si>
  <x:si>
    <x:t xml:space="preserve">Original Training Episode(s)</x:t>
  </x:si>
  <x:si>
    <x:t xml:space="preserve">Manifest Alignment</x:t>
  </x:si>
  <x:si>
    <x:t xml:space="preserve">Expected Target / Action</x:t>
  </x:si>
  <x:si>
    <x:t xml:space="preserve">Observations</x:t>
  </x:si>
  <x:si>
    <x:t xml:space="preserve">Condition</x:t>
  </x:si>
  <x:si>
    <x:t xml:space="preserve">Scene Family</x:t>
  </x:si>
  <x:si>
    <x:t xml:space="preserve">Queried State</x:t>
  </x:si>
  <x:si>
    <x:t xml:space="preserve">Queried Category</x:t>
  </x:si>
  <x:si>
    <x:t xml:space="preserve">Object Count</x:t>
  </x:si>
  <x:si>
    <x:t xml:space="preserve">Valid Candidate Count</x:t>
  </x:si>
  <x:si>
    <x:t xml:space="preserve">Bowl Start</x:t>
  </x:si>
  <x:si>
    <x:t xml:space="preserve">Comparison / Subtype</x:t>
  </x:si>
  <x:si>
    <x:t xml:space="preserve">Collection Block</x:t>
  </x:si>
  <x:si>
    <x:t xml:space="preserve">Setup Change from Previous</x:t>
  </x:si>
  <x:si>
    <x:t xml:space="preserve">Design Note</x:t>
  </x:si>
  <x:si>
    <x:t xml:space="preserve">Reference Media Filename</x:t>
  </x:si>
  <x:si>
    <x:t xml:space="preserve">Category</x:t>
  </x:si>
  <x:si>
    <x:t xml:space="preserve">Instances</x:t>
  </x:si>
  <x:si>
    <x:t xml:space="preserve">Seen in state-recognition training?</x:t>
  </x:si>
  <x:si>
    <x:t xml:space="preserve">Explicit state cells</x:t>
  </x:si>
  <x:si>
    <x:t xml:space="preserve">Held-out cell</x:t>
  </x:si>
  <x:si>
    <x:t xml:space="preserve">Evaluation roles</x:t>
  </x:si>
  <x:si>
    <x:t xml:space="preserve">Notes</x:t>
  </x:si>
  <x:si>
    <x:t xml:space="preserve">white cup</x:t>
  </x:si>
  <x:si>
    <x:t xml:space="preserve">A, B</x:t>
  </x:si>
  <x:si>
    <x:t xml:space="preserve">Yes</x:t>
  </x:si>
  <x:si>
    <x:t xml:space="preserve">C, O, RU</x:t>
  </x:si>
  <x:si>
    <x:t xml:space="preserve">UD</x:t>
  </x:si>
  <x:si>
    <x:t xml:space="preserve">Baseline, primary, control, language, no-op</x:t>
  </x:si>
  <x:si>
    <x:t xml:space="preserve">yellow-white striped cup</x:t>
  </x:si>
  <x:si>
    <x:t xml:space="preserve">C, UD, RU</x:t>
  </x:si>
  <x:si>
    <x:t xml:space="preserve">O</x:t>
  </x:si>
  <x:si>
    <x:t xml:space="preserve">brown cup</x:t>
  </x:si>
  <x:si>
    <x:t xml:space="preserve">O, UD, RU</x:t>
  </x:si>
  <x:si>
    <x:t xml:space="preserve">C</x:t>
  </x:si>
  <x:si>
    <x:t xml:space="preserve">glass spice container</x:t>
  </x:si>
  <x:si>
    <x:t xml:space="preserve">C, O, UD</x:t>
  </x:si>
  <x:si>
    <x:t xml:space="preserve">RU</x:t>
  </x:si>
  <x:si>
    <x:t xml:space="preserve">black cup</x:t>
  </x:si>
  <x:si>
    <x:t xml:space="preserve">No</x:t>
  </x:si>
  <x:si>
    <x:t xml:space="preserve">None</x:t>
  </x:si>
  <x:si>
    <x:t xml:space="preserve">N/A</x:t>
  </x:si>
  <x:si>
    <x:t xml:space="preserve">Novel-object state reasoning only</x:t>
  </x:si>
  <x:si>
    <x:t xml:space="preserve">Object category</x:t>
  </x:si>
  <x:si>
    <x:t xml:space="preserve">Primary held-out cell</x:t>
  </x:si>
  <x:si>
    <x:t xml:space="preserve">Explicit</x:t>
  </x:si>
  <x:si>
    <x:t xml:space="preserve">HELD OUT</x:t>
  </x:si>
  <x:si>
    <x:t xml:space="preserve">white cup × UD</x:t>
  </x:si>
  <x:si>
    <x:t xml:space="preserve">striped cup × O</x:t>
  </x:si>
  <x:si>
    <x:t xml:space="preserve">brown cup × C</x:t>
  </x:si>
  <x:si>
    <x:t xml:space="preserve">spice container × RU</x:t>
  </x:si>
  <x:si>
    <x:t xml:space="preserve">Evaluation condition</x:t>
  </x:si>
  <x:si>
    <x:t xml:space="preserve">Rows</x:t>
  </x:si>
  <x:si>
    <x:t xml:space="preserve">Uses held-out cell?</x:t>
  </x:si>
  <x:si>
    <x:t xml:space="preserve">Target candidates</x:t>
  </x:si>
  <x:si>
    <x:t xml:space="preserve">Object-count variation</x:t>
  </x:si>
  <x:si>
    <x:t xml:space="preserve">Interpretation</x:t>
  </x:si>
  <x:si>
    <x:t xml:space="preserve">In-distribution baseline</x:t>
  </x:si>
  <x:si>
    <x:t xml:space="preserve">Exactly 1</x:t>
  </x:si>
  <x:si>
    <x:t xml:space="preserve">2 / 3 / 4</x:t>
  </x:si>
  <x:si>
    <x:t xml:space="preserve">Compositional transfer</x:t>
  </x:si>
  <x:si>
    <x:t xml:space="preserve">Yes — canonical primary</x:t>
  </x:si>
  <x:si>
    <x:t xml:space="preserve">Matched control</x:t>
  </x:si>
  <x:si>
    <x:t xml:space="preserve">Language robustness</x:t>
  </x:si>
  <x:si>
    <x:t xml:space="preserve">Novel black cup</x:t>
  </x:si>
  <x:si>
    <x:t xml:space="preserve">Separate</x:t>
  </x:si>
  <x:si>
    <x:t xml:space="preserve">No valid target / no movement</x:t>
  </x:si>
  <x:si>
    <x:t xml:space="preserve">0</x:t>
  </x:si>
  <x:si>
    <x:t xml:space="preserve">Protocol item</x:t>
  </x:si>
  <x:si>
    <x:t xml:space="preserve">Evaluation size</x:t>
  </x:si>
  <x:si>
    <x:t xml:space="preserve">150 rollouts per model: 20 in-distribution, 50 primary transfer, 20 matched controls, 20 language, 20 novel black-cup, and 20 no-valid-target/no-movement trials.</x:t>
  </x:si>
  <x:si>
    <x:t xml:space="preserve">State codes</x:t>
  </x:si>
  <x:si>
    <x:t xml:space="preserve">Scene column</x:t>
  </x:si>
  <x:si>
    <x:t xml:space="preserve">List only the objects and their state pairs. Do not add target labels, positions, or unlisted objects. The bowl starts empty in every row.</x:t>
  </x:si>
  <x:si>
    <x:t xml:space="preserve">Candidate rule</x:t>
  </x:si>
  <x:si>
    <x:t xml:space="preserve">Primary isolation</x:t>
  </x:si>
  <x:si>
    <x:t xml:space="preserve">The 50 canonical compositional-transfer rows form the primary endpoint. Ten language rows reuse held-out transfer scenes with paraphrased wording; these remain a separate language diagnostic and are not pooled into the primary estimate. No baseline, matched-control, black-cup, or no-valid-target row uses the four held-out cells.</x:t>
  </x:si>
  <x:si>
    <x:t xml:space="preserve">Primary balance</x:t>
  </x:si>
  <x:si>
    <x:t xml:space="preserve">The 50 primary rows use the four missing cells 13, 13, 12, and 12 times. Object counts vary across 2, 3, and 4 objects at 17, 17, and 16 trials.</x:t>
  </x:si>
  <x:si>
    <x:t xml:space="preserve">Matched controls</x:t>
  </x:si>
  <x:si>
    <x:t xml:space="preserve">Language isolation</x:t>
  </x:si>
  <x:si>
    <x:t xml:space="preserve">Novel-object limitation</x:t>
  </x:si>
  <x:si>
    <x:t xml:space="preserve">No-valid-target block</x:t>
  </x:si>
  <x:si>
    <x:t xml:space="preserve">Difference from Counting</x:t>
  </x:si>
  <x:si>
    <x:t xml:space="preserve">These are no-valid-target or infeasible-instruction trials, not goal-already-satisfied trials. In Counting, the requested goal already holds; here, the requested state-object target is absent.</x:t>
  </x:si>
  <x:si>
    <x:t xml:space="preserve">No-movement wording</x:t>
  </x:si>
  <x:si>
    <x:t xml:space="preserve">Use the same canonical 'Place the [state] [category] in the bowl' frame as active trials. Wording must not reveal that no valid target exists.</x:t>
  </x:si>
  <x:si>
    <x:t xml:space="preserve">Distractor variation</x:t>
  </x:si>
  <x:si>
    <x:t xml:space="preserve">Training provenance</x:t>
  </x:si>
  <x:si>
    <x:t xml:space="preserve">Original Training Episode(s) identifies the relevant manifest episode. Manifest Alignment states whether the match is exact, a trained control cell, a masked trajectory reference, or concept-only grounding.</x:t>
  </x:si>
  <x:si>
    <x:t xml:space="preserve">Collection order</x:t>
  </x:si>
  <x:si>
    <x:t xml:space="preserve">Reset fidelity</x:t>
  </x:si>
  <x:si>
    <x:t xml:space="preserve">Active-trial success</x:t>
  </x:si>
  <x:si>
    <x:t xml:space="preserve">No-valid-target success</x:t>
  </x:si>
  <x:si>
    <x:t xml:space="preserve">Do not initiate a grasp and leave the empty bowl and all object states unchanged. Small arm settling without object interaction may be noted but is not a failure.</x:t>
  </x:si>
  <x:si>
    <x:t xml:space="preserve">Invalid hardware episode</x:t>
  </x:si>
  <x:si>
    <x:t xml:space="preserve">Do not score a rollout affected by a camera, motor, reset, or logging fault. Recollect the same episode and document the issue in Observations.</x:t>
  </x:si>
  <x:si>
    <x:t xml:space="preserve">Check</x:t>
  </x:si>
  <x:si>
    <x:t xml:space="preserve">Actual</x:t>
  </x:si>
  <x:si>
    <x:t xml:space="preserve">Expected</x:t>
  </x:si>
  <x:si>
    <x:t xml:space="preserve">Total evaluation rows</x:t>
  </x:si>
  <x:si>
    <x:t xml:space="preserve">Episodes 0–149.</x:t>
  </x:si>
  <x:si>
    <x:t xml:space="preserve">Rows with training provenance</x:t>
  </x:si>
  <x:si>
    <x:t xml:space="preserve">Every row has at least one source concept/trajectory episode.</x:t>
  </x:si>
  <x:si>
    <x:t xml:space="preserve">In-distribution total</x:t>
  </x:si>
  <x:si>
    <x:t xml:space="preserve">Episodes 0–19.</x:t>
  </x:si>
  <x:si>
    <x:t xml:space="preserve">In-distribution exact manifest alignment</x:t>
  </x:si>
  <x:si>
    <x:t xml:space="preserve">All baseline rows cite exact manifest episodes.</x:t>
  </x:si>
  <x:si>
    <x:t xml:space="preserve">Baseline category: white cup</x:t>
  </x:si>
  <x:si>
    <x:t xml:space="preserve">Five per trained category.</x:t>
  </x:si>
  <x:si>
    <x:t xml:space="preserve">Baseline category: yellow-white striped cup</x:t>
  </x:si>
  <x:si>
    <x:t xml:space="preserve">Baseline category: brown cup</x:t>
  </x:si>
  <x:si>
    <x:t xml:space="preserve">Baseline category: glass spice container</x:t>
  </x:si>
  <x:si>
    <x:t xml:space="preserve">Baseline state: C</x:t>
  </x:si>
  <x:si>
    <x:t xml:space="preserve">Five per state.</x:t>
  </x:si>
  <x:si>
    <x:t xml:space="preserve">Baseline state: O</x:t>
  </x:si>
  <x:si>
    <x:t xml:space="preserve">Baseline state: UD</x:t>
  </x:si>
  <x:si>
    <x:t xml:space="preserve">Baseline state: RU</x:t>
  </x:si>
  <x:si>
    <x:t xml:space="preserve">Primary transfer total</x:t>
  </x:si>
  <x:si>
    <x:t xml:space="preserve">Only the four held-out cells.</x:t>
  </x:si>
  <x:si>
    <x:t xml:space="preserve">Primary held-out: white cup × UD</x:t>
  </x:si>
  <x:si>
    <x:t xml:space="preserve">Balanced 13/13/12/12.</x:t>
  </x:si>
  <x:si>
    <x:t xml:space="preserve">Primary held-out: yellow-white striped cup × O</x:t>
  </x:si>
  <x:si>
    <x:t xml:space="preserve">Primary held-out: brown cup × C</x:t>
  </x:si>
  <x:si>
    <x:t xml:space="preserve">Primary held-out: glass spice container × RU</x:t>
  </x:si>
  <x:si>
    <x:t xml:space="preserve">Language held-out: white cup × UD</x:t>
  </x:si>
  <x:si>
    <x:t xml:space="preserve">Exact-scene primary paraphrases only.</x:t>
  </x:si>
  <x:si>
    <x:t xml:space="preserve">Language held-out: yellow-white striped cup × O</x:t>
  </x:si>
  <x:si>
    <x:t xml:space="preserve">Language held-out: brown cup × C</x:t>
  </x:si>
  <x:si>
    <x:t xml:space="preserve">Language held-out: glass spice container × RU</x:t>
  </x:si>
  <x:si>
    <x:t xml:space="preserve">Held-out pair outside primary/language: white cup × UD</x:t>
  </x:si>
  <x:si>
    <x:t xml:space="preserve">No baseline, matched-control, black-cup, or no-valid-target row uses the missing cell.</x:t>
  </x:si>
  <x:si>
    <x:t xml:space="preserve">Held-out pair outside primary/language: yellow-white striped cup × O</x:t>
  </x:si>
  <x:si>
    <x:t xml:space="preserve">Held-out pair outside primary/language: brown cup × C</x:t>
  </x:si>
  <x:si>
    <x:t xml:space="preserve">Held-out pair outside primary/language: glass spice container × RU</x:t>
  </x:si>
  <x:si>
    <x:t xml:space="preserve">Primary object count 2</x:t>
  </x:si>
  <x:si>
    <x:t xml:space="preserve">Varied distractor count.</x:t>
  </x:si>
  <x:si>
    <x:t xml:space="preserve">Primary object count 3</x:t>
  </x:si>
  <x:si>
    <x:t xml:space="preserve">Primary object count 4</x:t>
  </x:si>
  <x:si>
    <x:t xml:space="preserve">Matched control total</x:t>
  </x:si>
  <x:si>
    <x:t xml:space="preserve">Matched control category: white cup</x:t>
  </x:si>
  <x:si>
    <x:t xml:space="preserve">Matched control category: yellow-white striped cup</x:t>
  </x:si>
  <x:si>
    <x:t xml:space="preserve">Matched control category: brown cup</x:t>
  </x:si>
  <x:si>
    <x:t xml:space="preserve">Matched control category: glass spice container</x:t>
  </x:si>
  <x:si>
    <x:t xml:space="preserve">Language robustness total</x:t>
  </x:si>
  <x:si>
    <x:t xml:space="preserve">Ten transfer paraphrases and ten matched-control paraphrases.</x:t>
  </x:si>
  <x:si>
    <x:t xml:space="preserve">Language: transfer paraphrases</x:t>
  </x:si>
  <x:si>
    <x:t xml:space="preserve">Exact canonical transfer scenes.</x:t>
  </x:si>
  <x:si>
    <x:t xml:space="preserve">Novel black-cup total</x:t>
  </x:si>
  <x:si>
    <x:t xml:space="preserve">Black-cup state: C</x:t>
  </x:si>
  <x:si>
    <x:t xml:space="preserve">Black-cup state: O</x:t>
  </x:si>
  <x:si>
    <x:t xml:space="preserve">Black-cup state: UD</x:t>
  </x:si>
  <x:si>
    <x:t xml:space="preserve">Black-cup state: RU</x:t>
  </x:si>
  <x:si>
    <x:t xml:space="preserve">No-valid-target total</x:t>
  </x:si>
  <x:si>
    <x:t xml:space="preserve">No satisfying state present.</x:t>
  </x:si>
  <x:si>
    <x:t xml:space="preserve">No-valid-target category: white cup</x:t>
  </x:si>
  <x:si>
    <x:t xml:space="preserve">No-valid-target category: yellow-white striped cup</x:t>
  </x:si>
  <x:si>
    <x:t xml:space="preserve">No-valid-target category: brown cup</x:t>
  </x:si>
  <x:si>
    <x:t xml:space="preserve">No-valid-target category: glass spice container</x:t>
  </x:si>
  <x:si>
    <x:t xml:space="preserve">No-valid-target state: C</x:t>
  </x:si>
  <x:si>
    <x:t xml:space="preserve">Five per queried state.</x:t>
  </x:si>
  <x:si>
    <x:t xml:space="preserve">No-valid-target state: O</x:t>
  </x:si>
  <x:si>
    <x:t xml:space="preserve">No-valid-target state: UD</x:t>
  </x:si>
  <x:si>
    <x:t xml:space="preserve">No-valid-target state: RU</x:t>
  </x:si>
  <x:si>
    <x:t xml:space="preserve">No valid target: zero candidates</x:t>
  </x:si>
  <x:si>
    <x:t xml:space="preserve">Builder also verifies that no object anywhere has the queried state.</x:t>
  </x:si>
  <x:si>
    <x:t xml:space="preserve">No valid target: empty bowl</x:t>
  </x:si>
  <x:si>
    <x:t xml:space="preserve">All no-valid-target episodes start empty.</x:t>
  </x:si>
  <x:si>
    <x:t xml:space="preserve">No-valid-target object count 2</x:t>
  </x:si>
  <x:si>
    <x:t xml:space="preserve">No-valid-target object count 3</x:t>
  </x:si>
  <x:si>
    <x:t xml:space="preserve">No-valid-target object count 4</x:t>
  </x:si>
  <x:si>
    <x:t xml:space="preserve">Active rows with one valid candidate</x:t>
  </x:si>
  <x:si>
    <x:t xml:space="preserve">All active rows have exactly one valid target.</x:t>
  </x:si>
  <x:si>
    <x:t xml:space="preserve">Success</x:t>
  </x:si>
  <x:si>
    <x:t xml:space="preserve">Failure</x:t>
  </x:si>
  <x:si>
    <x:t xml:space="preserve">Pick up the upright cup</x:t>
  </x:si>
  <x:si>
    <x:t xml:space="preserve">Not collected</x:t>
  </x:si>
</x:sst>
</file>

<file path=xl/styles.xml><?xml version="1.0" encoding="utf-8"?>
<x:styleSheet xmlns:x="http://schemas.openxmlformats.org/spreadsheetml/2006/main">
  <x:fonts count="4">
    <x:font>
      <x:sz val="11"/>
      <x:color rgb="FF000000"/>
      <x:name val="Carlito"/>
    </x:font>
    <x:font>
      <x:b/>
      <x:sz val="10"/>
      <x:color rgb="FFFFFFFF"/>
      <x:name val="Carlito"/>
    </x:font>
    <x:font>
      <x:sz val="10"/>
      <x:color rgb="FF1F2937"/>
      <x:name val="Carlito"/>
    </x:font>
    <x:font/>
  </x:fonts>
  <x:fills count="10">
    <x:fill>
      <x:patternFill patternType="none"/>
    </x:fill>
    <x:fill>
      <x:patternFill patternType="lightGray"/>
    </x:fill>
    <x:fill>
      <x:patternFill patternType="solid">
        <x:fgColor rgb="FF1F4E78"/>
      </x:patternFill>
    </x:fill>
    <x:fill>
      <x:patternFill patternType="solid">
        <x:fgColor rgb="FFFFFFFF"/>
      </x:patternFill>
    </x:fill>
    <x:fill>
      <x:patternFill patternType="solid">
        <x:fgColor rgb="FFDDEBF7"/>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E4DFEC"/>
      </x:patternFill>
    </x:fill>
    <x:fill>
      <x:patternFill patternType="solid">
        <x:fgColor rgb="FFFCE4D6"/>
      </x:patternFill>
    </x:fill>
  </x:fills>
  <x:borders count="6">
    <x:border/>
    <x:border>
      <x:left style="thin">
        <x:color rgb="FF9FBAD0"/>
      </x:left>
      <x:right style="thin">
        <x:color rgb="FF9FBAD0"/>
      </x:right>
      <x:top style="thin">
        <x:color rgb="FF9FBAD0"/>
      </x:top>
      <x:bottom style="thin">
        <x:color rgb="FF9FBAD0"/>
      </x:bottom>
    </x:border>
    <x:border>
      <x:left style="thin">
        <x:color rgb="FFB4C7DC"/>
      </x:left>
      <x:right style="thin">
        <x:color rgb="FFB4C7DC"/>
      </x:right>
      <x:top style="thin">
        <x:color rgb="FFB4C7DC"/>
      </x:top>
      <x:bottom style="thin">
        <x:color rgb="FFB4C7DC"/>
      </x:bottom>
    </x:border>
    <x:border>
      <x:left style="thin">
        <x:color rgb="FFB4C7DC"/>
      </x:left>
      <x:right style="thin">
        <x:color rgb="FFB4C7DC"/>
      </x:right>
      <x:top style="medium">
        <x:color rgb="FF1F4E78"/>
      </x:top>
      <x:bottom style="thin">
        <x:color rgb="FFB4C7DC"/>
      </x:bottom>
    </x:border>
    <x:border>
      <x:left style="thin">
        <x:color rgb="FF9FBAD0"/>
      </x:left>
      <x:top style="thin">
        <x:color rgb="FF9FBAD0"/>
      </x:top>
      <x:bottom style="thin">
        <x:color rgb="FF9FBAD0"/>
      </x:bottom>
    </x:border>
    <x:border>
      <x:right style="thin">
        <x:color rgb="FF9FBAD0"/>
      </x:right>
      <x:top style="thin">
        <x:color rgb="FF9FBAD0"/>
      </x:top>
      <x:bottom style="thin">
        <x:color rgb="FF9FBAD0"/>
      </x:bottom>
    </x:border>
  </x:borders>
  <x:cellStyleXfs count="1">
    <x:xf numFmtId="0" fontId="0" fillId="0" borderId="0" applyFont="1" applyAlignment="1"/>
  </x:cellStyleXfs>
  <x:cellXfs count="20">
    <x:xf numFmtId="0" fontId="0" fillId="0" borderId="0" xfId="0" applyFont="1" applyAlignment="1">
      <x:alignment vertical="bottom" wrapText="0"/>
    </x:xf>
    <x:xf numFmtId="0" fontId="1" fillId="2" borderId="1" xfId="0" applyFont="1" applyFill="1" applyBorder="1" applyAlignment="1">
      <x:alignment horizontal="center" vertical="center" wrapText="1"/>
    </x:xf>
    <x:xf numFmtId="0" fontId="2" fillId="0" borderId="2" xfId="0" applyFont="1" applyBorder="1" applyAlignment="1">
      <x:alignment vertical="top" wrapText="1"/>
    </x:xf>
    <x:xf numFmtId="0" fontId="2" fillId="3" borderId="3" xfId="0" applyFont="1" applyFill="1" applyBorder="1" applyAlignment="1">
      <x:alignment vertical="top" wrapText="1"/>
    </x:xf>
    <x:xf numFmtId="0" fontId="2" fillId="3" borderId="3" xfId="0" applyFont="1" applyBorder="1" applyAlignment="1">
      <x:alignment horizontal="center" vertical="top" wrapText="1"/>
    </x:xf>
    <x:xf numFmtId="0" fontId="2" fillId="3" borderId="3" xfId="0" applyFont="1" applyBorder="1" applyAlignment="1">
      <x:alignment vertical="top" wrapText="1"/>
    </x:xf>
    <x:xf numFmtId="0" fontId="1" fillId="2" borderId="4" xfId="0" applyFont="1" applyBorder="1" applyAlignment="1">
      <x:alignment horizontal="center" vertical="center" wrapText="1"/>
    </x:xf>
    <x:xf numFmtId="0" fontId="2" fillId="4" borderId="3" xfId="0" applyFont="1" applyFill="1" applyBorder="1" applyAlignment="1">
      <x:alignment vertical="top" wrapText="1"/>
    </x:xf>
    <x:xf numFmtId="0" fontId="3" fillId="0" borderId="5" xfId="0" applyFont="1" applyBorder="1"/>
    <x:xf numFmtId="0" fontId="2" fillId="5" borderId="3" xfId="0" applyFont="1" applyFill="1" applyBorder="1" applyAlignment="1">
      <x:alignment vertical="top" wrapText="1"/>
    </x:xf>
    <x:xf numFmtId="0" fontId="2" fillId="5" borderId="3" xfId="0" applyFont="1" applyBorder="1" applyAlignment="1">
      <x:alignment horizontal="center" vertical="top" wrapText="1"/>
    </x:xf>
    <x:xf numFmtId="0" fontId="2" fillId="5" borderId="3" xfId="0" applyFont="1" applyBorder="1" applyAlignment="1">
      <x:alignment vertical="top" wrapText="1"/>
    </x:xf>
    <x:xf numFmtId="0" fontId="2" fillId="6" borderId="3" xfId="0" applyFont="1" applyFill="1" applyBorder="1" applyAlignment="1">
      <x:alignment vertical="top" wrapText="1"/>
    </x:xf>
    <x:xf numFmtId="0" fontId="2" fillId="5" borderId="2" xfId="0" applyFont="1" applyBorder="1" applyAlignment="1">
      <x:alignment vertical="top" wrapText="1"/>
    </x:xf>
    <x:xf numFmtId="0" fontId="2" fillId="5" borderId="2" xfId="0" applyFont="1" applyBorder="1" applyAlignment="1">
      <x:alignment horizontal="center" vertical="top" wrapText="1"/>
    </x:xf>
    <x:xf numFmtId="0" fontId="2" fillId="7" borderId="2" xfId="0" applyFont="1" applyFill="1" applyBorder="1" applyAlignment="1">
      <x:alignment vertical="top" wrapText="1"/>
    </x:xf>
    <x:xf numFmtId="0" fontId="2" fillId="3" borderId="2" xfId="0" applyFont="1" applyBorder="1" applyAlignment="1">
      <x:alignment vertical="top" wrapText="1"/>
    </x:xf>
    <x:xf numFmtId="0" fontId="2" fillId="3" borderId="2" xfId="0" applyFont="1" applyBorder="1" applyAlignment="1">
      <x:alignment horizontal="center" vertical="top" wrapText="1"/>
    </x:xf>
    <x:xf numFmtId="0" fontId="2" fillId="8" borderId="2" xfId="0" applyFont="1" applyFill="1" applyBorder="1" applyAlignment="1">
      <x:alignment vertical="top" wrapText="1"/>
    </x:xf>
    <x:xf numFmtId="0" fontId="2" fillId="9" borderId="3" xfId="0" applyFont="1" applyFill="1" applyBorder="1" applyAlignment="1">
      <x:alignment vertical="top" wrapText="1"/>
    </x:xf>
  </x:cellXfs>
  <x:cellStyles count="1">
    <x:cellStyle name="Normal" xfId="0"/>
  </x:cellStyles>
  <x:dxfs count="14">
    <x:dxf>
      <x:font>
        <x:b/>
        <x:color rgb="FF7F6000"/>
      </x:font>
      <x:fill>
        <x:patternFill>
          <x:bgColor rgb="FFFFF2CC"/>
        </x:patternFill>
      </x:fill>
      <x:border/>
    </x:dxf>
    <x:dxf>
      <x:font>
        <x:b/>
      </x:font>
      <x:fill>
        <x:patternFill>
          <x:bgColor rgb="FFD9EAD3"/>
        </x:patternFill>
      </x:fill>
      <x:border/>
    </x:dxf>
    <x:dxf>
      <x:font>
        <x:b/>
      </x:font>
      <x:fill>
        <x:patternFill>
          <x:bgColor rgb="FFF4CCCC"/>
        </x:patternFill>
      </x:fill>
      <x:border/>
    </x:dxf>
    <x:dxf>
      <x:font>
        <x:b/>
        <x:color rgb="FF375623"/>
      </x:font>
      <x:fill>
        <x:patternFill>
          <x:bgColor rgb="FFE2F0D9"/>
        </x:patternFill>
      </x:fill>
      <x:border/>
    </x:dxf>
    <x:dxf>
      <x:font>
        <x:b/>
        <x:color rgb="FFC00000"/>
      </x:font>
      <x:fill>
        <x:patternFill>
          <x:bgColor rgb="FFFCE4D6"/>
        </x:patternFill>
      </x:fill>
      <x:border/>
    </x:dxf>
    <x:dxf>
      <x:font>
        <x:color rgb="FFFFFFFF"/>
      </x:font>
      <x:fill>
        <x:patternFill>
          <x:bgColor rgb="FF374151"/>
        </x:patternFill>
      </x:fill>
      <x:border/>
    </x:dxf>
    <x:dxf>
      <x:font>
        <x:b/>
        <x:color rgb="FF7F0000"/>
      </x:font>
      <x:fill>
        <x:patternFill>
          <x:bgColor rgb="FFF4CCCC"/>
        </x:patternFill>
      </x:fill>
      <x:border/>
    </x:dxf>
    <x:dxf>
      <x:fill>
        <x:patternFill>
          <x:bgColor rgb="FFE2F0D9"/>
        </x:patternFill>
      </x:fill>
      <x:border/>
    </x:dxf>
    <x:dxf>
      <x:fill>
        <x:patternFill>
          <x:bgColor rgb="FFFCE4D6"/>
        </x:patternFill>
      </x:fill>
      <x:border/>
    </x:dxf>
    <x:dxf>
      <x:fill>
        <x:patternFill>
          <x:bgColor rgb="FFFFF2CC"/>
        </x:patternFill>
      </x:fill>
      <x:border/>
    </x:dxf>
    <x:dxf>
      <x:fill>
        <x:patternFill>
          <x:bgColor rgb="FFE4DFEC"/>
        </x:patternFill>
      </x:fill>
      <x:border/>
    </x:dxf>
    <x:dxf>
      <x:fill>
        <x:patternFill>
          <x:bgColor rgb="FFDDEBF7"/>
        </x:patternFill>
      </x:fill>
      <x:border/>
    </x:dxf>
    <x:dxf>
      <x:font>
        <x:b/>
        <x:color rgb="FFFFFFFF"/>
      </x:font>
      <x:fill>
        <x:patternFill>
          <x:bgColor rgb="FF548235"/>
        </x:patternFill>
      </x:fill>
      <x:border/>
    </x:dxf>
    <x:dxf>
      <x:font>
        <x:b/>
        <x:color rgb="FFFFFFFF"/>
      </x:font>
      <x:fill>
        <x:patternFill>
          <x:bgColor rgb="FFC00000"/>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0c667e1f5ebe4a32" /><Relationship Type="http://schemas.openxmlformats.org/officeDocument/2006/relationships/theme" Target="/xl/theme/theme1.xml" Id="R1e89a33685744b5b" /><Relationship Type="http://schemas.openxmlformats.org/officeDocument/2006/relationships/sharedStrings" Target="/xl/sharedStrings.xml" Id="R824b3922deec4656" /><Relationship Type="http://schemas.openxmlformats.org/officeDocument/2006/relationships/worksheet" Target="/xl/worksheets/sheet1.xml" Id="Rad31de56bc724e62" /><Relationship Type="http://schemas.openxmlformats.org/officeDocument/2006/relationships/worksheet" Target="/xl/worksheets/sheet2.xml" Id="R696e0d72964e4b38" /><Relationship Type="http://schemas.openxmlformats.org/officeDocument/2006/relationships/worksheet" Target="/xl/worksheets/sheet3.xml" Id="R0f7e645604394bda" /><Relationship Type="http://schemas.openxmlformats.org/officeDocument/2006/relationships/worksheet" Target="/xl/worksheets/sheet4.xml" Id="Rc1c86c35d9bb4daa" /><Relationship Type="http://schemas.openxmlformats.org/officeDocument/2006/relationships/worksheet" Target="/xl/worksheets/sheet5.xml" Id="R071c769ad58c43dd" /><Relationship Type="http://schemas.openxmlformats.org/officeDocument/2006/relationships/worksheet" Target="/xl/worksheets/sheet6.xml" Id="Re435b7a47e33422f" /><Relationship Type="http://schemas.openxmlformats.org/officeDocument/2006/relationships/worksheet" Target="/xl/worksheets/sheet7.xml" Id="R873bd66898574976" /><Relationship Type="http://schemas.openxmlformats.org/officeDocument/2006/relationships/worksheet" Target="/xl/worksheets/sheet8.xml" Id="R0f664b19a7f04703" /></Relationships>
</file>

<file path=xl/tables/table1.xml><?xml version="1.0" encoding="utf-8"?>
<x:table xmlns:x="http://schemas.openxmlformats.org/spreadsheetml/2006/main" id="1" name="StateDesignQAAxisControlled" displayName="StateDesignQAAxisControlled" ref="A1:E73" headerRowCount="1" totalsRowCount="0" totalsRowShown="0">
  <x:autoFilter ref="A1:E73"/>
  <x:tableColumns count="5">
    <x:tableColumn id="1" name="Check"/>
    <x:tableColumn id="2" name="Actual"/>
    <x:tableColumn id="3" name="Expected"/>
    <x:tableColumn id="4" name="Status"/>
    <x:tableColumn id="5" name="Notes"/>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b9829d50ba4a48bb"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11.630000114440918" customWidth="1"/>
    <x:col min="2" max="2" width="6.630000114440918" customWidth="1"/>
    <x:col min="3" max="3" width="30" customWidth="1"/>
    <x:col min="4" max="4" width="48.880001068115234" customWidth="1"/>
    <x:col min="5" max="5" width="9.5" customWidth="1"/>
    <x:col min="6" max="6" width="12.75" customWidth="1"/>
    <x:col min="7" max="7" width="40" customWidth="1"/>
    <x:col min="8" max="8" width="25.5" customWidth="1"/>
    <x:col min="9" max="9" width="28.8799991607666" customWidth="1"/>
    <x:col min="10" max="10" width="23.8799991607666" customWidth="1"/>
    <x:col min="11" max="11" width="10.5" customWidth="1"/>
    <x:col min="12" max="12" width="8.880000114440918" customWidth="1"/>
    <x:col min="13" max="13" width="20" customWidth="1"/>
    <x:col min="14" max="14" width="8.380000114440918" customWidth="1"/>
    <x:col min="15" max="15" width="10" customWidth="1"/>
    <x:col min="16" max="16" width="8.880000114440918" customWidth="1"/>
    <x:col min="17" max="17" width="30.5" customWidth="1"/>
    <x:col min="18" max="18" width="9.5" customWidth="1"/>
    <x:col min="19" max="19" width="27.75" customWidth="1"/>
    <x:col min="20" max="20" width="36.630001068115234" customWidth="1"/>
    <x:col min="21" max="21" width="20.5" customWidth="1"/>
    <x:col min="22" max="26" width="8.63000011444091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row>
    <x:row r="2" ht="51" customHeight="1">
      <x:c r="A2" s="3" t="str">
        <x:v>Not collected</x:v>
      </x:c>
      <x:c r="B2" s="4" t="n">
        <x:v>0</x:v>
      </x:c>
      <x:c r="C2" s="5" t="str">
        <x:v>Put the open white cup in the bowl.</x:v>
      </x:c>
      <x:c r="D2" s="5" t="str">
        <x:v>white cup A (O, RU); white cup B (C, RU); glass spice container A (O, RU); yellow-white striped cup B (O, RU)</x:v>
      </x:c>
      <x:c r="E2" s="4"/>
      <x:c r="F2" s="4" t="str">
        <x:v>2</x:v>
      </x:c>
      <x:c r="G2" s="5" t="str">
        <x:v>Exact manifest episode: trained state-object cell, prompt, same-category candidate structure, and object membership match; physical layout is manually recreated. All objects are upright, matching the context of every explicit open/closed training demonstration.</x:v>
      </x:c>
      <x:c r="H2" s="5" t="str">
        <x:v>white cup A</x:v>
      </x:c>
      <x:c r="I2" s="5"/>
      <x:c r="J2" s="7" t="str">
        <x:v>In-distribution concept baseline</x:v>
      </x:c>
      <x:c r="K2" s="4" t="str">
        <x:v>SR-ID01</x:v>
      </x:c>
      <x:c r="L2" s="4" t="str">
        <x:v>O</x:v>
      </x:c>
      <x:c r="M2" s="4" t="str">
        <x:v>white cup</x:v>
      </x:c>
      <x:c r="N2" s="4" t="n">
        <x:v>4</x:v>
      </x:c>
      <x:c r="O2" s="4" t="n">
        <x:v>1</x:v>
      </x:c>
      <x:c r="P2" s="4" t="str">
        <x:v>Empty</x:v>
      </x:c>
      <x:c r="Q2" s="5" t="str">
        <x:v>Exact training-supported state-object baseline</x:v>
      </x:c>
      <x:c r="R2" s="4" t="n">
        <x:v>1</x:v>
      </x:c>
      <x:c r="S2" s="5" t="str">
        <x:v>Recreate the listed manifest scene with the bowl empty.</x:v>
      </x:c>
      <x:c r="T2" s="5" t="str">
        <x:v>The queried state-object combination and same-category discrimination structure are explicitly represented in training. The orthogonal orientation axis is fixed: every object is RU.</x:v>
      </x:c>
      <x:c r="U2" s="5"/>
    </x:row>
    <x:row r="3" ht="51" customHeight="1">
      <x:c r="A3" s="9" t="str">
        <x:v>Not collected</x:v>
      </x:c>
      <x:c r="B3" s="10" t="n">
        <x:v>1</x:v>
      </x:c>
      <x:c r="C3" s="11" t="str">
        <x:v>Put the upright white cup in the bowl.</x:v>
      </x:c>
      <x:c r="D3" s="11" t="str">
        <x:v>white cup A (O, RU); white cup B (O, UD)</x:v>
      </x:c>
      <x:c r="E3" s="10"/>
      <x:c r="F3" s="10" t="str">
        <x:v>26</x:v>
      </x:c>
      <x:c r="G3" s="11" t="str">
        <x:v>Exact manifest episode: trained state-object cell, prompt, same-category candidate structure, and object membership match; physical layout is manually recreated.</x:v>
      </x:c>
      <x:c r="H3" s="11" t="str">
        <x:v>white cup A</x:v>
      </x:c>
      <x:c r="I3" s="11"/>
      <x:c r="J3" s="7" t="str">
        <x:v>In-distribution concept baseline</x:v>
      </x:c>
      <x:c r="K3" s="10" t="str">
        <x:v>SR-ID02</x:v>
      </x:c>
      <x:c r="L3" s="10" t="str">
        <x:v>RU</x:v>
      </x:c>
      <x:c r="M3" s="10" t="str">
        <x:v>white cup</x:v>
      </x:c>
      <x:c r="N3" s="10" t="n">
        <x:v>2</x:v>
      </x:c>
      <x:c r="O3" s="10" t="n">
        <x:v>1</x:v>
      </x:c>
      <x:c r="P3" s="10" t="str">
        <x:v>Empty</x:v>
      </x:c>
      <x:c r="Q3" s="11" t="str">
        <x:v>Exact training-supported state-object baseline</x:v>
      </x:c>
      <x:c r="R3" s="10" t="n">
        <x:v>1</x:v>
      </x:c>
      <x:c r="S3" s="11" t="str">
        <x:v>Recreate the listed manifest scene with the bowl empty.</x:v>
      </x:c>
      <x:c r="T3" s="11" t="str">
        <x:v>The queried state-object combination and same-category discrimination structure are explicitly represented in training. The same-category candidates share the orthogonal C/O state (O).</x:v>
      </x:c>
      <x:c r="U3" s="11"/>
    </x:row>
    <x:row r="4" ht="51" customHeight="1">
      <x:c r="A4" s="3" t="str">
        <x:v>Not collected</x:v>
      </x:c>
      <x:c r="B4" s="4" t="n">
        <x:v>2</x:v>
      </x:c>
      <x:c r="C4" s="5" t="str">
        <x:v>Move the closed yellow-white striped cup into the bowl.</x:v>
      </x:c>
      <x:c r="D4" s="5" t="str">
        <x:v>yellow-white striped cup B (C, RU); yellow-white striped cup A (O, RU); white cup A (C, RU)</x:v>
      </x:c>
      <x:c r="E4" s="4"/>
      <x:c r="F4" s="4" t="str">
        <x:v>51</x:v>
      </x:c>
      <x:c r="G4" s="5" t="str">
        <x:v>Exact manifest episode: trained state-object cell, prompt, same-category candidate structure, and object membership match; physical layout is manually recreated. All objects are upright, matching the context of every explicit open/closed training demonstration.</x:v>
      </x:c>
      <x:c r="H4" s="5" t="str">
        <x:v>yellow-white striped cup B</x:v>
      </x:c>
      <x:c r="I4" s="5"/>
      <x:c r="J4" s="7" t="str">
        <x:v>In-distribution concept baseline</x:v>
      </x:c>
      <x:c r="K4" s="4" t="str">
        <x:v>SR-ID03</x:v>
      </x:c>
      <x:c r="L4" s="4" t="str">
        <x:v>C</x:v>
      </x:c>
      <x:c r="M4" s="4" t="str">
        <x:v>yellow-white striped cup</x:v>
      </x:c>
      <x:c r="N4" s="4" t="n">
        <x:v>3</x:v>
      </x:c>
      <x:c r="O4" s="4" t="n">
        <x:v>1</x:v>
      </x:c>
      <x:c r="P4" s="4" t="str">
        <x:v>Empty</x:v>
      </x:c>
      <x:c r="Q4" s="5" t="str">
        <x:v>Exact training-supported state-object baseline</x:v>
      </x:c>
      <x:c r="R4" s="4" t="n">
        <x:v>1</x:v>
      </x:c>
      <x:c r="S4" s="5" t="str">
        <x:v>Recreate the listed manifest scene with the bowl empty.</x:v>
      </x:c>
      <x:c r="T4" s="5" t="str">
        <x:v>The queried state-object combination and same-category discrimination structure are explicitly represented in training. The orthogonal orientation axis is fixed: every object is RU.</x:v>
      </x:c>
      <x:c r="U4" s="5"/>
    </x:row>
    <x:row r="5" ht="51" customHeight="1">
      <x:c r="A5" s="9" t="str">
        <x:v>Not collected</x:v>
      </x:c>
      <x:c r="B5" s="10" t="n">
        <x:v>3</x:v>
      </x:c>
      <x:c r="C5" s="11" t="str">
        <x:v>Move the upside-down yellow-white striped cup into the bowl.</x:v>
      </x:c>
      <x:c r="D5" s="11" t="str">
        <x:v>yellow-white striped cup B (O, UD); yellow-white striped cup A (O, RU); brown cup B (C, RU); glass spice container A (O, RU)</x:v>
      </x:c>
      <x:c r="E5" s="10"/>
      <x:c r="F5" s="10" t="str">
        <x:v>78</x:v>
      </x:c>
      <x:c r="G5" s="11" t="str">
        <x:v>Exact manifest episode: trained state-object cell, prompt, same-category candidate structure, and object membership match; physical layout is manually recreated.</x:v>
      </x:c>
      <x:c r="H5" s="11" t="str">
        <x:v>yellow-white striped cup B</x:v>
      </x:c>
      <x:c r="I5" s="11"/>
      <x:c r="J5" s="7" t="str">
        <x:v>In-distribution concept baseline</x:v>
      </x:c>
      <x:c r="K5" s="10" t="str">
        <x:v>SR-ID04</x:v>
      </x:c>
      <x:c r="L5" s="10" t="str">
        <x:v>UD</x:v>
      </x:c>
      <x:c r="M5" s="10" t="str">
        <x:v>yellow-white striped cup</x:v>
      </x:c>
      <x:c r="N5" s="10" t="n">
        <x:v>4</x:v>
      </x:c>
      <x:c r="O5" s="10" t="n">
        <x:v>1</x:v>
      </x:c>
      <x:c r="P5" s="10" t="str">
        <x:v>Empty</x:v>
      </x:c>
      <x:c r="Q5" s="11" t="str">
        <x:v>Exact training-supported state-object baseline</x:v>
      </x:c>
      <x:c r="R5" s="10" t="n">
        <x:v>1</x:v>
      </x:c>
      <x:c r="S5" s="11" t="str">
        <x:v>Recreate the listed manifest scene with the bowl empty.</x:v>
      </x:c>
      <x:c r="T5" s="11" t="str">
        <x:v>The queried state-object combination and same-category discrimination structure are explicitly represented in training. The same-category candidates share the orthogonal C/O state (O).</x:v>
      </x:c>
      <x:c r="U5" s="11"/>
    </x:row>
    <x:row r="6" ht="51" customHeight="1">
      <x:c r="A6" s="3" t="str">
        <x:v>Not collected</x:v>
      </x:c>
      <x:c r="B6" s="4" t="n">
        <x:v>4</x:v>
      </x:c>
      <x:c r="C6" s="5" t="str">
        <x:v>Put the open brown cup in the bowl.</x:v>
      </x:c>
      <x:c r="D6" s="5" t="str">
        <x:v>brown cup B (O, RU); brown cup A (C, RU); glass spice container A (O, RU)</x:v>
      </x:c>
      <x:c r="E6" s="4"/>
      <x:c r="F6" s="4" t="str">
        <x:v>104</x:v>
      </x:c>
      <x:c r="G6" s="5" t="str">
        <x:v>Exact manifest episode: trained state-object cell, prompt, same-category candidate structure, and object membership match; physical layout is manually recreated. All objects are upright, matching the context of every explicit open/closed training demonstration.</x:v>
      </x:c>
      <x:c r="H6" s="5" t="str">
        <x:v>brown cup B</x:v>
      </x:c>
      <x:c r="I6" s="5"/>
      <x:c r="J6" s="7" t="str">
        <x:v>In-distribution concept baseline</x:v>
      </x:c>
      <x:c r="K6" s="4" t="str">
        <x:v>SR-ID05</x:v>
      </x:c>
      <x:c r="L6" s="4" t="str">
        <x:v>O</x:v>
      </x:c>
      <x:c r="M6" s="4" t="str">
        <x:v>brown cup</x:v>
      </x:c>
      <x:c r="N6" s="4" t="n">
        <x:v>3</x:v>
      </x:c>
      <x:c r="O6" s="4" t="n">
        <x:v>1</x:v>
      </x:c>
      <x:c r="P6" s="4" t="str">
        <x:v>Empty</x:v>
      </x:c>
      <x:c r="Q6" s="5" t="str">
        <x:v>Exact training-supported state-object baseline</x:v>
      </x:c>
      <x:c r="R6" s="4" t="n">
        <x:v>1</x:v>
      </x:c>
      <x:c r="S6" s="5" t="str">
        <x:v>Recreate the listed manifest scene with the bowl empty.</x:v>
      </x:c>
      <x:c r="T6" s="5" t="str">
        <x:v>The queried state-object combination and same-category discrimination structure are explicitly represented in training. The orthogonal orientation axis is fixed: every object is RU.</x:v>
      </x:c>
      <x:c r="U6" s="5"/>
    </x:row>
    <x:row r="7" ht="51" customHeight="1">
      <x:c r="A7" s="9" t="str">
        <x:v>Not collected</x:v>
      </x:c>
      <x:c r="B7" s="10" t="n">
        <x:v>5</x:v>
      </x:c>
      <x:c r="C7" s="11" t="str">
        <x:v>Put the upside-down brown cup in the bowl.</x:v>
      </x:c>
      <x:c r="D7" s="11" t="str">
        <x:v>brown cup A (O, UD); brown cup B (O, RU)</x:v>
      </x:c>
      <x:c r="E7" s="10"/>
      <x:c r="F7" s="10" t="str">
        <x:v>125</x:v>
      </x:c>
      <x:c r="G7" s="11" t="str">
        <x:v>Exact manifest episode: trained state-object cell, prompt, same-category candidate structure, and object membership match; physical layout is manually recreated.</x:v>
      </x:c>
      <x:c r="H7" s="11" t="str">
        <x:v>brown cup A</x:v>
      </x:c>
      <x:c r="I7" s="9" t="str">
        <x:v>Started going for upside down cup, but went for upright one. Target was far from bowl</x:v>
      </x:c>
      <x:c r="J7" s="7" t="str">
        <x:v>In-distribution concept baseline</x:v>
      </x:c>
      <x:c r="K7" s="10" t="str">
        <x:v>SR-ID06</x:v>
      </x:c>
      <x:c r="L7" s="10" t="str">
        <x:v>UD</x:v>
      </x:c>
      <x:c r="M7" s="10" t="str">
        <x:v>brown cup</x:v>
      </x:c>
      <x:c r="N7" s="10" t="n">
        <x:v>2</x:v>
      </x:c>
      <x:c r="O7" s="10" t="n">
        <x:v>1</x:v>
      </x:c>
      <x:c r="P7" s="10" t="str">
        <x:v>Empty</x:v>
      </x:c>
      <x:c r="Q7" s="11" t="str">
        <x:v>Exact training-supported state-object baseline</x:v>
      </x:c>
      <x:c r="R7" s="10" t="n">
        <x:v>1</x:v>
      </x:c>
      <x:c r="S7" s="11" t="str">
        <x:v>Recreate the listed manifest scene with the bowl empty.</x:v>
      </x:c>
      <x:c r="T7" s="11" t="str">
        <x:v>The queried state-object combination and same-category discrimination structure are explicitly represented in training. The same-category candidates share the orthogonal C/O state (O).</x:v>
      </x:c>
      <x:c r="U7" s="11"/>
    </x:row>
    <x:row r="8" ht="51" customHeight="1">
      <x:c r="A8" s="3" t="str">
        <x:v>Not collected</x:v>
      </x:c>
      <x:c r="B8" s="4" t="n">
        <x:v>6</x:v>
      </x:c>
      <x:c r="C8" s="5" t="str">
        <x:v>Put the upright brown cup in the bowl.</x:v>
      </x:c>
      <x:c r="D8" s="5" t="str">
        <x:v>brown cup B (C, RU); brown cup A (C, UD)</x:v>
      </x:c>
      <x:c r="E8" s="4"/>
      <x:c r="F8" s="4" t="str">
        <x:v>134</x:v>
      </x:c>
      <x:c r="G8" s="5" t="str">
        <x:v>Exact manifest episode: trained state-object cell, prompt, same-category candidate structure, and object membership match; physical layout is manually recreated.</x:v>
      </x:c>
      <x:c r="H8" s="5" t="str">
        <x:v>brown cup B</x:v>
      </x:c>
      <x:c r="I8" s="3" t="str">
        <x:v>Just went for upright cup. target was also further from bowl.</x:v>
      </x:c>
      <x:c r="J8" s="7" t="str">
        <x:v>In-distribution concept baseline</x:v>
      </x:c>
      <x:c r="K8" s="4" t="str">
        <x:v>SR-ID07</x:v>
      </x:c>
      <x:c r="L8" s="4" t="str">
        <x:v>RU</x:v>
      </x:c>
      <x:c r="M8" s="4" t="str">
        <x:v>brown cup</x:v>
      </x:c>
      <x:c r="N8" s="4" t="n">
        <x:v>2</x:v>
      </x:c>
      <x:c r="O8" s="4" t="n">
        <x:v>1</x:v>
      </x:c>
      <x:c r="P8" s="4" t="str">
        <x:v>Empty</x:v>
      </x:c>
      <x:c r="Q8" s="5" t="str">
        <x:v>Exact training-supported state-object baseline</x:v>
      </x:c>
      <x:c r="R8" s="4" t="n">
        <x:v>1</x:v>
      </x:c>
      <x:c r="S8" s="5" t="str">
        <x:v>Recreate the listed manifest scene with the bowl empty.</x:v>
      </x:c>
      <x:c r="T8" s="5" t="str">
        <x:v>The queried state-object combination and same-category discrimination structure are explicitly represented in training. The same-category candidates share the orthogonal C/O state (C).</x:v>
      </x:c>
      <x:c r="U8" s="5"/>
    </x:row>
    <x:row r="9" ht="51" customHeight="1">
      <x:c r="A9" s="9" t="str">
        <x:v>Not collected</x:v>
      </x:c>
      <x:c r="B9" s="10" t="n">
        <x:v>7</x:v>
      </x:c>
      <x:c r="C9" s="11" t="str">
        <x:v>Place the closed glass spice container in the bowl.</x:v>
      </x:c>
      <x:c r="D9" s="11" t="str">
        <x:v>glass spice container A (C, RU); glass spice container B (O, RU); yellow-white striped cup A (C, RU)</x:v>
      </x:c>
      <x:c r="E9" s="10"/>
      <x:c r="F9" s="10" t="str">
        <x:v>151</x:v>
      </x:c>
      <x:c r="G9" s="11" t="str">
        <x:v>Exact manifest episode: trained state-object cell, prompt, same-category candidate structure, and object membership match; physical layout is manually recreated. All objects are upright, matching the context of every explicit open/closed training demonstration.</x:v>
      </x:c>
      <x:c r="H9" s="11" t="str">
        <x:v>glass spice container A</x:v>
      </x:c>
      <x:c r="I9" s="9" t="str">
        <x:v>Went for opn glass spice container.</x:v>
      </x:c>
      <x:c r="J9" s="7" t="str">
        <x:v>In-distribution concept baseline</x:v>
      </x:c>
      <x:c r="K9" s="10" t="str">
        <x:v>SR-ID08</x:v>
      </x:c>
      <x:c r="L9" s="10" t="str">
        <x:v>C</x:v>
      </x:c>
      <x:c r="M9" s="10" t="str">
        <x:v>glass spice container</x:v>
      </x:c>
      <x:c r="N9" s="10" t="n">
        <x:v>3</x:v>
      </x:c>
      <x:c r="O9" s="10" t="n">
        <x:v>1</x:v>
      </x:c>
      <x:c r="P9" s="10" t="str">
        <x:v>Empty</x:v>
      </x:c>
      <x:c r="Q9" s="11" t="str">
        <x:v>Exact training-supported state-object baseline</x:v>
      </x:c>
      <x:c r="R9" s="10" t="n">
        <x:v>1</x:v>
      </x:c>
      <x:c r="S9" s="11" t="str">
        <x:v>Recreate the listed manifest scene with the bowl empty.</x:v>
      </x:c>
      <x:c r="T9" s="11" t="str">
        <x:v>The queried state-object combination and same-category discrimination structure are explicitly represented in training. The orthogonal orientation axis is fixed: every object is RU.</x:v>
      </x:c>
      <x:c r="U9" s="11"/>
    </x:row>
    <x:row r="10" ht="51" customHeight="1">
      <x:c r="A10" s="3" t="str">
        <x:v>Not collected</x:v>
      </x:c>
      <x:c r="B10" s="4" t="n">
        <x:v>8</x:v>
      </x:c>
      <x:c r="C10" s="5" t="str">
        <x:v>Move the open glass spice container into the bowl.</x:v>
      </x:c>
      <x:c r="D10" s="5" t="str">
        <x:v>glass spice container B (O, RU); glass spice container A (C, RU); white cup B (O, RU)</x:v>
      </x:c>
      <x:c r="E10" s="4"/>
      <x:c r="F10" s="4" t="str">
        <x:v>156</x:v>
      </x:c>
      <x:c r="G10" s="5" t="str">
        <x:v>Exact manifest episode: trained state-object cell, prompt, same-category candidate structure, and object membership match; physical layout is manually recreated. All objects are upright, matching the context of every explicit open/closed training demonstration.</x:v>
      </x:c>
      <x:c r="H10" s="5" t="str">
        <x:v>glass spice container B</x:v>
      </x:c>
      <x:c r="I10" s="5"/>
      <x:c r="J10" s="7" t="str">
        <x:v>In-distribution concept baseline</x:v>
      </x:c>
      <x:c r="K10" s="4" t="str">
        <x:v>SR-ID09</x:v>
      </x:c>
      <x:c r="L10" s="4" t="str">
        <x:v>O</x:v>
      </x:c>
      <x:c r="M10" s="4" t="str">
        <x:v>glass spice container</x:v>
      </x:c>
      <x:c r="N10" s="4" t="n">
        <x:v>3</x:v>
      </x:c>
      <x:c r="O10" s="4" t="n">
        <x:v>1</x:v>
      </x:c>
      <x:c r="P10" s="4" t="str">
        <x:v>Empty</x:v>
      </x:c>
      <x:c r="Q10" s="5" t="str">
        <x:v>Exact training-supported state-object baseline</x:v>
      </x:c>
      <x:c r="R10" s="4" t="n">
        <x:v>1</x:v>
      </x:c>
      <x:c r="S10" s="5" t="str">
        <x:v>Recreate the listed manifest scene with the bowl empty.</x:v>
      </x:c>
      <x:c r="T10" s="5" t="str">
        <x:v>The queried state-object combination and same-category discrimination structure are explicitly represented in training. The orthogonal orientation axis is fixed: every object is RU.</x:v>
      </x:c>
      <x:c r="U10" s="5"/>
    </x:row>
    <x:row r="11" ht="51" customHeight="1">
      <x:c r="A11" s="9" t="str">
        <x:v>Not collected</x:v>
      </x:c>
      <x:c r="B11" s="10" t="n">
        <x:v>9</x:v>
      </x:c>
      <x:c r="C11" s="11" t="str">
        <x:v>Put the upside-down glass spice container in the bowl.</x:v>
      </x:c>
      <x:c r="D11" s="11" t="str">
        <x:v>glass spice container B (C, UD); glass spice container A (C, RU)</x:v>
      </x:c>
      <x:c r="E11" s="10"/>
      <x:c r="F11" s="10" t="str">
        <x:v>176</x:v>
      </x:c>
      <x:c r="G11" s="11" t="str">
        <x:v>Exact manifest episode: trained state-object cell, prompt, same-category candidate structure, and object membership match; physical layout is manually recreated.</x:v>
      </x:c>
      <x:c r="H11" s="11" t="str">
        <x:v>glass spice container B</x:v>
      </x:c>
      <x:c r="I11" s="11"/>
      <x:c r="J11" s="7" t="str">
        <x:v>In-distribution concept baseline</x:v>
      </x:c>
      <x:c r="K11" s="10" t="str">
        <x:v>SR-ID10</x:v>
      </x:c>
      <x:c r="L11" s="10" t="str">
        <x:v>UD</x:v>
      </x:c>
      <x:c r="M11" s="10" t="str">
        <x:v>glass spice container</x:v>
      </x:c>
      <x:c r="N11" s="10" t="n">
        <x:v>2</x:v>
      </x:c>
      <x:c r="O11" s="10" t="n">
        <x:v>1</x:v>
      </x:c>
      <x:c r="P11" s="10" t="str">
        <x:v>Empty</x:v>
      </x:c>
      <x:c r="Q11" s="11" t="str">
        <x:v>Exact training-supported state-object baseline</x:v>
      </x:c>
      <x:c r="R11" s="10" t="n">
        <x:v>1</x:v>
      </x:c>
      <x:c r="S11" s="11" t="str">
        <x:v>Recreate the listed manifest scene with the bowl empty.</x:v>
      </x:c>
      <x:c r="T11" s="11" t="str">
        <x:v>The queried state-object combination and same-category discrimination structure are explicitly represented in training. The same-category candidates share the orthogonal C/O state (C).</x:v>
      </x:c>
      <x:c r="U11" s="11"/>
    </x:row>
    <x:row r="12" ht="51" customHeight="1">
      <x:c r="A12" s="3" t="str">
        <x:v>Not collected</x:v>
      </x:c>
      <x:c r="B12" s="4" t="n">
        <x:v>10</x:v>
      </x:c>
      <x:c r="C12" s="5" t="str">
        <x:v>Move the closed white cup into the bowl.</x:v>
      </x:c>
      <x:c r="D12" s="5" t="str">
        <x:v>white cup B (C, RU); white cup A (O, RU); yellow-white striped cup A (C, RU); brown cup B (C, RU)</x:v>
      </x:c>
      <x:c r="E12" s="4"/>
      <x:c r="F12" s="4" t="str">
        <x:v>0</x:v>
      </x:c>
      <x:c r="G12" s="5" t="str">
        <x:v>Exact manifest episode: trained state-object cell, prompt, same-category candidate structure, and object membership match; physical layout is manually recreated. All objects are upright, matching the context of every explicit open/closed training demonstration.</x:v>
      </x:c>
      <x:c r="H12" s="5" t="str">
        <x:v>white cup B</x:v>
      </x:c>
      <x:c r="I12" s="5"/>
      <x:c r="J12" s="7" t="str">
        <x:v>In-distribution concept baseline</x:v>
      </x:c>
      <x:c r="K12" s="4" t="str">
        <x:v>SR-ID11</x:v>
      </x:c>
      <x:c r="L12" s="4" t="str">
        <x:v>C</x:v>
      </x:c>
      <x:c r="M12" s="4" t="str">
        <x:v>white cup</x:v>
      </x:c>
      <x:c r="N12" s="4" t="n">
        <x:v>4</x:v>
      </x:c>
      <x:c r="O12" s="4" t="n">
        <x:v>1</x:v>
      </x:c>
      <x:c r="P12" s="4" t="str">
        <x:v>Empty</x:v>
      </x:c>
      <x:c r="Q12" s="5" t="str">
        <x:v>Exact training-supported state-object baseline</x:v>
      </x:c>
      <x:c r="R12" s="4" t="n">
        <x:v>1</x:v>
      </x:c>
      <x:c r="S12" s="5" t="str">
        <x:v>Recreate the listed manifest scene with the bowl empty.</x:v>
      </x:c>
      <x:c r="T12" s="5" t="str">
        <x:v>The queried state-object combination and same-category discrimination structure are explicitly represented in training. The orthogonal orientation axis is fixed: every object is RU.</x:v>
      </x:c>
      <x:c r="U12" s="5"/>
    </x:row>
    <x:row r="13" ht="51" customHeight="1">
      <x:c r="A13" s="9" t="str">
        <x:v>Not collected</x:v>
      </x:c>
      <x:c r="B13" s="10" t="n">
        <x:v>11</x:v>
      </x:c>
      <x:c r="C13" s="11" t="str">
        <x:v>Place the closed white cup in the bowl.</x:v>
      </x:c>
      <x:c r="D13" s="11" t="str">
        <x:v>white cup A (C, RU); white cup B (O, RU); brown cup B (O, RU)</x:v>
      </x:c>
      <x:c r="E13" s="10"/>
      <x:c r="F13" s="10" t="str">
        <x:v>7</x:v>
      </x:c>
      <x:c r="G13" s="11" t="str">
        <x:v>Exact manifest episode: trained state-object cell, prompt, same-category candidate structure, and object membership match; physical layout is manually recreated. All objects are upright, matching the context of every explicit open/closed training demonstration.</x:v>
      </x:c>
      <x:c r="H13" s="11" t="str">
        <x:v>white cup A</x:v>
      </x:c>
      <x:c r="I13" s="11"/>
      <x:c r="J13" s="7" t="str">
        <x:v>In-distribution concept baseline</x:v>
      </x:c>
      <x:c r="K13" s="10" t="str">
        <x:v>SR-ID12</x:v>
      </x:c>
      <x:c r="L13" s="10" t="str">
        <x:v>C</x:v>
      </x:c>
      <x:c r="M13" s="10" t="str">
        <x:v>white cup</x:v>
      </x:c>
      <x:c r="N13" s="10" t="n">
        <x:v>3</x:v>
      </x:c>
      <x:c r="O13" s="10" t="n">
        <x:v>1</x:v>
      </x:c>
      <x:c r="P13" s="10" t="str">
        <x:v>Empty</x:v>
      </x:c>
      <x:c r="Q13" s="11" t="str">
        <x:v>Exact training-supported state-object baseline</x:v>
      </x:c>
      <x:c r="R13" s="10" t="n">
        <x:v>1</x:v>
      </x:c>
      <x:c r="S13" s="11" t="str">
        <x:v>Recreate the listed manifest scene with the bowl empty.</x:v>
      </x:c>
      <x:c r="T13" s="11" t="str">
        <x:v>The queried state-object combination and same-category discrimination structure are explicitly represented in training. The orthogonal orientation axis is fixed: every object is RU.</x:v>
      </x:c>
      <x:c r="U13" s="11"/>
    </x:row>
    <x:row r="14" ht="51" customHeight="1">
      <x:c r="A14" s="3" t="str">
        <x:v>Not collected</x:v>
      </x:c>
      <x:c r="B14" s="4" t="n">
        <x:v>12</x:v>
      </x:c>
      <x:c r="C14" s="5" t="str">
        <x:v>Put the open white cup in the bowl.</x:v>
      </x:c>
      <x:c r="D14" s="5" t="str">
        <x:v>white cup B (O, RU); white cup A (C, RU); glass spice container B (O, RU)</x:v>
      </x:c>
      <x:c r="E14" s="4"/>
      <x:c r="F14" s="4" t="str">
        <x:v>17</x:v>
      </x:c>
      <x:c r="G14" s="5" t="str">
        <x:v>Exact manifest episode: trained state-object cell, prompt, same-category candidate structure, and object membership match; physical layout is manually recreated. All objects are upright, matching the context of every explicit open/closed training demonstration.</x:v>
      </x:c>
      <x:c r="H14" s="5" t="str">
        <x:v>white cup B</x:v>
      </x:c>
      <x:c r="I14" s="5"/>
      <x:c r="J14" s="7" t="str">
        <x:v>In-distribution concept baseline</x:v>
      </x:c>
      <x:c r="K14" s="4" t="str">
        <x:v>SR-ID13</x:v>
      </x:c>
      <x:c r="L14" s="4" t="str">
        <x:v>O</x:v>
      </x:c>
      <x:c r="M14" s="4" t="str">
        <x:v>white cup</x:v>
      </x:c>
      <x:c r="N14" s="4" t="n">
        <x:v>3</x:v>
      </x:c>
      <x:c r="O14" s="4" t="n">
        <x:v>1</x:v>
      </x:c>
      <x:c r="P14" s="4" t="str">
        <x:v>Empty</x:v>
      </x:c>
      <x:c r="Q14" s="5" t="str">
        <x:v>Exact training-supported state-object baseline</x:v>
      </x:c>
      <x:c r="R14" s="4" t="n">
        <x:v>1</x:v>
      </x:c>
      <x:c r="S14" s="5" t="str">
        <x:v>Recreate the listed manifest scene with the bowl empty.</x:v>
      </x:c>
      <x:c r="T14" s="5" t="str">
        <x:v>The queried state-object combination and same-category discrimination structure are explicitly represented in training. The orthogonal orientation axis is fixed: every object is RU.</x:v>
      </x:c>
      <x:c r="U14" s="5"/>
    </x:row>
    <x:row r="15" ht="51" customHeight="1">
      <x:c r="A15" s="9" t="str">
        <x:v>Not collected</x:v>
      </x:c>
      <x:c r="B15" s="10" t="n">
        <x:v>13</x:v>
      </x:c>
      <x:c r="C15" s="11" t="str">
        <x:v>Place the upside-down yellow-white striped cup in the bowl.</x:v>
      </x:c>
      <x:c r="D15" s="11" t="str">
        <x:v>yellow-white striped cup A (O, UD); yellow-white striped cup B (O, RU)</x:v>
      </x:c>
      <x:c r="E15" s="10"/>
      <x:c r="F15" s="10" t="str">
        <x:v>88</x:v>
      </x:c>
      <x:c r="G15" s="11" t="str">
        <x:v>Exact manifest episode: trained state-object cell, prompt, same-category candidate structure, and object membership match; physical layout is manually recreated.</x:v>
      </x:c>
      <x:c r="H15" s="11" t="str">
        <x:v>yellow-white striped cup A</x:v>
      </x:c>
      <x:c r="I15" s="9" t="str">
        <x:v>Tried to grab the target, dropped it. During recovery, went for the upright cup. Grasping failure.</x:v>
      </x:c>
      <x:c r="J15" s="7" t="str">
        <x:v>In-distribution concept baseline</x:v>
      </x:c>
      <x:c r="K15" s="10" t="str">
        <x:v>SR-ID14</x:v>
      </x:c>
      <x:c r="L15" s="10" t="str">
        <x:v>UD</x:v>
      </x:c>
      <x:c r="M15" s="10" t="str">
        <x:v>yellow-white striped cup</x:v>
      </x:c>
      <x:c r="N15" s="10" t="n">
        <x:v>2</x:v>
      </x:c>
      <x:c r="O15" s="10" t="n">
        <x:v>1</x:v>
      </x:c>
      <x:c r="P15" s="10" t="str">
        <x:v>Empty</x:v>
      </x:c>
      <x:c r="Q15" s="11" t="str">
        <x:v>Exact training-supported state-object baseline</x:v>
      </x:c>
      <x:c r="R15" s="10" t="n">
        <x:v>1</x:v>
      </x:c>
      <x:c r="S15" s="11" t="str">
        <x:v>Recreate the listed manifest scene with the bowl empty.</x:v>
      </x:c>
      <x:c r="T15" s="11" t="str">
        <x:v>The queried state-object combination and same-category discrimination structure are explicitly represented in training. The same-category candidates share the orthogonal C/O state (O).</x:v>
      </x:c>
      <x:c r="U15" s="11"/>
    </x:row>
    <x:row r="16" ht="51" customHeight="1">
      <x:c r="A16" s="3" t="str">
        <x:v>Not collected</x:v>
      </x:c>
      <x:c r="B16" s="4" t="n">
        <x:v>14</x:v>
      </x:c>
      <x:c r="C16" s="5" t="str">
        <x:v>Move the upright yellow-white striped cup into the bowl.</x:v>
      </x:c>
      <x:c r="D16" s="5" t="str">
        <x:v>yellow-white striped cup A (O, RU); yellow-white striped cup B (O, UD); glass spice container A (O, RU); white cup B (C, UD)</x:v>
      </x:c>
      <x:c r="E16" s="4"/>
      <x:c r="F16" s="4" t="str">
        <x:v>75</x:v>
      </x:c>
      <x:c r="G16" s="5" t="str">
        <x:v>Exact manifest episode: trained state-object cell, prompt, same-category candidate structure, and object membership match; physical layout is manually recreated.</x:v>
      </x:c>
      <x:c r="H16" s="5" t="str">
        <x:v>yellow-white striped cup A</x:v>
      </x:c>
      <x:c r="I16" s="5"/>
      <x:c r="J16" s="7" t="str">
        <x:v>In-distribution concept baseline</x:v>
      </x:c>
      <x:c r="K16" s="4" t="str">
        <x:v>SR-ID15</x:v>
      </x:c>
      <x:c r="L16" s="4" t="str">
        <x:v>RU</x:v>
      </x:c>
      <x:c r="M16" s="4" t="str">
        <x:v>yellow-white striped cup</x:v>
      </x:c>
      <x:c r="N16" s="4" t="n">
        <x:v>4</x:v>
      </x:c>
      <x:c r="O16" s="4" t="n">
        <x:v>1</x:v>
      </x:c>
      <x:c r="P16" s="4" t="str">
        <x:v>Empty</x:v>
      </x:c>
      <x:c r="Q16" s="5" t="str">
        <x:v>Exact training-supported state-object baseline</x:v>
      </x:c>
      <x:c r="R16" s="4" t="n">
        <x:v>1</x:v>
      </x:c>
      <x:c r="S16" s="5" t="str">
        <x:v>Recreate the listed manifest scene with the bowl empty.</x:v>
      </x:c>
      <x:c r="T16" s="5" t="str">
        <x:v>The queried state-object combination and same-category discrimination structure are explicitly represented in training. The same-category candidates share the orthogonal C/O state (O).</x:v>
      </x:c>
      <x:c r="U16" s="5"/>
    </x:row>
    <x:row r="17" ht="51" customHeight="1">
      <x:c r="A17" s="9" t="str">
        <x:v>Not collected</x:v>
      </x:c>
      <x:c r="B17" s="10" t="n">
        <x:v>15</x:v>
      </x:c>
      <x:c r="C17" s="11" t="str">
        <x:v>Put the upright yellow-white striped cup in the bowl.</x:v>
      </x:c>
      <x:c r="D17" s="11" t="str">
        <x:v>yellow-white striped cup B (C, RU); yellow-white striped cup A (C, UD)</x:v>
      </x:c>
      <x:c r="E17" s="10"/>
      <x:c r="F17" s="10" t="str">
        <x:v>80</x:v>
      </x:c>
      <x:c r="G17" s="11" t="str">
        <x:v>Exact manifest episode: trained state-object cell, prompt, same-category candidate structure, and object membership match; physical layout is manually recreated.</x:v>
      </x:c>
      <x:c r="H17" s="11" t="str">
        <x:v>yellow-white striped cup B</x:v>
      </x:c>
      <x:c r="I17" s="11"/>
      <x:c r="J17" s="7" t="str">
        <x:v>In-distribution concept baseline</x:v>
      </x:c>
      <x:c r="K17" s="10" t="str">
        <x:v>SR-ID16</x:v>
      </x:c>
      <x:c r="L17" s="10" t="str">
        <x:v>RU</x:v>
      </x:c>
      <x:c r="M17" s="10" t="str">
        <x:v>yellow-white striped cup</x:v>
      </x:c>
      <x:c r="N17" s="10" t="n">
        <x:v>2</x:v>
      </x:c>
      <x:c r="O17" s="10" t="n">
        <x:v>1</x:v>
      </x:c>
      <x:c r="P17" s="10" t="str">
        <x:v>Empty</x:v>
      </x:c>
      <x:c r="Q17" s="11" t="str">
        <x:v>Exact training-supported state-object baseline</x:v>
      </x:c>
      <x:c r="R17" s="10" t="n">
        <x:v>1</x:v>
      </x:c>
      <x:c r="S17" s="11" t="str">
        <x:v>Recreate the listed manifest scene with the bowl empty.</x:v>
      </x:c>
      <x:c r="T17" s="11" t="str">
        <x:v>The queried state-object combination and same-category discrimination structure are explicitly represented in training. The same-category candidates share the orthogonal C/O state (C).</x:v>
      </x:c>
      <x:c r="U17" s="11"/>
    </x:row>
    <x:row r="18" ht="51" customHeight="1">
      <x:c r="A18" s="5" t="str">
        <x:v>Not collected</x:v>
      </x:c>
      <x:c r="B18" s="4" t="n">
        <x:v>16</x:v>
      </x:c>
      <x:c r="C18" s="5" t="str">
        <x:v>Move the upside-down brown cup into the bowl.</x:v>
      </x:c>
      <x:c r="D18" s="5" t="str">
        <x:v>brown cup A (C, UD); brown cup B (C, RU); yellow-white striped cup B (C, UD); glass spice container A (O, RU)</x:v>
      </x:c>
      <x:c r="E18" s="4"/>
      <x:c r="F18" s="4" t="str">
        <x:v>135</x:v>
      </x:c>
      <x:c r="G18" s="5" t="str">
        <x:v>Exact manifest episode: trained state-object cell, prompt, same-category candidate structure, and object membership match; physical layout is manually recreated.</x:v>
      </x:c>
      <x:c r="H18" s="5" t="str">
        <x:v>brown cup A</x:v>
      </x:c>
      <x:c r="I18" s="5"/>
      <x:c r="J18" s="7" t="str">
        <x:v>In-distribution concept baseline</x:v>
      </x:c>
      <x:c r="K18" s="4" t="str">
        <x:v>SR-ID17</x:v>
      </x:c>
      <x:c r="L18" s="4" t="str">
        <x:v>UD</x:v>
      </x:c>
      <x:c r="M18" s="4" t="str">
        <x:v>brown cup</x:v>
      </x:c>
      <x:c r="N18" s="4" t="n">
        <x:v>4</x:v>
      </x:c>
      <x:c r="O18" s="4" t="n">
        <x:v>1</x:v>
      </x:c>
      <x:c r="P18" s="4" t="str">
        <x:v>Empty</x:v>
      </x:c>
      <x:c r="Q18" s="5" t="str">
        <x:v>Exact training-supported state-object baseline</x:v>
      </x:c>
      <x:c r="R18" s="4" t="n">
        <x:v>1</x:v>
      </x:c>
      <x:c r="S18" s="5" t="str">
        <x:v>Recreate the listed manifest scene with the bowl empty.</x:v>
      </x:c>
      <x:c r="T18" s="5" t="str">
        <x:v>The queried state-object combination and same-category discrimination structure are explicitly represented in training. The same-category candidates share the orthogonal C/O state (C).</x:v>
      </x:c>
      <x:c r="U18" s="5"/>
    </x:row>
    <x:row r="19" ht="51" customHeight="1">
      <x:c r="A19" s="11" t="str">
        <x:v>Not collected</x:v>
      </x:c>
      <x:c r="B19" s="10" t="n">
        <x:v>17</x:v>
      </x:c>
      <x:c r="C19" s="11" t="str">
        <x:v>Place the upright brown cup in the bowl.</x:v>
      </x:c>
      <x:c r="D19" s="11" t="str">
        <x:v>brown cup A (C, RU); brown cup B (C, UD); glass spice container B (C, UD)</x:v>
      </x:c>
      <x:c r="E19" s="10"/>
      <x:c r="F19" s="10" t="str">
        <x:v>139</x:v>
      </x:c>
      <x:c r="G19" s="11" t="str">
        <x:v>Exact manifest episode: trained state-object cell, prompt, same-category candidate structure, and object membership match; physical layout is manually recreated.</x:v>
      </x:c>
      <x:c r="H19" s="11" t="str">
        <x:v>brown cup A</x:v>
      </x:c>
      <x:c r="I19" s="11"/>
      <x:c r="J19" s="7" t="str">
        <x:v>In-distribution concept baseline</x:v>
      </x:c>
      <x:c r="K19" s="10" t="str">
        <x:v>SR-ID18</x:v>
      </x:c>
      <x:c r="L19" s="10" t="str">
        <x:v>RU</x:v>
      </x:c>
      <x:c r="M19" s="10" t="str">
        <x:v>brown cup</x:v>
      </x:c>
      <x:c r="N19" s="10" t="n">
        <x:v>3</x:v>
      </x:c>
      <x:c r="O19" s="10" t="n">
        <x:v>1</x:v>
      </x:c>
      <x:c r="P19" s="10" t="str">
        <x:v>Empty</x:v>
      </x:c>
      <x:c r="Q19" s="11" t="str">
        <x:v>Exact training-supported state-object baseline</x:v>
      </x:c>
      <x:c r="R19" s="10" t="n">
        <x:v>1</x:v>
      </x:c>
      <x:c r="S19" s="11" t="str">
        <x:v>Recreate the listed manifest scene with the bowl empty.</x:v>
      </x:c>
      <x:c r="T19" s="11" t="str">
        <x:v>The queried state-object combination and same-category discrimination structure are explicitly represented in training. The same-category candidates share the orthogonal C/O state (C).</x:v>
      </x:c>
      <x:c r="U19" s="11"/>
    </x:row>
    <x:row r="20" ht="51" customHeight="1">
      <x:c r="A20" s="5" t="str">
        <x:v>Not collected</x:v>
      </x:c>
      <x:c r="B20" s="4" t="n">
        <x:v>18</x:v>
      </x:c>
      <x:c r="C20" s="5" t="str">
        <x:v>Put the closed glass spice container in the bowl.</x:v>
      </x:c>
      <x:c r="D20" s="5" t="str">
        <x:v>glass spice container A (C, RU); glass spice container B (O, RU); brown cup A (C, RU); white cup B (O, RU)</x:v>
      </x:c>
      <x:c r="E20" s="4"/>
      <x:c r="F20" s="4" t="str">
        <x:v>155</x:v>
      </x:c>
      <x:c r="G20" s="5" t="str">
        <x:v>Exact manifest episode: trained state-object cell, prompt, same-category candidate structure, and object membership match; physical layout is manually recreated. All objects are upright, matching the context of every explicit open/closed training demonstration.</x:v>
      </x:c>
      <x:c r="H20" s="5" t="str">
        <x:v>glass spice container A</x:v>
      </x:c>
      <x:c r="I20" s="5"/>
      <x:c r="J20" s="7" t="str">
        <x:v>In-distribution concept baseline</x:v>
      </x:c>
      <x:c r="K20" s="4" t="str">
        <x:v>SR-ID19</x:v>
      </x:c>
      <x:c r="L20" s="4" t="str">
        <x:v>C</x:v>
      </x:c>
      <x:c r="M20" s="4" t="str">
        <x:v>glass spice container</x:v>
      </x:c>
      <x:c r="N20" s="4" t="n">
        <x:v>4</x:v>
      </x:c>
      <x:c r="O20" s="4" t="n">
        <x:v>1</x:v>
      </x:c>
      <x:c r="P20" s="4" t="str">
        <x:v>Empty</x:v>
      </x:c>
      <x:c r="Q20" s="5" t="str">
        <x:v>Exact training-supported state-object baseline</x:v>
      </x:c>
      <x:c r="R20" s="4" t="n">
        <x:v>1</x:v>
      </x:c>
      <x:c r="S20" s="5" t="str">
        <x:v>Recreate the listed manifest scene with the bowl empty.</x:v>
      </x:c>
      <x:c r="T20" s="5" t="str">
        <x:v>The queried state-object combination and same-category discrimination structure are explicitly represented in training. The orthogonal orientation axis is fixed: every object is RU.</x:v>
      </x:c>
      <x:c r="U20" s="5"/>
    </x:row>
    <x:row r="21" ht="51" customHeight="1">
      <x:c r="A21" s="11" t="str">
        <x:v>Not collected</x:v>
      </x:c>
      <x:c r="B21" s="10" t="n">
        <x:v>19</x:v>
      </x:c>
      <x:c r="C21" s="11" t="str">
        <x:v>Move the open glass spice container into the bowl.</x:v>
      </x:c>
      <x:c r="D21" s="11" t="str">
        <x:v>glass spice container B (O, RU); glass spice container A (C, RU); white cup B (O, RU); yellow-white striped cup A (O, RU)</x:v>
      </x:c>
      <x:c r="E21" s="10"/>
      <x:c r="F21" s="10" t="str">
        <x:v>162</x:v>
      </x:c>
      <x:c r="G21" s="11" t="str">
        <x:v>Exact manifest episode: trained state-object cell, prompt, same-category candidate structure, and object membership match; physical layout is manually recreated. All objects are upright, matching the context of every explicit open/closed training demonstration.</x:v>
      </x:c>
      <x:c r="H21" s="11" t="str">
        <x:v>glass spice container B</x:v>
      </x:c>
      <x:c r="I21" s="11"/>
      <x:c r="J21" s="7" t="str">
        <x:v>In-distribution concept baseline</x:v>
      </x:c>
      <x:c r="K21" s="10" t="str">
        <x:v>SR-ID20</x:v>
      </x:c>
      <x:c r="L21" s="10" t="str">
        <x:v>O</x:v>
      </x:c>
      <x:c r="M21" s="10" t="str">
        <x:v>glass spice container</x:v>
      </x:c>
      <x:c r="N21" s="10" t="n">
        <x:v>4</x:v>
      </x:c>
      <x:c r="O21" s="10" t="n">
        <x:v>1</x:v>
      </x:c>
      <x:c r="P21" s="10" t="str">
        <x:v>Empty</x:v>
      </x:c>
      <x:c r="Q21" s="11" t="str">
        <x:v>Exact training-supported state-object baseline</x:v>
      </x:c>
      <x:c r="R21" s="10" t="n">
        <x:v>1</x:v>
      </x:c>
      <x:c r="S21" s="11" t="str">
        <x:v>Recreate the listed manifest scene with the bowl empty.</x:v>
      </x:c>
      <x:c r="T21" s="11" t="str">
        <x:v>The queried state-object combination and same-category discrimination structure are explicitly represented in training. The orthogonal orientation axis is fixed: every object is RU.</x:v>
      </x:c>
      <x:c r="U21" s="11"/>
    </x:row>
    <x:row r="22" ht="51" customHeight="1">
      <x:c r="A22" s="5" t="str">
        <x:v>Not collected</x:v>
      </x:c>
      <x:c r="B22" s="4" t="n">
        <x:v>20</x:v>
      </x:c>
      <x:c r="C22" s="5" t="str">
        <x:v>Place the upside-down white cup in the bowl.</x:v>
      </x:c>
      <x:c r="D22" s="5" t="str">
        <x:v>white cup A (C, UD); white cup B (C, RU)</x:v>
      </x:c>
      <x:c r="E22" s="4"/>
      <x:c r="F22" s="4" t="str">
        <x:v>35</x:v>
      </x:c>
      <x:c r="G22" s="5" t="str">
        <x:v>Physical-state and manipulation-trajectory reference under a direct category prompt; the evaluated state word × object-category cell is intentionally absent from training.</x:v>
      </x:c>
      <x:c r="H22" s="5" t="str">
        <x:v>white cup A</x:v>
      </x:c>
      <x:c r="I22" s="5"/>
      <x:c r="J22" s="12" t="str">
        <x:v>Concept/compositional transfer</x:v>
      </x:c>
      <x:c r="K22" s="4" t="str">
        <x:v>SR-CT01</x:v>
      </x:c>
      <x:c r="L22" s="4" t="str">
        <x:v>UD</x:v>
      </x:c>
      <x:c r="M22" s="4" t="str">
        <x:v>white cup</x:v>
      </x:c>
      <x:c r="N22" s="4" t="n">
        <x:v>2</x:v>
      </x:c>
      <x:c r="O22" s="4" t="n">
        <x:v>1</x:v>
      </x:c>
      <x:c r="P22" s="4" t="str">
        <x:v>Empty</x:v>
      </x:c>
      <x:c r="Q22" s="5" t="str">
        <x:v>Primary held-out state-object composition</x:v>
      </x:c>
      <x:c r="R22" s="4" t="n">
        <x:v>2</x:v>
      </x:c>
      <x:c r="S22" s="5" t="str">
        <x:v>Build the listed same-category discrimination scene with the bowl empty.</x:v>
      </x:c>
      <x:c r="T22" s="5" t="str">
        <x:v>Two same-category candidates share the non-queried state axis; only the held-out state word identifies the target. The same-category candidates share the orthogonal C/O state (C).</x:v>
      </x:c>
      <x:c r="U22" s="5"/>
    </x:row>
    <x:row r="23" ht="51" customHeight="1">
      <x:c r="A23" s="13" t="str">
        <x:v>Not collected</x:v>
      </x:c>
      <x:c r="B23" s="14" t="n">
        <x:v>21</x:v>
      </x:c>
      <x:c r="C23" s="13" t="str">
        <x:v>Put a white cup in the bowl.</x:v>
      </x:c>
      <x:c r="D23" s="13" t="str">
        <x:v>white cup A (C, UD); yellow-white striped cup A (C, RU)</x:v>
      </x:c>
      <x:c r="E23" s="14" t="n">
        <x:v>20</x:v>
      </x:c>
      <x:c r="F23" s="14" t="n">
        <x:v>35</x:v>
      </x:c>
      <x:c r="G23" s="13" t="str">
        <x:v>Exact direct-category manipulation prompt from training episode 35. The transfer target, state, and pose are preserved; only the competing white cup is replaced by yellow-white striped cup A.</x:v>
      </x:c>
      <x:c r="H23" s="13" t="str">
        <x:v>white cup A</x:v>
      </x:c>
      <x:c r="I23" s="13"/>
      <x:c r="J23" s="15" t="str">
        <x:v>Matched manipulation control</x:v>
      </x:c>
      <x:c r="K23" s="14" t="str">
        <x:v>SR-CT01</x:v>
      </x:c>
      <x:c r="L23" s="14" t="str">
        <x:v>N/A</x:v>
      </x:c>
      <x:c r="M23" s="14" t="str">
        <x:v>white cup</x:v>
      </x:c>
      <x:c r="N23" s="14" t="n">
        <x:v>2</x:v>
      </x:c>
      <x:c r="O23" s="14" t="n">
        <x:v>1</x:v>
      </x:c>
      <x:c r="P23" s="14" t="str">
        <x:v>Empty</x:v>
      </x:c>
      <x:c r="Q23" s="13" t="str">
        <x:v>One-object-substitution direct-category control</x:v>
      </x:c>
      <x:c r="R23" s="14" t="n">
        <x:v>2</x:v>
      </x:c>
      <x:c r="S23" s="13" t="str">
        <x:v>Reset white cup A to its transfer pose. Replace white cup B with yellow-white striped cup A in the same location and use the states listed in this row; preserve all other objects.</x:v>
      </x:c>
      <x:c r="T23" s="13" t="str">
        <x:v>Pure recognition/manipulation control: the prompt uniquely names the only object from the target category, while the physical target remains identical to the transfer row.</x:v>
      </x:c>
      <x:c r="U23" s="13"/>
    </x:row>
    <x:row r="24" ht="51" customHeight="1">
      <x:c r="A24" s="16" t="str">
        <x:v>Not collected</x:v>
      </x:c>
      <x:c r="B24" s="17" t="n">
        <x:v>22</x:v>
      </x:c>
      <x:c r="C24" s="16" t="str">
        <x:v>Move the inverted white cup into the bowl.</x:v>
      </x:c>
      <x:c r="D24" s="16" t="str">
        <x:v>white cup A (C, UD); white cup B (C, RU)</x:v>
      </x:c>
      <x:c r="E24" s="17" t="n">
        <x:v>20</x:v>
      </x:c>
      <x:c r="F24" s="17" t="str">
        <x:v>35</x:v>
      </x:c>
      <x:c r="G24" s="16" t="str">
        <x:v>The canonical transfer scene and masked trajectory reference are unchanged; only the evaluation wording is paraphrased. This remains a language diagnostic and is not pooled into the primary 50.</x:v>
      </x:c>
      <x:c r="H24" s="16" t="str">
        <x:v>white cup A</x:v>
      </x:c>
      <x:c r="I24" s="16"/>
      <x:c r="J24" s="18" t="str">
        <x:v>Language robustness</x:v>
      </x:c>
      <x:c r="K24" s="17" t="str">
        <x:v>SR-CT01</x:v>
      </x:c>
      <x:c r="L24" s="17" t="str">
        <x:v>UD</x:v>
      </x:c>
      <x:c r="M24" s="17" t="str">
        <x:v>white cup</x:v>
      </x:c>
      <x:c r="N24" s="17" t="n">
        <x:v>2</x:v>
      </x:c>
      <x:c r="O24" s="17" t="n">
        <x:v>1</x:v>
      </x:c>
      <x:c r="P24" s="17" t="str">
        <x:v>Empty</x:v>
      </x:c>
      <x:c r="Q24" s="16" t="str">
        <x:v>Primary compositional-transfer prompt paraphrase</x:v>
      </x:c>
      <x:c r="R24" s="17" t="n">
        <x:v>2</x:v>
      </x:c>
      <x:c r="S24" s="16" t="str">
        <x:v>Reset the moved object exactly; preserve every object and state; change only the prompt wording.</x:v>
      </x:c>
      <x:c r="T24" s="16" t="str">
        <x:v>Exact-scene paraphrase of one of the 50 canonical compositional-transfer trials. The same-category candidates share the orthogonal C/O state (C). The scene is an exact copy of the referenced canonical row.</x:v>
      </x:c>
      <x:c r="U24" s="16"/>
    </x:row>
    <x:row r="25" ht="51" customHeight="1">
      <x:c r="A25" s="13" t="str">
        <x:v>Not collected</x:v>
      </x:c>
      <x:c r="B25" s="14" t="n">
        <x:v>23</x:v>
      </x:c>
      <x:c r="C25" s="13" t="str">
        <x:v>Transfer the white cup from the table into the bowl.</x:v>
      </x:c>
      <x:c r="D25" s="13" t="str">
        <x:v>white cup A (C, UD); yellow-white striped cup A (C, RU)</x:v>
      </x:c>
      <x:c r="E25" s="14" t="n">
        <x:v>21</x:v>
      </x:c>
      <x:c r="F25" s="14" t="n">
        <x:v>35</x:v>
      </x:c>
      <x:c r="G25" s="13" t="str">
        <x:v>Paraphrase of the direct-category matched control grounded by training episode 35. The modified control scene and physical target are unchanged.</x:v>
      </x:c>
      <x:c r="H25" s="13" t="str">
        <x:v>white cup A</x:v>
      </x:c>
      <x:c r="I25" s="13"/>
      <x:c r="J25" s="18" t="str">
        <x:v>Language robustness</x:v>
      </x:c>
      <x:c r="K25" s="14" t="str">
        <x:v>SR-CT01</x:v>
      </x:c>
      <x:c r="L25" s="14" t="str">
        <x:v>N/A</x:v>
      </x:c>
      <x:c r="M25" s="14" t="str">
        <x:v>white cup</x:v>
      </x:c>
      <x:c r="N25" s="14" t="n">
        <x:v>2</x:v>
      </x:c>
      <x:c r="O25" s="14" t="n">
        <x:v>1</x:v>
      </x:c>
      <x:c r="P25" s="14" t="str">
        <x:v>Empty</x:v>
      </x:c>
      <x:c r="Q25" s="13" t="str">
        <x:v>Direct-category matched-control paraphrase</x:v>
      </x:c>
      <x:c r="R25" s="14" t="n">
        <x:v>2</x:v>
      </x:c>
      <x:c r="S25" s="13" t="str">
        <x:v>Reset the target to its marked pose; preserve the exact modified control scene and change only the direct instruction wording.</x:v>
      </x:c>
      <x:c r="T25" s="13" t="str">
        <x:v>Language diagnostic for the pure manipulation control; no state word or state-based selection is required. The scene is an exact copy of the referenced canonical row.</x:v>
      </x:c>
      <x:c r="U25" s="13"/>
    </x:row>
    <x:row r="26" ht="51" customHeight="1">
      <x:c r="A26" s="5" t="str">
        <x:v>Not collected</x:v>
      </x:c>
      <x:c r="B26" s="4" t="n">
        <x:v>24</x:v>
      </x:c>
      <x:c r="C26" s="5" t="str">
        <x:v>Place the open yellow-white striped cup in the bowl.</x:v>
      </x:c>
      <x:c r="D26" s="5" t="str">
        <x:v>yellow-white striped cup B (O, RU); yellow-white striped cup A (C, RU); brown cup B (O, RU)</x:v>
      </x:c>
      <x:c r="E26" s="4"/>
      <x:c r="F26" s="4" t="str">
        <x:v>64</x:v>
      </x:c>
      <x:c r="G26"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26" s="5" t="str">
        <x:v>yellow-white striped cup B</x:v>
      </x:c>
      <x:c r="I26" s="5"/>
      <x:c r="J26" s="12" t="str">
        <x:v>Concept/compositional transfer</x:v>
      </x:c>
      <x:c r="K26" s="4" t="str">
        <x:v>SR-CT02</x:v>
      </x:c>
      <x:c r="L26" s="4" t="str">
        <x:v>O</x:v>
      </x:c>
      <x:c r="M26" s="4" t="str">
        <x:v>yellow-white striped cup</x:v>
      </x:c>
      <x:c r="N26" s="4" t="n">
        <x:v>3</x:v>
      </x:c>
      <x:c r="O26" s="4" t="n">
        <x:v>1</x:v>
      </x:c>
      <x:c r="P26" s="4" t="str">
        <x:v>Empty</x:v>
      </x:c>
      <x:c r="Q26" s="5" t="str">
        <x:v>Primary held-out state-object composition</x:v>
      </x:c>
      <x:c r="R26" s="4" t="n">
        <x:v>2</x:v>
      </x:c>
      <x:c r="S26" s="5" t="str">
        <x:v>Build the listed same-category discrimination scene with the bowl empty.</x:v>
      </x:c>
      <x:c r="T26" s="5" t="str">
        <x:v>Two same-category candidates share the non-queried state axis; only the held-out state word identifies the target. The orthogonal orientation axis is fixed: every object is RU.</x:v>
      </x:c>
      <x:c r="U26" s="5"/>
    </x:row>
    <x:row r="27" ht="51" customHeight="1">
      <x:c r="A27" s="13" t="str">
        <x:v>Not collected</x:v>
      </x:c>
      <x:c r="B27" s="14" t="n">
        <x:v>25</x:v>
      </x:c>
      <x:c r="C27" s="13" t="str">
        <x:v>Place a yellow-white striped cup in the bowl.</x:v>
      </x:c>
      <x:c r="D27" s="13" t="str">
        <x:v>yellow-white striped cup B (O, RU); glass spice container B (C, RU); brown cup B (O, RU)</x:v>
      </x:c>
      <x:c r="E27" s="14" t="n">
        <x:v>24</x:v>
      </x:c>
      <x:c r="F27" s="14" t="n">
        <x:v>64</x:v>
      </x:c>
      <x:c r="G27" s="13" t="str">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H27" s="13" t="str">
        <x:v>yellow-white striped cup B</x:v>
      </x:c>
      <x:c r="I27" s="13"/>
      <x:c r="J27" s="15" t="str">
        <x:v>Matched manipulation control</x:v>
      </x:c>
      <x:c r="K27" s="14" t="str">
        <x:v>SR-CT02</x:v>
      </x:c>
      <x:c r="L27" s="14" t="str">
        <x:v>N/A</x:v>
      </x:c>
      <x:c r="M27" s="14" t="str">
        <x:v>yellow-white striped cup</x:v>
      </x:c>
      <x:c r="N27" s="14" t="n">
        <x:v>3</x:v>
      </x:c>
      <x:c r="O27" s="14" t="n">
        <x:v>1</x:v>
      </x:c>
      <x:c r="P27" s="14" t="str">
        <x:v>Empty</x:v>
      </x:c>
      <x:c r="Q27" s="13" t="str">
        <x:v>One-object-substitution direct-category control</x:v>
      </x:c>
      <x:c r="R27" s="14" t="n">
        <x:v>2</x:v>
      </x:c>
      <x:c r="S27" s="13" t="str">
        <x:v>Reset yellow-white striped cup B to its transfer pose. Replace yellow-white striped cup A with glass spice container B in the same location and use the states listed in this row; preserve all other objects.</x:v>
      </x:c>
      <x:c r="T27" s="13" t="str">
        <x:v>Pure recognition/manipulation control: the prompt uniquely names the only object from the target category, while the physical target remains identical to the transfer row. Every object is RU.</x:v>
      </x:c>
      <x:c r="U27" s="13"/>
    </x:row>
    <x:row r="28" ht="51" customHeight="1">
      <x:c r="A28" s="16" t="str">
        <x:v>Not collected</x:v>
      </x:c>
      <x:c r="B28" s="17" t="n">
        <x:v>26</x:v>
      </x:c>
      <x:c r="C28" s="16" t="str">
        <x:v>Move the yellow-white striped cup whose opening is uncovered into the bowl.</x:v>
      </x:c>
      <x:c r="D28" s="16" t="str">
        <x:v>yellow-white striped cup B (O, RU); yellow-white striped cup A (C, RU); brown cup B (O, RU)</x:v>
      </x:c>
      <x:c r="E28" s="17" t="n">
        <x:v>24</x:v>
      </x:c>
      <x:c r="F28" s="17" t="str">
        <x:v>64</x:v>
      </x:c>
      <x:c r="G28" s="16"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28" s="16" t="str">
        <x:v>yellow-white striped cup B</x:v>
      </x:c>
      <x:c r="I28" s="16"/>
      <x:c r="J28" s="18" t="str">
        <x:v>Language robustness</x:v>
      </x:c>
      <x:c r="K28" s="17" t="str">
        <x:v>SR-CT02</x:v>
      </x:c>
      <x:c r="L28" s="17" t="str">
        <x:v>O</x:v>
      </x:c>
      <x:c r="M28" s="17" t="str">
        <x:v>yellow-white striped cup</x:v>
      </x:c>
      <x:c r="N28" s="17" t="n">
        <x:v>3</x:v>
      </x:c>
      <x:c r="O28" s="17" t="n">
        <x:v>1</x:v>
      </x:c>
      <x:c r="P28" s="17" t="str">
        <x:v>Empty</x:v>
      </x:c>
      <x:c r="Q28" s="16" t="str">
        <x:v>Primary compositional-transfer prompt paraphrase</x:v>
      </x:c>
      <x:c r="R28" s="17" t="n">
        <x:v>2</x:v>
      </x:c>
      <x:c r="S28" s="16" t="str">
        <x:v>Reset the moved object exactly; preserve every object and state; change only the prompt wording.</x:v>
      </x:c>
      <x:c r="T28" s="16" t="str">
        <x:v>Exact-scene paraphrase of one of the 50 canonical compositional-transfer trials. The orthogonal orientation axis is fixed: every object is RU. The scene is an exact copy of the referenced canonical row.</x:v>
      </x:c>
      <x:c r="U28" s="16"/>
    </x:row>
    <x:row r="29" ht="51" customHeight="1">
      <x:c r="A29" s="13" t="str">
        <x:v>Not collected</x:v>
      </x:c>
      <x:c r="B29" s="14" t="n">
        <x:v>27</x:v>
      </x:c>
      <x:c r="C29" s="13" t="str">
        <x:v>Lift the yellow-white striped cup and set it inside the bowl.</x:v>
      </x:c>
      <x:c r="D29" s="13" t="str">
        <x:v>yellow-white striped cup B (O, RU); glass spice container B (C, RU); brown cup B (O, RU)</x:v>
      </x:c>
      <x:c r="E29" s="14" t="n">
        <x:v>25</x:v>
      </x:c>
      <x:c r="F29" s="14" t="n">
        <x:v>64</x:v>
      </x:c>
      <x:c r="G29" s="13" t="str">
        <x:v>Paraphrase of the direct-category matched control grounded by training episode 64. The modified control scene and physical target are unchanged.</x:v>
      </x:c>
      <x:c r="H29" s="13" t="str">
        <x:v>yellow-white striped cup B</x:v>
      </x:c>
      <x:c r="I29" s="13"/>
      <x:c r="J29" s="18" t="str">
        <x:v>Language robustness</x:v>
      </x:c>
      <x:c r="K29" s="14" t="str">
        <x:v>SR-CT02</x:v>
      </x:c>
      <x:c r="L29" s="14" t="str">
        <x:v>N/A</x:v>
      </x:c>
      <x:c r="M29" s="14" t="str">
        <x:v>yellow-white striped cup</x:v>
      </x:c>
      <x:c r="N29" s="14" t="n">
        <x:v>3</x:v>
      </x:c>
      <x:c r="O29" s="14" t="n">
        <x:v>1</x:v>
      </x:c>
      <x:c r="P29" s="14" t="str">
        <x:v>Empty</x:v>
      </x:c>
      <x:c r="Q29" s="13" t="str">
        <x:v>Direct-category matched-control paraphrase</x:v>
      </x:c>
      <x:c r="R29" s="14" t="n">
        <x:v>2</x:v>
      </x:c>
      <x:c r="S29" s="13" t="str">
        <x:v>Reset the target to its marked pose; preserve the exact modified control scene and change only the direct instruction wording.</x:v>
      </x:c>
      <x:c r="T29" s="13" t="str">
        <x:v>Language diagnostic for the pure manipulation control; no state word or state-based selection is required. The scene is an exact copy of the referenced canonical row.</x:v>
      </x:c>
      <x:c r="U29" s="13"/>
    </x:row>
    <x:row r="30" ht="51" customHeight="1">
      <x:c r="A30" s="5" t="str">
        <x:v>Not collected</x:v>
      </x:c>
      <x:c r="B30" s="4" t="n">
        <x:v>28</x:v>
      </x:c>
      <x:c r="C30" s="5" t="str">
        <x:v>Place the closed brown cup in the bowl.</x:v>
      </x:c>
      <x:c r="D30" s="5" t="str">
        <x:v>brown cup A (C, RU); brown cup B (O, RU); glass spice container A (C, RU); white cup B (O, RU)</x:v>
      </x:c>
      <x:c r="E30" s="4"/>
      <x:c r="F30" s="4" t="str">
        <x:v>100</x:v>
      </x:c>
      <x:c r="G30"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30" s="5" t="str">
        <x:v>brown cup A</x:v>
      </x:c>
      <x:c r="I30" s="5"/>
      <x:c r="J30" s="12" t="str">
        <x:v>Concept/compositional transfer</x:v>
      </x:c>
      <x:c r="K30" s="4" t="str">
        <x:v>SR-CT03</x:v>
      </x:c>
      <x:c r="L30" s="4" t="str">
        <x:v>C</x:v>
      </x:c>
      <x:c r="M30" s="4" t="str">
        <x:v>brown cup</x:v>
      </x:c>
      <x:c r="N30" s="4" t="n">
        <x:v>4</x:v>
      </x:c>
      <x:c r="O30" s="4" t="n">
        <x:v>1</x:v>
      </x:c>
      <x:c r="P30" s="4" t="str">
        <x:v>Empty</x:v>
      </x:c>
      <x:c r="Q30" s="5" t="str">
        <x:v>Primary held-out state-object composition</x:v>
      </x:c>
      <x:c r="R30" s="4" t="n">
        <x:v>2</x:v>
      </x:c>
      <x:c r="S30" s="5" t="str">
        <x:v>Build the listed same-category discrimination scene with the bowl empty.</x:v>
      </x:c>
      <x:c r="T30" s="5" t="str">
        <x:v>Two same-category candidates share the non-queried state axis; only the held-out state word identifies the target. The orthogonal orientation axis is fixed: every object is RU.</x:v>
      </x:c>
      <x:c r="U30" s="5"/>
    </x:row>
    <x:row r="31" ht="51" customHeight="1">
      <x:c r="A31" s="13" t="str">
        <x:v>Not collected</x:v>
      </x:c>
      <x:c r="B31" s="14" t="n">
        <x:v>29</x:v>
      </x:c>
      <x:c r="C31" s="13" t="str">
        <x:v>Place a brown cup in the bowl.</x:v>
      </x:c>
      <x:c r="D31" s="13" t="str">
        <x:v>brown cup A (C, RU); yellow-white striped cup A (O, RU); glass spice container A (C, RU); white cup B (O, RU)</x:v>
      </x:c>
      <x:c r="E31" s="14" t="n">
        <x:v>28</x:v>
      </x:c>
      <x:c r="F31" s="14" t="n">
        <x:v>100</x:v>
      </x:c>
      <x:c r="G31" s="13" t="str">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H31" s="13" t="str">
        <x:v>brown cup A</x:v>
      </x:c>
      <x:c r="I31" s="13"/>
      <x:c r="J31" s="15" t="str">
        <x:v>Matched manipulation control</x:v>
      </x:c>
      <x:c r="K31" s="14" t="str">
        <x:v>SR-CT03</x:v>
      </x:c>
      <x:c r="L31" s="14" t="str">
        <x:v>N/A</x:v>
      </x:c>
      <x:c r="M31" s="14" t="str">
        <x:v>brown cup</x:v>
      </x:c>
      <x:c r="N31" s="14" t="n">
        <x:v>4</x:v>
      </x:c>
      <x:c r="O31" s="14" t="n">
        <x:v>1</x:v>
      </x:c>
      <x:c r="P31" s="14" t="str">
        <x:v>Empty</x:v>
      </x:c>
      <x:c r="Q31" s="13" t="str">
        <x:v>One-object-substitution direct-category control</x:v>
      </x:c>
      <x:c r="R31" s="14" t="n">
        <x:v>2</x:v>
      </x:c>
      <x:c r="S31" s="13" t="str">
        <x:v>Reset brown cup A to its transfer pose. Replace brown cup B with yellow-white striped cup A in the same location and use the states listed in this row; preserve all other objects.</x:v>
      </x:c>
      <x:c r="T31" s="13" t="str">
        <x:v>Pure recognition/manipulation control: the prompt uniquely names the only object from the target category, while the physical target remains identical to the transfer row. Every object is RU.</x:v>
      </x:c>
      <x:c r="U31" s="13"/>
    </x:row>
    <x:row r="32" ht="51" customHeight="1">
      <x:c r="A32" s="16" t="str">
        <x:v>Not collected</x:v>
      </x:c>
      <x:c r="B32" s="17" t="n">
        <x:v>30</x:v>
      </x:c>
      <x:c r="C32" s="16" t="str">
        <x:v>Move the brown cup whose opening is covered into the bowl.</x:v>
      </x:c>
      <x:c r="D32" s="16" t="str">
        <x:v>brown cup A (C, RU); brown cup B (O, RU); glass spice container A (C, RU); white cup B (O, RU)</x:v>
      </x:c>
      <x:c r="E32" s="17" t="n">
        <x:v>28</x:v>
      </x:c>
      <x:c r="F32" s="17" t="str">
        <x:v>100</x:v>
      </x:c>
      <x:c r="G32" s="16"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32" s="16" t="str">
        <x:v>brown cup A</x:v>
      </x:c>
      <x:c r="I32" s="16"/>
      <x:c r="J32" s="18" t="str">
        <x:v>Language robustness</x:v>
      </x:c>
      <x:c r="K32" s="17" t="str">
        <x:v>SR-CT03</x:v>
      </x:c>
      <x:c r="L32" s="17" t="str">
        <x:v>C</x:v>
      </x:c>
      <x:c r="M32" s="17" t="str">
        <x:v>brown cup</x:v>
      </x:c>
      <x:c r="N32" s="17" t="n">
        <x:v>4</x:v>
      </x:c>
      <x:c r="O32" s="17" t="n">
        <x:v>1</x:v>
      </x:c>
      <x:c r="P32" s="17" t="str">
        <x:v>Empty</x:v>
      </x:c>
      <x:c r="Q32" s="16" t="str">
        <x:v>Primary compositional-transfer prompt paraphrase</x:v>
      </x:c>
      <x:c r="R32" s="17" t="n">
        <x:v>2</x:v>
      </x:c>
      <x:c r="S32" s="16" t="str">
        <x:v>Reset the moved object exactly; preserve every object and state; change only the prompt wording.</x:v>
      </x:c>
      <x:c r="T32" s="16" t="str">
        <x:v>Exact-scene paraphrase of one of the 50 canonical compositional-transfer trials. The orthogonal orientation axis is fixed: every object is RU. The scene is an exact copy of the referenced canonical row.</x:v>
      </x:c>
      <x:c r="U32" s="16"/>
    </x:row>
    <x:row r="33" ht="51" customHeight="1">
      <x:c r="A33" s="13" t="str">
        <x:v>Not collected</x:v>
      </x:c>
      <x:c r="B33" s="14" t="n">
        <x:v>31</x:v>
      </x:c>
      <x:c r="C33" s="13" t="str">
        <x:v>Take the brown cup off the table and place it in the bowl.</x:v>
      </x:c>
      <x:c r="D33" s="13" t="str">
        <x:v>brown cup A (C, RU); yellow-white striped cup A (O, RU); glass spice container A (C, RU); white cup B (O, RU)</x:v>
      </x:c>
      <x:c r="E33" s="14" t="n">
        <x:v>29</x:v>
      </x:c>
      <x:c r="F33" s="14" t="n">
        <x:v>100</x:v>
      </x:c>
      <x:c r="G33" s="13" t="str">
        <x:v>Paraphrase of the direct-category matched control grounded by training episode 100. The modified control scene and physical target are unchanged.</x:v>
      </x:c>
      <x:c r="H33" s="13" t="str">
        <x:v>brown cup A</x:v>
      </x:c>
      <x:c r="I33" s="13"/>
      <x:c r="J33" s="18" t="str">
        <x:v>Language robustness</x:v>
      </x:c>
      <x:c r="K33" s="14" t="str">
        <x:v>SR-CT03</x:v>
      </x:c>
      <x:c r="L33" s="14" t="str">
        <x:v>N/A</x:v>
      </x:c>
      <x:c r="M33" s="14" t="str">
        <x:v>brown cup</x:v>
      </x:c>
      <x:c r="N33" s="14" t="n">
        <x:v>4</x:v>
      </x:c>
      <x:c r="O33" s="14" t="n">
        <x:v>1</x:v>
      </x:c>
      <x:c r="P33" s="14" t="str">
        <x:v>Empty</x:v>
      </x:c>
      <x:c r="Q33" s="13" t="str">
        <x:v>Direct-category matched-control paraphrase</x:v>
      </x:c>
      <x:c r="R33" s="14" t="n">
        <x:v>2</x:v>
      </x:c>
      <x:c r="S33" s="13" t="str">
        <x:v>Reset the target to its marked pose; preserve the exact modified control scene and change only the direct instruction wording.</x:v>
      </x:c>
      <x:c r="T33" s="13" t="str">
        <x:v>Language diagnostic for the pure manipulation control; no state word or state-based selection is required. The scene is an exact copy of the referenced canonical row.</x:v>
      </x:c>
      <x:c r="U33" s="13"/>
    </x:row>
    <x:row r="34" ht="51" customHeight="1">
      <x:c r="A34" s="5" t="str">
        <x:v>Not collected</x:v>
      </x:c>
      <x:c r="B34" s="4" t="n">
        <x:v>32</x:v>
      </x:c>
      <x:c r="C34" s="5" t="str">
        <x:v>Place the upright glass spice container in the bowl.</x:v>
      </x:c>
      <x:c r="D34" s="5" t="str">
        <x:v>glass spice container B (C, RU); glass spice container A (C, UD)</x:v>
      </x:c>
      <x:c r="E34" s="4"/>
      <x:c r="F34" s="4" t="str">
        <x:v>169</x:v>
      </x:c>
      <x:c r="G34" s="5" t="str">
        <x:v>Physical-state and manipulation-trajectory reference under a direct category prompt; the evaluated state word × object-category cell is intentionally absent from training.</x:v>
      </x:c>
      <x:c r="H34" s="5" t="str">
        <x:v>glass spice container B</x:v>
      </x:c>
      <x:c r="I34" s="5"/>
      <x:c r="J34" s="12" t="str">
        <x:v>Concept/compositional transfer</x:v>
      </x:c>
      <x:c r="K34" s="4" t="str">
        <x:v>SR-CT04</x:v>
      </x:c>
      <x:c r="L34" s="4" t="str">
        <x:v>RU</x:v>
      </x:c>
      <x:c r="M34" s="4" t="str">
        <x:v>glass spice container</x:v>
      </x:c>
      <x:c r="N34" s="4" t="n">
        <x:v>2</x:v>
      </x:c>
      <x:c r="O34" s="4" t="n">
        <x:v>1</x:v>
      </x:c>
      <x:c r="P34" s="4" t="str">
        <x:v>Empty</x:v>
      </x:c>
      <x:c r="Q34" s="5" t="str">
        <x:v>Primary held-out state-object composition</x:v>
      </x:c>
      <x:c r="R34" s="4" t="n">
        <x:v>2</x:v>
      </x:c>
      <x:c r="S34" s="5" t="str">
        <x:v>Build the listed same-category discrimination scene with the bowl empty.</x:v>
      </x:c>
      <x:c r="T34" s="5" t="str">
        <x:v>Two same-category candidates share the non-queried state axis; only the held-out state word identifies the target. The same-category candidates share the orthogonal C/O state (C).</x:v>
      </x:c>
      <x:c r="U34" s="5"/>
    </x:row>
    <x:row r="35" ht="51" customHeight="1">
      <x:c r="A35" s="13" t="str">
        <x:v>Not collected</x:v>
      </x:c>
      <x:c r="B35" s="14" t="n">
        <x:v>33</x:v>
      </x:c>
      <x:c r="C35" s="13" t="str">
        <x:v>Place a glass spice container in the bowl.</x:v>
      </x:c>
      <x:c r="D35" s="13" t="str">
        <x:v>glass spice container B (C, RU); white cup B (C, UD)</x:v>
      </x:c>
      <x:c r="E35" s="14" t="n">
        <x:v>32</x:v>
      </x:c>
      <x:c r="F35" s="14" t="n">
        <x:v>169</x:v>
      </x:c>
      <x:c r="G35" s="13" t="str">
        <x:v>Exact direct-category manipulation prompt from training episode 169. The transfer target, state, and pose are preserved; only the competing glass spice container is replaced by white cup B.</x:v>
      </x:c>
      <x:c r="H35" s="13" t="str">
        <x:v>glass spice container B</x:v>
      </x:c>
      <x:c r="I35" s="13"/>
      <x:c r="J35" s="15" t="str">
        <x:v>Matched manipulation control</x:v>
      </x:c>
      <x:c r="K35" s="14" t="str">
        <x:v>SR-CT04</x:v>
      </x:c>
      <x:c r="L35" s="14" t="str">
        <x:v>N/A</x:v>
      </x:c>
      <x:c r="M35" s="14" t="str">
        <x:v>glass spice container</x:v>
      </x:c>
      <x:c r="N35" s="14" t="n">
        <x:v>2</x:v>
      </x:c>
      <x:c r="O35" s="14" t="n">
        <x:v>1</x:v>
      </x:c>
      <x:c r="P35" s="14" t="str">
        <x:v>Empty</x:v>
      </x:c>
      <x:c r="Q35" s="13" t="str">
        <x:v>One-object-substitution direct-category control</x:v>
      </x:c>
      <x:c r="R35" s="14" t="n">
        <x:v>2</x:v>
      </x:c>
      <x:c r="S35" s="13" t="str">
        <x:v>Reset glass spice container B to its transfer pose. Replace glass spice container A with white cup B in the same location and use the states listed in this row; preserve all other objects.</x:v>
      </x:c>
      <x:c r="T35" s="13" t="str">
        <x:v>Pure recognition/manipulation control: the prompt uniquely names the only object from the target category, while the physical target remains identical to the transfer row.</x:v>
      </x:c>
      <x:c r="U35" s="13"/>
    </x:row>
    <x:row r="36" ht="51" customHeight="1">
      <x:c r="A36" s="16" t="str">
        <x:v>Not collected</x:v>
      </x:c>
      <x:c r="B36" s="17" t="n">
        <x:v>34</x:v>
      </x:c>
      <x:c r="C36" s="16" t="str">
        <x:v>Move the right-side-up glass spice container into the bowl.</x:v>
      </x:c>
      <x:c r="D36" s="16" t="str">
        <x:v>glass spice container B (C, RU); glass spice container A (C, UD)</x:v>
      </x:c>
      <x:c r="E36" s="17" t="n">
        <x:v>32</x:v>
      </x:c>
      <x:c r="F36" s="17" t="str">
        <x:v>169</x:v>
      </x:c>
      <x:c r="G36" s="16" t="str">
        <x:v>The canonical transfer scene and masked trajectory reference are unchanged; only the evaluation wording is paraphrased. This remains a language diagnostic and is not pooled into the primary 50.</x:v>
      </x:c>
      <x:c r="H36" s="16" t="str">
        <x:v>glass spice container B</x:v>
      </x:c>
      <x:c r="I36" s="16"/>
      <x:c r="J36" s="18" t="str">
        <x:v>Language robustness</x:v>
      </x:c>
      <x:c r="K36" s="17" t="str">
        <x:v>SR-CT04</x:v>
      </x:c>
      <x:c r="L36" s="17" t="str">
        <x:v>RU</x:v>
      </x:c>
      <x:c r="M36" s="17" t="str">
        <x:v>glass spice container</x:v>
      </x:c>
      <x:c r="N36" s="17" t="n">
        <x:v>2</x:v>
      </x:c>
      <x:c r="O36" s="17" t="n">
        <x:v>1</x:v>
      </x:c>
      <x:c r="P36" s="17" t="str">
        <x:v>Empty</x:v>
      </x:c>
      <x:c r="Q36" s="16" t="str">
        <x:v>Primary compositional-transfer prompt paraphrase</x:v>
      </x:c>
      <x:c r="R36" s="17" t="n">
        <x:v>2</x:v>
      </x:c>
      <x:c r="S36" s="16" t="str">
        <x:v>Reset the moved object exactly; preserve every object and state; change only the prompt wording.</x:v>
      </x:c>
      <x:c r="T36" s="16" t="str">
        <x:v>Exact-scene paraphrase of one of the 50 canonical compositional-transfer trials. The same-category candidates share the orthogonal C/O state (C). The scene is an exact copy of the referenced canonical row.</x:v>
      </x:c>
      <x:c r="U36" s="16"/>
    </x:row>
    <x:row r="37" ht="51" customHeight="1">
      <x:c r="A37" s="13" t="str">
        <x:v>Not collected</x:v>
      </x:c>
      <x:c r="B37" s="14" t="n">
        <x:v>35</x:v>
      </x:c>
      <x:c r="C37" s="13" t="str">
        <x:v>Move the glass spice container from the workspace into the bowl.</x:v>
      </x:c>
      <x:c r="D37" s="13" t="str">
        <x:v>glass spice container B (C, RU); white cup B (C, UD)</x:v>
      </x:c>
      <x:c r="E37" s="14" t="n">
        <x:v>33</x:v>
      </x:c>
      <x:c r="F37" s="14" t="n">
        <x:v>169</x:v>
      </x:c>
      <x:c r="G37" s="13" t="str">
        <x:v>Paraphrase of the direct-category matched control grounded by training episode 169. The modified control scene and physical target are unchanged.</x:v>
      </x:c>
      <x:c r="H37" s="13" t="str">
        <x:v>glass spice container B</x:v>
      </x:c>
      <x:c r="I37" s="13"/>
      <x:c r="J37" s="18" t="str">
        <x:v>Language robustness</x:v>
      </x:c>
      <x:c r="K37" s="14" t="str">
        <x:v>SR-CT04</x:v>
      </x:c>
      <x:c r="L37" s="14" t="str">
        <x:v>N/A</x:v>
      </x:c>
      <x:c r="M37" s="14" t="str">
        <x:v>glass spice container</x:v>
      </x:c>
      <x:c r="N37" s="14" t="n">
        <x:v>2</x:v>
      </x:c>
      <x:c r="O37" s="14" t="n">
        <x:v>1</x:v>
      </x:c>
      <x:c r="P37" s="14" t="str">
        <x:v>Empty</x:v>
      </x:c>
      <x:c r="Q37" s="13" t="str">
        <x:v>Direct-category matched-control paraphrase</x:v>
      </x:c>
      <x:c r="R37" s="14" t="n">
        <x:v>2</x:v>
      </x:c>
      <x:c r="S37" s="13" t="str">
        <x:v>Reset the target to its marked pose; preserve the exact modified control scene and change only the direct instruction wording.</x:v>
      </x:c>
      <x:c r="T37" s="13" t="str">
        <x:v>Language diagnostic for the pure manipulation control; no state word or state-based selection is required. The scene is an exact copy of the referenced canonical row.</x:v>
      </x:c>
      <x:c r="U37" s="13"/>
    </x:row>
    <x:row r="38" ht="51" customHeight="1">
      <x:c r="A38" s="5" t="str">
        <x:v>Not collected</x:v>
      </x:c>
      <x:c r="B38" s="4" t="n">
        <x:v>36</x:v>
      </x:c>
      <x:c r="C38" s="5" t="str">
        <x:v>Place the upside-down white cup in the bowl.</x:v>
      </x:c>
      <x:c r="D38" s="5" t="str">
        <x:v>white cup A (O, UD); white cup B (O, RU); brown cup A (C, RU)</x:v>
      </x:c>
      <x:c r="E38" s="4"/>
      <x:c r="F38" s="4" t="str">
        <x:v>30</x:v>
      </x:c>
      <x:c r="G38" s="5" t="str">
        <x:v>Physical-state and manipulation-trajectory reference under a direct category prompt; the evaluated state word × object-category cell is intentionally absent from training.</x:v>
      </x:c>
      <x:c r="H38" s="5" t="str">
        <x:v>white cup A</x:v>
      </x:c>
      <x:c r="I38" s="5"/>
      <x:c r="J38" s="12" t="str">
        <x:v>Concept/compositional transfer</x:v>
      </x:c>
      <x:c r="K38" s="4" t="str">
        <x:v>SR-CT05</x:v>
      </x:c>
      <x:c r="L38" s="4" t="str">
        <x:v>UD</x:v>
      </x:c>
      <x:c r="M38" s="4" t="str">
        <x:v>white cup</x:v>
      </x:c>
      <x:c r="N38" s="4" t="n">
        <x:v>3</x:v>
      </x:c>
      <x:c r="O38" s="4" t="n">
        <x:v>1</x:v>
      </x:c>
      <x:c r="P38" s="4" t="str">
        <x:v>Empty</x:v>
      </x:c>
      <x:c r="Q38" s="5" t="str">
        <x:v>Primary held-out state-object composition</x:v>
      </x:c>
      <x:c r="R38" s="4" t="n">
        <x:v>2</x:v>
      </x:c>
      <x:c r="S38" s="5" t="str">
        <x:v>Build the listed same-category discrimination scene with the bowl empty.</x:v>
      </x:c>
      <x:c r="T38" s="5" t="str">
        <x:v>Two same-category candidates share the non-queried state axis; only the held-out state word identifies the target. The same-category candidates share the orthogonal C/O state (O).</x:v>
      </x:c>
      <x:c r="U38" s="5"/>
    </x:row>
    <x:row r="39" ht="51" customHeight="1">
      <x:c r="A39" s="13" t="str">
        <x:v>Not collected</x:v>
      </x:c>
      <x:c r="B39" s="14" t="n">
        <x:v>37</x:v>
      </x:c>
      <x:c r="C39" s="13" t="str">
        <x:v>Move a white cup into the bowl.</x:v>
      </x:c>
      <x:c r="D39" s="13" t="str">
        <x:v>white cup A (O, UD); yellow-white striped cup A (O, RU); brown cup A (C, RU)</x:v>
      </x:c>
      <x:c r="E39" s="14" t="n">
        <x:v>36</x:v>
      </x:c>
      <x:c r="F39" s="14" t="n">
        <x:v>30</x:v>
      </x:c>
      <x:c r="G39" s="13" t="str">
        <x:v>Exact direct-category manipulation prompt from training episode 30. The transfer target, state, and pose are preserved; only the competing white cup is replaced by yellow-white striped cup A.</x:v>
      </x:c>
      <x:c r="H39" s="13" t="str">
        <x:v>white cup A</x:v>
      </x:c>
      <x:c r="I39" s="13"/>
      <x:c r="J39" s="15" t="str">
        <x:v>Matched manipulation control</x:v>
      </x:c>
      <x:c r="K39" s="14" t="str">
        <x:v>SR-CT05</x:v>
      </x:c>
      <x:c r="L39" s="14" t="str">
        <x:v>N/A</x:v>
      </x:c>
      <x:c r="M39" s="14" t="str">
        <x:v>white cup</x:v>
      </x:c>
      <x:c r="N39" s="14" t="n">
        <x:v>3</x:v>
      </x:c>
      <x:c r="O39" s="14" t="n">
        <x:v>1</x:v>
      </x:c>
      <x:c r="P39" s="14" t="str">
        <x:v>Empty</x:v>
      </x:c>
      <x:c r="Q39" s="13" t="str">
        <x:v>One-object-substitution direct-category control</x:v>
      </x:c>
      <x:c r="R39" s="14" t="n">
        <x:v>2</x:v>
      </x:c>
      <x:c r="S39" s="13" t="str">
        <x:v>Reset white cup A to its transfer pose. Replace white cup B with yellow-white striped cup A in the same location and use the states listed in this row; preserve all other objects.</x:v>
      </x:c>
      <x:c r="T39" s="13" t="str">
        <x:v>Pure recognition/manipulation control: the prompt uniquely names the only object from the target category, while the physical target remains identical to the transfer row.</x:v>
      </x:c>
      <x:c r="U39" s="13"/>
    </x:row>
    <x:row r="40" ht="51" customHeight="1">
      <x:c r="A40" s="16" t="str">
        <x:v>Not collected</x:v>
      </x:c>
      <x:c r="B40" s="17" t="n">
        <x:v>38</x:v>
      </x:c>
      <x:c r="C40" s="16" t="str">
        <x:v>Move the inverted white cup into the bowl.</x:v>
      </x:c>
      <x:c r="D40" s="16" t="str">
        <x:v>white cup A (O, UD); white cup B (O, RU); brown cup A (C, RU)</x:v>
      </x:c>
      <x:c r="E40" s="17" t="n">
        <x:v>36</x:v>
      </x:c>
      <x:c r="F40" s="17" t="str">
        <x:v>30</x:v>
      </x:c>
      <x:c r="G40" s="16" t="str">
        <x:v>The canonical transfer scene and masked trajectory reference are unchanged; only the evaluation wording is paraphrased. This remains a language diagnostic and is not pooled into the primary 50.</x:v>
      </x:c>
      <x:c r="H40" s="16" t="str">
        <x:v>white cup A</x:v>
      </x:c>
      <x:c r="I40" s="16"/>
      <x:c r="J40" s="18" t="str">
        <x:v>Language robustness</x:v>
      </x:c>
      <x:c r="K40" s="17" t="str">
        <x:v>SR-CT05</x:v>
      </x:c>
      <x:c r="L40" s="17" t="str">
        <x:v>UD</x:v>
      </x:c>
      <x:c r="M40" s="17" t="str">
        <x:v>white cup</x:v>
      </x:c>
      <x:c r="N40" s="17" t="n">
        <x:v>3</x:v>
      </x:c>
      <x:c r="O40" s="17" t="n">
        <x:v>1</x:v>
      </x:c>
      <x:c r="P40" s="17" t="str">
        <x:v>Empty</x:v>
      </x:c>
      <x:c r="Q40" s="16" t="str">
        <x:v>Primary compositional-transfer prompt paraphrase</x:v>
      </x:c>
      <x:c r="R40" s="17" t="n">
        <x:v>2</x:v>
      </x:c>
      <x:c r="S40" s="16" t="str">
        <x:v>Reset the moved object exactly; preserve every object and state; change only the prompt wording.</x:v>
      </x:c>
      <x:c r="T40" s="16" t="str">
        <x:v>Exact-scene paraphrase of one of the 50 canonical compositional-transfer trials. The same-category candidates share the orthogonal C/O state (O). The scene is an exact copy of the referenced canonical row.</x:v>
      </x:c>
      <x:c r="U40" s="16"/>
    </x:row>
    <x:row r="41" ht="51" customHeight="1">
      <x:c r="A41" s="13" t="str">
        <x:v>Not collected</x:v>
      </x:c>
      <x:c r="B41" s="14" t="n">
        <x:v>39</x:v>
      </x:c>
      <x:c r="C41" s="13" t="str">
        <x:v>Set the white cup inside the bowl.</x:v>
      </x:c>
      <x:c r="D41" s="13" t="str">
        <x:v>white cup A (O, UD); yellow-white striped cup A (O, RU); brown cup A (C, RU)</x:v>
      </x:c>
      <x:c r="E41" s="14" t="n">
        <x:v>37</x:v>
      </x:c>
      <x:c r="F41" s="14" t="n">
        <x:v>30</x:v>
      </x:c>
      <x:c r="G41" s="13" t="str">
        <x:v>Paraphrase of the direct-category matched control grounded by training episode 30. The modified control scene and physical target are unchanged.</x:v>
      </x:c>
      <x:c r="H41" s="13" t="str">
        <x:v>white cup A</x:v>
      </x:c>
      <x:c r="I41" s="13"/>
      <x:c r="J41" s="18" t="str">
        <x:v>Language robustness</x:v>
      </x:c>
      <x:c r="K41" s="14" t="str">
        <x:v>SR-CT05</x:v>
      </x:c>
      <x:c r="L41" s="14" t="str">
        <x:v>N/A</x:v>
      </x:c>
      <x:c r="M41" s="14" t="str">
        <x:v>white cup</x:v>
      </x:c>
      <x:c r="N41" s="14" t="n">
        <x:v>3</x:v>
      </x:c>
      <x:c r="O41" s="14" t="n">
        <x:v>1</x:v>
      </x:c>
      <x:c r="P41" s="14" t="str">
        <x:v>Empty</x:v>
      </x:c>
      <x:c r="Q41" s="13" t="str">
        <x:v>Direct-category matched-control paraphrase</x:v>
      </x:c>
      <x:c r="R41" s="14" t="n">
        <x:v>2</x:v>
      </x:c>
      <x:c r="S41" s="13" t="str">
        <x:v>Reset the target to its marked pose; preserve the exact modified control scene and change only the direct instruction wording.</x:v>
      </x:c>
      <x:c r="T41" s="13" t="str">
        <x:v>Language diagnostic for the pure manipulation control; no state word or state-based selection is required. The scene is an exact copy of the referenced canonical row.</x:v>
      </x:c>
      <x:c r="U41" s="13"/>
    </x:row>
    <x:row r="42" ht="51" customHeight="1">
      <x:c r="A42" s="5" t="str">
        <x:v>Not collected</x:v>
      </x:c>
      <x:c r="B42" s="4" t="n">
        <x:v>40</x:v>
      </x:c>
      <x:c r="C42" s="5" t="str">
        <x:v>Place the open yellow-white striped cup in the bowl.</x:v>
      </x:c>
      <x:c r="D42" s="5" t="str">
        <x:v>yellow-white striped cup B (O, RU); yellow-white striped cup A (C, RU); glass spice container B (O, RU); white cup A (C, RU)</x:v>
      </x:c>
      <x:c r="E42" s="4"/>
      <x:c r="F42" s="4" t="str">
        <x:v>53</x:v>
      </x:c>
      <x:c r="G42"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42" s="5" t="str">
        <x:v>yellow-white striped cup B</x:v>
      </x:c>
      <x:c r="I42" s="5"/>
      <x:c r="J42" s="12" t="str">
        <x:v>Concept/compositional transfer</x:v>
      </x:c>
      <x:c r="K42" s="4" t="str">
        <x:v>SR-CT06</x:v>
      </x:c>
      <x:c r="L42" s="4" t="str">
        <x:v>O</x:v>
      </x:c>
      <x:c r="M42" s="4" t="str">
        <x:v>yellow-white striped cup</x:v>
      </x:c>
      <x:c r="N42" s="4" t="n">
        <x:v>4</x:v>
      </x:c>
      <x:c r="O42" s="4" t="n">
        <x:v>1</x:v>
      </x:c>
      <x:c r="P42" s="4" t="str">
        <x:v>Empty</x:v>
      </x:c>
      <x:c r="Q42" s="5" t="str">
        <x:v>Primary held-out state-object composition</x:v>
      </x:c>
      <x:c r="R42" s="4" t="n">
        <x:v>2</x:v>
      </x:c>
      <x:c r="S42" s="5" t="str">
        <x:v>Build the listed same-category discrimination scene with the bowl empty.</x:v>
      </x:c>
      <x:c r="T42" s="5" t="str">
        <x:v>Two same-category candidates share the non-queried state axis; only the held-out state word identifies the target. The orthogonal orientation axis is fixed: every object is RU.</x:v>
      </x:c>
      <x:c r="U42" s="5"/>
    </x:row>
    <x:row r="43" ht="51" customHeight="1">
      <x:c r="A43" s="13" t="str">
        <x:v>Not collected</x:v>
      </x:c>
      <x:c r="B43" s="14" t="n">
        <x:v>41</x:v>
      </x:c>
      <x:c r="C43" s="13" t="str">
        <x:v>Put a yellow-white striped cup in the bowl.</x:v>
      </x:c>
      <x:c r="D43" s="13" t="str">
        <x:v>yellow-white striped cup B (O, RU); brown cup B (C, RU); glass spice container B (O, RU); white cup A (C, RU)</x:v>
      </x:c>
      <x:c r="E43" s="14" t="n">
        <x:v>40</x:v>
      </x:c>
      <x:c r="F43" s="14" t="n">
        <x:v>53</x:v>
      </x:c>
      <x:c r="G43" s="13" t="str">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H43" s="13" t="str">
        <x:v>yellow-white striped cup B</x:v>
      </x:c>
      <x:c r="I43" s="13"/>
      <x:c r="J43" s="15" t="str">
        <x:v>Matched manipulation control</x:v>
      </x:c>
      <x:c r="K43" s="14" t="str">
        <x:v>SR-CT06</x:v>
      </x:c>
      <x:c r="L43" s="14" t="str">
        <x:v>N/A</x:v>
      </x:c>
      <x:c r="M43" s="14" t="str">
        <x:v>yellow-white striped cup</x:v>
      </x:c>
      <x:c r="N43" s="14" t="n">
        <x:v>4</x:v>
      </x:c>
      <x:c r="O43" s="14" t="n">
        <x:v>1</x:v>
      </x:c>
      <x:c r="P43" s="14" t="str">
        <x:v>Empty</x:v>
      </x:c>
      <x:c r="Q43" s="13" t="str">
        <x:v>One-object-substitution direct-category control</x:v>
      </x:c>
      <x:c r="R43" s="14" t="n">
        <x:v>2</x:v>
      </x:c>
      <x:c r="S43" s="13" t="str">
        <x:v>Reset yellow-white striped cup B to its transfer pose. Replace yellow-white striped cup A with brown cup B in the same location and use the states listed in this row; preserve all other objects.</x:v>
      </x:c>
      <x:c r="T43" s="13" t="str">
        <x:v>Pure recognition/manipulation control: the prompt uniquely names the only object from the target category, while the physical target remains identical to the transfer row. Every object is RU.</x:v>
      </x:c>
      <x:c r="U43" s="13"/>
    </x:row>
    <x:row r="44" ht="51" customHeight="1">
      <x:c r="A44" s="16" t="str">
        <x:v>Not collected</x:v>
      </x:c>
      <x:c r="B44" s="17" t="n">
        <x:v>42</x:v>
      </x:c>
      <x:c r="C44" s="16" t="str">
        <x:v>Move the yellow-white striped cup whose opening is uncovered into the bowl.</x:v>
      </x:c>
      <x:c r="D44" s="16" t="str">
        <x:v>yellow-white striped cup B (O, RU); yellow-white striped cup A (C, RU); glass spice container B (O, RU); white cup A (C, RU)</x:v>
      </x:c>
      <x:c r="E44" s="17" t="n">
        <x:v>40</x:v>
      </x:c>
      <x:c r="F44" s="17" t="str">
        <x:v>53</x:v>
      </x:c>
      <x:c r="G44" s="16"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4" s="16" t="str">
        <x:v>yellow-white striped cup B</x:v>
      </x:c>
      <x:c r="I44" s="16"/>
      <x:c r="J44" s="18" t="str">
        <x:v>Language robustness</x:v>
      </x:c>
      <x:c r="K44" s="17" t="str">
        <x:v>SR-CT06</x:v>
      </x:c>
      <x:c r="L44" s="17" t="str">
        <x:v>O</x:v>
      </x:c>
      <x:c r="M44" s="17" t="str">
        <x:v>yellow-white striped cup</x:v>
      </x:c>
      <x:c r="N44" s="17" t="n">
        <x:v>4</x:v>
      </x:c>
      <x:c r="O44" s="17" t="n">
        <x:v>1</x:v>
      </x:c>
      <x:c r="P44" s="17" t="str">
        <x:v>Empty</x:v>
      </x:c>
      <x:c r="Q44" s="16" t="str">
        <x:v>Primary compositional-transfer prompt paraphrase</x:v>
      </x:c>
      <x:c r="R44" s="17" t="n">
        <x:v>2</x:v>
      </x:c>
      <x:c r="S44" s="16" t="str">
        <x:v>Reset the moved object exactly; preserve every object and state; change only the prompt wording.</x:v>
      </x:c>
      <x:c r="T44" s="16" t="str">
        <x:v>Exact-scene paraphrase of one of the 50 canonical compositional-transfer trials. The orthogonal orientation axis is fixed: every object is RU. The scene is an exact copy of the referenced canonical row.</x:v>
      </x:c>
      <x:c r="U44" s="16"/>
    </x:row>
    <x:row r="45" ht="51" customHeight="1">
      <x:c r="A45" s="13" t="str">
        <x:v>Not collected</x:v>
      </x:c>
      <x:c r="B45" s="14" t="n">
        <x:v>43</x:v>
      </x:c>
      <x:c r="C45" s="13" t="str">
        <x:v>Transfer the yellow-white striped cup from the table into the bowl.</x:v>
      </x:c>
      <x:c r="D45" s="13" t="str">
        <x:v>yellow-white striped cup B (O, RU); brown cup B (C, RU); glass spice container B (O, RU); white cup A (C, RU)</x:v>
      </x:c>
      <x:c r="E45" s="14" t="n">
        <x:v>41</x:v>
      </x:c>
      <x:c r="F45" s="14" t="n">
        <x:v>53</x:v>
      </x:c>
      <x:c r="G45" s="13" t="str">
        <x:v>Paraphrase of the direct-category matched control grounded by training episode 53. The modified control scene and physical target are unchanged.</x:v>
      </x:c>
      <x:c r="H45" s="13" t="str">
        <x:v>yellow-white striped cup B</x:v>
      </x:c>
      <x:c r="I45" s="13"/>
      <x:c r="J45" s="18" t="str">
        <x:v>Language robustness</x:v>
      </x:c>
      <x:c r="K45" s="14" t="str">
        <x:v>SR-CT06</x:v>
      </x:c>
      <x:c r="L45" s="14" t="str">
        <x:v>N/A</x:v>
      </x:c>
      <x:c r="M45" s="14" t="str">
        <x:v>yellow-white striped cup</x:v>
      </x:c>
      <x:c r="N45" s="14" t="n">
        <x:v>4</x:v>
      </x:c>
      <x:c r="O45" s="14" t="n">
        <x:v>1</x:v>
      </x:c>
      <x:c r="P45" s="14" t="str">
        <x:v>Empty</x:v>
      </x:c>
      <x:c r="Q45" s="13" t="str">
        <x:v>Direct-category matched-control paraphrase</x:v>
      </x:c>
      <x:c r="R45" s="14" t="n">
        <x:v>2</x:v>
      </x:c>
      <x:c r="S45" s="13" t="str">
        <x:v>Reset the target to its marked pose; preserve the exact modified control scene and change only the direct instruction wording.</x:v>
      </x:c>
      <x:c r="T45" s="13" t="str">
        <x:v>Language diagnostic for the pure manipulation control; no state word or state-based selection is required. The scene is an exact copy of the referenced canonical row.</x:v>
      </x:c>
      <x:c r="U45" s="13"/>
    </x:row>
    <x:row r="46" ht="51" customHeight="1">
      <x:c r="A46" s="5" t="str">
        <x:v>Not collected</x:v>
      </x:c>
      <x:c r="B46" s="4" t="n">
        <x:v>44</x:v>
      </x:c>
      <x:c r="C46" s="5" t="str">
        <x:v>Place the closed brown cup in the bowl.</x:v>
      </x:c>
      <x:c r="D46" s="5" t="str">
        <x:v>brown cup A (C, RU); brown cup B (O, RU)</x:v>
      </x:c>
      <x:c r="E46" s="4"/>
      <x:c r="F46" s="4" t="str">
        <x:v>107</x:v>
      </x:c>
      <x:c r="G46"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46" s="5" t="str">
        <x:v>brown cup A</x:v>
      </x:c>
      <x:c r="I46" s="5"/>
      <x:c r="J46" s="12" t="str">
        <x:v>Concept/compositional transfer</x:v>
      </x:c>
      <x:c r="K46" s="4" t="str">
        <x:v>SR-CT07</x:v>
      </x:c>
      <x:c r="L46" s="4" t="str">
        <x:v>C</x:v>
      </x:c>
      <x:c r="M46" s="4" t="str">
        <x:v>brown cup</x:v>
      </x:c>
      <x:c r="N46" s="4" t="n">
        <x:v>2</x:v>
      </x:c>
      <x:c r="O46" s="4" t="n">
        <x:v>1</x:v>
      </x:c>
      <x:c r="P46" s="4" t="str">
        <x:v>Empty</x:v>
      </x:c>
      <x:c r="Q46" s="5" t="str">
        <x:v>Primary held-out state-object composition</x:v>
      </x:c>
      <x:c r="R46" s="4" t="n">
        <x:v>2</x:v>
      </x:c>
      <x:c r="S46" s="5" t="str">
        <x:v>Build the listed same-category discrimination scene with the bowl empty.</x:v>
      </x:c>
      <x:c r="T46" s="5" t="str">
        <x:v>Two same-category candidates share the non-queried state axis; only the held-out state word identifies the target. The orthogonal orientation axis is fixed: every object is RU.</x:v>
      </x:c>
      <x:c r="U46" s="5"/>
    </x:row>
    <x:row r="47" ht="51" customHeight="1">
      <x:c r="A47" s="13" t="str">
        <x:v>Not collected</x:v>
      </x:c>
      <x:c r="B47" s="14" t="n">
        <x:v>45</x:v>
      </x:c>
      <x:c r="C47" s="13" t="str">
        <x:v>Put a brown cup in the bowl.</x:v>
      </x:c>
      <x:c r="D47" s="13" t="str">
        <x:v>brown cup A (C, RU); white cup A (O, RU)</x:v>
      </x:c>
      <x:c r="E47" s="14" t="n">
        <x:v>44</x:v>
      </x:c>
      <x:c r="F47" s="14" t="n">
        <x:v>107</x:v>
      </x:c>
      <x:c r="G47" s="13" t="str">
        <x:v>Exact direct-category manipulation prompt from training episode 107. The transfer target, state, and pose are preserved; only the competing brown cup is replaced by white cup A. The full control scene is upright because its paired transfer instruction queries open/closed.</x:v>
      </x:c>
      <x:c r="H47" s="13" t="str">
        <x:v>brown cup A</x:v>
      </x:c>
      <x:c r="I47" s="13"/>
      <x:c r="J47" s="15" t="str">
        <x:v>Matched manipulation control</x:v>
      </x:c>
      <x:c r="K47" s="14" t="str">
        <x:v>SR-CT07</x:v>
      </x:c>
      <x:c r="L47" s="14" t="str">
        <x:v>N/A</x:v>
      </x:c>
      <x:c r="M47" s="14" t="str">
        <x:v>brown cup</x:v>
      </x:c>
      <x:c r="N47" s="14" t="n">
        <x:v>2</x:v>
      </x:c>
      <x:c r="O47" s="14" t="n">
        <x:v>1</x:v>
      </x:c>
      <x:c r="P47" s="14" t="str">
        <x:v>Empty</x:v>
      </x:c>
      <x:c r="Q47" s="13" t="str">
        <x:v>One-object-substitution direct-category control</x:v>
      </x:c>
      <x:c r="R47" s="14" t="n">
        <x:v>2</x:v>
      </x:c>
      <x:c r="S47" s="13" t="str">
        <x:v>Reset brown cup A to its transfer pose. Replace brown cup B with white cup A in the same location and use the states listed in this row; preserve all other objects.</x:v>
      </x:c>
      <x:c r="T47" s="13" t="str">
        <x:v>Pure recognition/manipulation control: the prompt uniquely names the only object from the target category, while the physical target remains identical to the transfer row. Every object is RU.</x:v>
      </x:c>
      <x:c r="U47" s="13"/>
    </x:row>
    <x:row r="48" ht="51" customHeight="1">
      <x:c r="A48" s="16" t="str">
        <x:v>Not collected</x:v>
      </x:c>
      <x:c r="B48" s="17" t="n">
        <x:v>46</x:v>
      </x:c>
      <x:c r="C48" s="16" t="str">
        <x:v>Move the brown cup whose opening is covered into the bowl.</x:v>
      </x:c>
      <x:c r="D48" s="16" t="str">
        <x:v>brown cup A (C, RU); brown cup B (O, RU)</x:v>
      </x:c>
      <x:c r="E48" s="17" t="n">
        <x:v>44</x:v>
      </x:c>
      <x:c r="F48" s="17" t="str">
        <x:v>107</x:v>
      </x:c>
      <x:c r="G48" s="16"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8" s="16" t="str">
        <x:v>brown cup A</x:v>
      </x:c>
      <x:c r="I48" s="16"/>
      <x:c r="J48" s="18" t="str">
        <x:v>Language robustness</x:v>
      </x:c>
      <x:c r="K48" s="17" t="str">
        <x:v>SR-CT07</x:v>
      </x:c>
      <x:c r="L48" s="17" t="str">
        <x:v>C</x:v>
      </x:c>
      <x:c r="M48" s="17" t="str">
        <x:v>brown cup</x:v>
      </x:c>
      <x:c r="N48" s="17" t="n">
        <x:v>2</x:v>
      </x:c>
      <x:c r="O48" s="17" t="n">
        <x:v>1</x:v>
      </x:c>
      <x:c r="P48" s="17" t="str">
        <x:v>Empty</x:v>
      </x:c>
      <x:c r="Q48" s="16" t="str">
        <x:v>Primary compositional-transfer prompt paraphrase</x:v>
      </x:c>
      <x:c r="R48" s="17" t="n">
        <x:v>2</x:v>
      </x:c>
      <x:c r="S48" s="16" t="str">
        <x:v>Reset the moved object exactly; preserve every object and state; change only the prompt wording.</x:v>
      </x:c>
      <x:c r="T48" s="16" t="str">
        <x:v>Exact-scene paraphrase of one of the 50 canonical compositional-transfer trials. The orthogonal orientation axis is fixed: every object is RU. The scene is an exact copy of the referenced canonical row.</x:v>
      </x:c>
      <x:c r="U48" s="16"/>
    </x:row>
    <x:row r="49" ht="51" customHeight="1">
      <x:c r="A49" s="13" t="str">
        <x:v>Not collected</x:v>
      </x:c>
      <x:c r="B49" s="14" t="n">
        <x:v>47</x:v>
      </x:c>
      <x:c r="C49" s="13" t="str">
        <x:v>Lift the brown cup and set it inside the bowl.</x:v>
      </x:c>
      <x:c r="D49" s="13" t="str">
        <x:v>brown cup A (C, RU); white cup A (O, RU)</x:v>
      </x:c>
      <x:c r="E49" s="14" t="n">
        <x:v>45</x:v>
      </x:c>
      <x:c r="F49" s="14" t="n">
        <x:v>107</x:v>
      </x:c>
      <x:c r="G49" s="13" t="str">
        <x:v>Paraphrase of the direct-category matched control grounded by training episode 107. The modified control scene and physical target are unchanged.</x:v>
      </x:c>
      <x:c r="H49" s="13" t="str">
        <x:v>brown cup A</x:v>
      </x:c>
      <x:c r="I49" s="13"/>
      <x:c r="J49" s="18" t="str">
        <x:v>Language robustness</x:v>
      </x:c>
      <x:c r="K49" s="14" t="str">
        <x:v>SR-CT07</x:v>
      </x:c>
      <x:c r="L49" s="14" t="str">
        <x:v>N/A</x:v>
      </x:c>
      <x:c r="M49" s="14" t="str">
        <x:v>brown cup</x:v>
      </x:c>
      <x:c r="N49" s="14" t="n">
        <x:v>2</x:v>
      </x:c>
      <x:c r="O49" s="14" t="n">
        <x:v>1</x:v>
      </x:c>
      <x:c r="P49" s="14" t="str">
        <x:v>Empty</x:v>
      </x:c>
      <x:c r="Q49" s="13" t="str">
        <x:v>Direct-category matched-control paraphrase</x:v>
      </x:c>
      <x:c r="R49" s="14" t="n">
        <x:v>2</x:v>
      </x:c>
      <x:c r="S49" s="13" t="str">
        <x:v>Reset the target to its marked pose; preserve the exact modified control scene and change only the direct instruction wording.</x:v>
      </x:c>
      <x:c r="T49" s="13" t="str">
        <x:v>Language diagnostic for the pure manipulation control; no state word or state-based selection is required. The scene is an exact copy of the referenced canonical row.</x:v>
      </x:c>
      <x:c r="U49" s="13"/>
    </x:row>
    <x:row r="50" ht="51" customHeight="1">
      <x:c r="A50" s="5" t="str">
        <x:v>Not collected</x:v>
      </x:c>
      <x:c r="B50" s="4" t="n">
        <x:v>48</x:v>
      </x:c>
      <x:c r="C50" s="5" t="str">
        <x:v>Place the upright glass spice container in the bowl.</x:v>
      </x:c>
      <x:c r="D50" s="5" t="str">
        <x:v>glass spice container B (O, RU); glass spice container A (O, UD); yellow-white striped cup B (O, UD)</x:v>
      </x:c>
      <x:c r="E50" s="4"/>
      <x:c r="F50" s="4" t="str">
        <x:v>153</x:v>
      </x:c>
      <x:c r="G50" s="5" t="str">
        <x:v>Physical-state and manipulation-trajectory reference under a direct category prompt; the evaluated state word × object-category cell is intentionally absent from training.</x:v>
      </x:c>
      <x:c r="H50" s="5" t="str">
        <x:v>glass spice container B</x:v>
      </x:c>
      <x:c r="I50" s="5"/>
      <x:c r="J50" s="12" t="str">
        <x:v>Concept/compositional transfer</x:v>
      </x:c>
      <x:c r="K50" s="4" t="str">
        <x:v>SR-CT08</x:v>
      </x:c>
      <x:c r="L50" s="4" t="str">
        <x:v>RU</x:v>
      </x:c>
      <x:c r="M50" s="4" t="str">
        <x:v>glass spice container</x:v>
      </x:c>
      <x:c r="N50" s="4" t="n">
        <x:v>3</x:v>
      </x:c>
      <x:c r="O50" s="4" t="n">
        <x:v>1</x:v>
      </x:c>
      <x:c r="P50" s="4" t="str">
        <x:v>Empty</x:v>
      </x:c>
      <x:c r="Q50" s="5" t="str">
        <x:v>Primary held-out state-object composition</x:v>
      </x:c>
      <x:c r="R50" s="4" t="n">
        <x:v>2</x:v>
      </x:c>
      <x:c r="S50" s="5" t="str">
        <x:v>Build the listed same-category discrimination scene with the bowl empty.</x:v>
      </x:c>
      <x:c r="T50" s="5" t="str">
        <x:v>Two same-category candidates share the non-queried state axis; only the held-out state word identifies the target. The same-category candidates share the orthogonal C/O state (O).</x:v>
      </x:c>
      <x:c r="U50" s="5"/>
    </x:row>
    <x:row r="51" ht="51" customHeight="1">
      <x:c r="A51" s="13" t="str">
        <x:v>Not collected</x:v>
      </x:c>
      <x:c r="B51" s="14" t="n">
        <x:v>49</x:v>
      </x:c>
      <x:c r="C51" s="13" t="str">
        <x:v>Move a glass spice container into the bowl.</x:v>
      </x:c>
      <x:c r="D51" s="13" t="str">
        <x:v>glass spice container B (O, RU); brown cup B (O, UD); yellow-white striped cup B (O, UD)</x:v>
      </x:c>
      <x:c r="E51" s="14" t="n">
        <x:v>48</x:v>
      </x:c>
      <x:c r="F51" s="14" t="n">
        <x:v>153</x:v>
      </x:c>
      <x:c r="G51" s="13" t="str">
        <x:v>Exact direct-category manipulation prompt from training episode 153. The transfer target, state, and pose are preserved; only the competing glass spice container is replaced by brown cup B.</x:v>
      </x:c>
      <x:c r="H51" s="13" t="str">
        <x:v>glass spice container B</x:v>
      </x:c>
      <x:c r="I51" s="13"/>
      <x:c r="J51" s="15" t="str">
        <x:v>Matched manipulation control</x:v>
      </x:c>
      <x:c r="K51" s="14" t="str">
        <x:v>SR-CT08</x:v>
      </x:c>
      <x:c r="L51" s="14" t="str">
        <x:v>N/A</x:v>
      </x:c>
      <x:c r="M51" s="14" t="str">
        <x:v>glass spice container</x:v>
      </x:c>
      <x:c r="N51" s="14" t="n">
        <x:v>3</x:v>
      </x:c>
      <x:c r="O51" s="14" t="n">
        <x:v>1</x:v>
      </x:c>
      <x:c r="P51" s="14" t="str">
        <x:v>Empty</x:v>
      </x:c>
      <x:c r="Q51" s="13" t="str">
        <x:v>One-object-substitution direct-category control</x:v>
      </x:c>
      <x:c r="R51" s="14" t="n">
        <x:v>2</x:v>
      </x:c>
      <x:c r="S51" s="13" t="str">
        <x:v>Reset glass spice container B to its transfer pose. Replace glass spice container A with brown cup B in the same location and use the states listed in this row; preserve all other objects.</x:v>
      </x:c>
      <x:c r="T51" s="13" t="str">
        <x:v>Pure recognition/manipulation control: the prompt uniquely names the only object from the target category, while the physical target remains identical to the transfer row.</x:v>
      </x:c>
      <x:c r="U51" s="13"/>
    </x:row>
    <x:row r="52" ht="51" customHeight="1">
      <x:c r="A52" s="16" t="str">
        <x:v>Not collected</x:v>
      </x:c>
      <x:c r="B52" s="17" t="n">
        <x:v>50</x:v>
      </x:c>
      <x:c r="C52" s="16" t="str">
        <x:v>Move the right-side-up glass spice container into the bowl.</x:v>
      </x:c>
      <x:c r="D52" s="16" t="str">
        <x:v>glass spice container B (O, RU); glass spice container A (O, UD); yellow-white striped cup B (O, UD)</x:v>
      </x:c>
      <x:c r="E52" s="17" t="n">
        <x:v>48</x:v>
      </x:c>
      <x:c r="F52" s="17" t="str">
        <x:v>153</x:v>
      </x:c>
      <x:c r="G52" s="16" t="str">
        <x:v>The canonical transfer scene and masked trajectory reference are unchanged; only the evaluation wording is paraphrased. This remains a language diagnostic and is not pooled into the primary 50.</x:v>
      </x:c>
      <x:c r="H52" s="16" t="str">
        <x:v>glass spice container B</x:v>
      </x:c>
      <x:c r="I52" s="16"/>
      <x:c r="J52" s="18" t="str">
        <x:v>Language robustness</x:v>
      </x:c>
      <x:c r="K52" s="17" t="str">
        <x:v>SR-CT08</x:v>
      </x:c>
      <x:c r="L52" s="17" t="str">
        <x:v>RU</x:v>
      </x:c>
      <x:c r="M52" s="17" t="str">
        <x:v>glass spice container</x:v>
      </x:c>
      <x:c r="N52" s="17" t="n">
        <x:v>3</x:v>
      </x:c>
      <x:c r="O52" s="17" t="n">
        <x:v>1</x:v>
      </x:c>
      <x:c r="P52" s="17" t="str">
        <x:v>Empty</x:v>
      </x:c>
      <x:c r="Q52" s="16" t="str">
        <x:v>Primary compositional-transfer prompt paraphrase</x:v>
      </x:c>
      <x:c r="R52" s="17" t="n">
        <x:v>2</x:v>
      </x:c>
      <x:c r="S52" s="16" t="str">
        <x:v>Reset the moved object exactly; preserve every object and state; change only the prompt wording.</x:v>
      </x:c>
      <x:c r="T52" s="16" t="str">
        <x:v>Exact-scene paraphrase of one of the 50 canonical compositional-transfer trials. The same-category candidates share the orthogonal C/O state (O). The scene is an exact copy of the referenced canonical row.</x:v>
      </x:c>
      <x:c r="U52" s="16"/>
    </x:row>
    <x:row r="53" ht="51" customHeight="1">
      <x:c r="A53" s="13" t="str">
        <x:v>Not collected</x:v>
      </x:c>
      <x:c r="B53" s="14" t="n">
        <x:v>51</x:v>
      </x:c>
      <x:c r="C53" s="13" t="str">
        <x:v>Take the glass spice container off the table and place it in the bowl.</x:v>
      </x:c>
      <x:c r="D53" s="13" t="str">
        <x:v>glass spice container B (O, RU); brown cup B (O, UD); yellow-white striped cup B (O, UD)</x:v>
      </x:c>
      <x:c r="E53" s="14" t="n">
        <x:v>49</x:v>
      </x:c>
      <x:c r="F53" s="14" t="n">
        <x:v>153</x:v>
      </x:c>
      <x:c r="G53" s="13" t="str">
        <x:v>Paraphrase of the direct-category matched control grounded by training episode 153. The modified control scene and physical target are unchanged.</x:v>
      </x:c>
      <x:c r="H53" s="13" t="str">
        <x:v>glass spice container B</x:v>
      </x:c>
      <x:c r="I53" s="13"/>
      <x:c r="J53" s="18" t="str">
        <x:v>Language robustness</x:v>
      </x:c>
      <x:c r="K53" s="14" t="str">
        <x:v>SR-CT08</x:v>
      </x:c>
      <x:c r="L53" s="14" t="str">
        <x:v>N/A</x:v>
      </x:c>
      <x:c r="M53" s="14" t="str">
        <x:v>glass spice container</x:v>
      </x:c>
      <x:c r="N53" s="14" t="n">
        <x:v>3</x:v>
      </x:c>
      <x:c r="O53" s="14" t="n">
        <x:v>1</x:v>
      </x:c>
      <x:c r="P53" s="14" t="str">
        <x:v>Empty</x:v>
      </x:c>
      <x:c r="Q53" s="13" t="str">
        <x:v>Direct-category matched-control paraphrase</x:v>
      </x:c>
      <x:c r="R53" s="14" t="n">
        <x:v>2</x:v>
      </x:c>
      <x:c r="S53" s="13" t="str">
        <x:v>Reset the target to its marked pose; preserve the exact modified control scene and change only the direct instruction wording.</x:v>
      </x:c>
      <x:c r="T53" s="13" t="str">
        <x:v>Language diagnostic for the pure manipulation control; no state word or state-based selection is required. The scene is an exact copy of the referenced canonical row.</x:v>
      </x:c>
      <x:c r="U53" s="13"/>
    </x:row>
    <x:row r="54" ht="51" customHeight="1">
      <x:c r="A54" s="5" t="str">
        <x:v>Not collected</x:v>
      </x:c>
      <x:c r="B54" s="4" t="n">
        <x:v>52</x:v>
      </x:c>
      <x:c r="C54" s="5" t="str">
        <x:v>Place the upside-down white cup in the bowl.</x:v>
      </x:c>
      <x:c r="D54" s="5" t="str">
        <x:v>white cup A (C, UD); white cup B (C, RU); glass spice container A (C, RU); yellow-white striped cup B (O, RU)</x:v>
      </x:c>
      <x:c r="E54" s="4"/>
      <x:c r="F54" s="4" t="str">
        <x:v>39</x:v>
      </x:c>
      <x:c r="G54" s="5" t="str">
        <x:v>Physical-state and manipulation-trajectory reference under a direct category prompt; the evaluated state word × object-category cell is intentionally absent from training.</x:v>
      </x:c>
      <x:c r="H54" s="5" t="str">
        <x:v>white cup A</x:v>
      </x:c>
      <x:c r="I54" s="5"/>
      <x:c r="J54" s="12" t="str">
        <x:v>Concept/compositional transfer</x:v>
      </x:c>
      <x:c r="K54" s="4" t="str">
        <x:v>SR-CT09</x:v>
      </x:c>
      <x:c r="L54" s="4" t="str">
        <x:v>UD</x:v>
      </x:c>
      <x:c r="M54" s="4" t="str">
        <x:v>white cup</x:v>
      </x:c>
      <x:c r="N54" s="4" t="n">
        <x:v>4</x:v>
      </x:c>
      <x:c r="O54" s="4" t="n">
        <x:v>1</x:v>
      </x:c>
      <x:c r="P54" s="4" t="str">
        <x:v>Empty</x:v>
      </x:c>
      <x:c r="Q54" s="5" t="str">
        <x:v>Primary held-out state-object composition</x:v>
      </x:c>
      <x:c r="R54" s="4" t="n">
        <x:v>2</x:v>
      </x:c>
      <x:c r="S54" s="5" t="str">
        <x:v>Build the listed same-category discrimination scene with the bowl empty.</x:v>
      </x:c>
      <x:c r="T54" s="5" t="str">
        <x:v>Two same-category candidates share the non-queried state axis; only the held-out state word identifies the target. The same-category candidates share the orthogonal C/O state (C).</x:v>
      </x:c>
      <x:c r="U54" s="5"/>
    </x:row>
    <x:row r="55" ht="51" customHeight="1">
      <x:c r="A55" s="13" t="str">
        <x:v>Not collected</x:v>
      </x:c>
      <x:c r="B55" s="14" t="n">
        <x:v>53</x:v>
      </x:c>
      <x:c r="C55" s="13" t="str">
        <x:v>Move a white cup into the bowl.</x:v>
      </x:c>
      <x:c r="D55" s="13" t="str">
        <x:v>white cup A (C, UD); brown cup A (C, RU); glass spice container A (C, RU); yellow-white striped cup B (O, RU)</x:v>
      </x:c>
      <x:c r="E55" s="14" t="n">
        <x:v>52</x:v>
      </x:c>
      <x:c r="F55" s="14" t="n">
        <x:v>39</x:v>
      </x:c>
      <x:c r="G55" s="13" t="str">
        <x:v>Exact direct-category manipulation prompt from training episode 39. The transfer target, state, and pose are preserved; only the competing white cup is replaced by brown cup A.</x:v>
      </x:c>
      <x:c r="H55" s="13" t="str">
        <x:v>white cup A</x:v>
      </x:c>
      <x:c r="I55" s="13"/>
      <x:c r="J55" s="15" t="str">
        <x:v>Matched manipulation control</x:v>
      </x:c>
      <x:c r="K55" s="14" t="str">
        <x:v>SR-CT09</x:v>
      </x:c>
      <x:c r="L55" s="14" t="str">
        <x:v>N/A</x:v>
      </x:c>
      <x:c r="M55" s="14" t="str">
        <x:v>white cup</x:v>
      </x:c>
      <x:c r="N55" s="14" t="n">
        <x:v>4</x:v>
      </x:c>
      <x:c r="O55" s="14" t="n">
        <x:v>1</x:v>
      </x:c>
      <x:c r="P55" s="14" t="str">
        <x:v>Empty</x:v>
      </x:c>
      <x:c r="Q55" s="13" t="str">
        <x:v>One-object-substitution direct-category control</x:v>
      </x:c>
      <x:c r="R55" s="14" t="n">
        <x:v>2</x:v>
      </x:c>
      <x:c r="S55" s="13" t="str">
        <x:v>Reset white cup A to its transfer pose. Replace white cup B with brown cup A in the same location and use the states listed in this row; preserve all other objects.</x:v>
      </x:c>
      <x:c r="T55" s="13" t="str">
        <x:v>Pure recognition/manipulation control: the prompt uniquely names the only object from the target category, while the physical target remains identical to the transfer row.</x:v>
      </x:c>
      <x:c r="U55" s="13"/>
    </x:row>
    <x:row r="56" ht="51" customHeight="1">
      <x:c r="A56" s="16" t="str">
        <x:v>Not collected</x:v>
      </x:c>
      <x:c r="B56" s="17" t="n">
        <x:v>54</x:v>
      </x:c>
      <x:c r="C56" s="16" t="str">
        <x:v>Move the inverted white cup into the bowl.</x:v>
      </x:c>
      <x:c r="D56" s="16" t="str">
        <x:v>white cup A (C, UD); white cup B (C, RU); glass spice container A (C, RU); yellow-white striped cup B (O, RU)</x:v>
      </x:c>
      <x:c r="E56" s="17" t="n">
        <x:v>52</x:v>
      </x:c>
      <x:c r="F56" s="17" t="str">
        <x:v>39</x:v>
      </x:c>
      <x:c r="G56" s="16" t="str">
        <x:v>The canonical transfer scene and masked trajectory reference are unchanged; only the evaluation wording is paraphrased. This remains a language diagnostic and is not pooled into the primary 50.</x:v>
      </x:c>
      <x:c r="H56" s="16" t="str">
        <x:v>white cup A</x:v>
      </x:c>
      <x:c r="I56" s="16"/>
      <x:c r="J56" s="18" t="str">
        <x:v>Language robustness</x:v>
      </x:c>
      <x:c r="K56" s="17" t="str">
        <x:v>SR-CT09</x:v>
      </x:c>
      <x:c r="L56" s="17" t="str">
        <x:v>UD</x:v>
      </x:c>
      <x:c r="M56" s="17" t="str">
        <x:v>white cup</x:v>
      </x:c>
      <x:c r="N56" s="17" t="n">
        <x:v>4</x:v>
      </x:c>
      <x:c r="O56" s="17" t="n">
        <x:v>1</x:v>
      </x:c>
      <x:c r="P56" s="17" t="str">
        <x:v>Empty</x:v>
      </x:c>
      <x:c r="Q56" s="16" t="str">
        <x:v>Primary compositional-transfer prompt paraphrase</x:v>
      </x:c>
      <x:c r="R56" s="17" t="n">
        <x:v>2</x:v>
      </x:c>
      <x:c r="S56" s="16" t="str">
        <x:v>Reset the moved object exactly; preserve every object and state; change only the prompt wording.</x:v>
      </x:c>
      <x:c r="T56" s="16" t="str">
        <x:v>Exact-scene paraphrase of one of the 50 canonical compositional-transfer trials. The same-category candidates share the orthogonal C/O state (C). The scene is an exact copy of the referenced canonical row.</x:v>
      </x:c>
      <x:c r="U56" s="16"/>
    </x:row>
    <x:row r="57" ht="51" customHeight="1">
      <x:c r="A57" s="13" t="str">
        <x:v>Not collected</x:v>
      </x:c>
      <x:c r="B57" s="14" t="n">
        <x:v>55</x:v>
      </x:c>
      <x:c r="C57" s="13" t="str">
        <x:v>Move the white cup from the workspace into the bowl.</x:v>
      </x:c>
      <x:c r="D57" s="13" t="str">
        <x:v>white cup A (C, UD); brown cup A (C, RU); glass spice container A (C, RU); yellow-white striped cup B (O, RU)</x:v>
      </x:c>
      <x:c r="E57" s="14" t="n">
        <x:v>53</x:v>
      </x:c>
      <x:c r="F57" s="14" t="n">
        <x:v>39</x:v>
      </x:c>
      <x:c r="G57" s="13" t="str">
        <x:v>Paraphrase of the direct-category matched control grounded by training episode 39. The modified control scene and physical target are unchanged.</x:v>
      </x:c>
      <x:c r="H57" s="13" t="str">
        <x:v>white cup A</x:v>
      </x:c>
      <x:c r="I57" s="13"/>
      <x:c r="J57" s="18" t="str">
        <x:v>Language robustness</x:v>
      </x:c>
      <x:c r="K57" s="14" t="str">
        <x:v>SR-CT09</x:v>
      </x:c>
      <x:c r="L57" s="14" t="str">
        <x:v>N/A</x:v>
      </x:c>
      <x:c r="M57" s="14" t="str">
        <x:v>white cup</x:v>
      </x:c>
      <x:c r="N57" s="14" t="n">
        <x:v>4</x:v>
      </x:c>
      <x:c r="O57" s="14" t="n">
        <x:v>1</x:v>
      </x:c>
      <x:c r="P57" s="14" t="str">
        <x:v>Empty</x:v>
      </x:c>
      <x:c r="Q57" s="13" t="str">
        <x:v>Direct-category matched-control paraphrase</x:v>
      </x:c>
      <x:c r="R57" s="14" t="n">
        <x:v>2</x:v>
      </x:c>
      <x:c r="S57" s="13" t="str">
        <x:v>Reset the target to its marked pose; preserve the exact modified control scene and change only the direct instruction wording.</x:v>
      </x:c>
      <x:c r="T57" s="13" t="str">
        <x:v>Language diagnostic for the pure manipulation control; no state word or state-based selection is required. The scene is an exact copy of the referenced canonical row.</x:v>
      </x:c>
      <x:c r="U57" s="13"/>
    </x:row>
    <x:row r="58" ht="51" customHeight="1">
      <x:c r="A58" s="5" t="str">
        <x:v>Not collected</x:v>
      </x:c>
      <x:c r="B58" s="4" t="n">
        <x:v>56</x:v>
      </x:c>
      <x:c r="C58" s="5" t="str">
        <x:v>Place the open yellow-white striped cup in the bowl.</x:v>
      </x:c>
      <x:c r="D58" s="5" t="str">
        <x:v>yellow-white striped cup B (O, RU); yellow-white striped cup A (C, RU)</x:v>
      </x:c>
      <x:c r="E58" s="4"/>
      <x:c r="F58" s="4" t="str">
        <x:v>71</x:v>
      </x:c>
      <x:c r="G58"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58" s="5" t="str">
        <x:v>yellow-white striped cup B</x:v>
      </x:c>
      <x:c r="I58" s="5"/>
      <x:c r="J58" s="12" t="str">
        <x:v>Concept/compositional transfer</x:v>
      </x:c>
      <x:c r="K58" s="4" t="str">
        <x:v>SR-CT10</x:v>
      </x:c>
      <x:c r="L58" s="4" t="str">
        <x:v>O</x:v>
      </x:c>
      <x:c r="M58" s="4" t="str">
        <x:v>yellow-white striped cup</x:v>
      </x:c>
      <x:c r="N58" s="4" t="n">
        <x:v>2</x:v>
      </x:c>
      <x:c r="O58" s="4" t="n">
        <x:v>1</x:v>
      </x:c>
      <x:c r="P58" s="4" t="str">
        <x:v>Empty</x:v>
      </x:c>
      <x:c r="Q58" s="5" t="str">
        <x:v>Primary held-out state-object composition</x:v>
      </x:c>
      <x:c r="R58" s="4" t="n">
        <x:v>2</x:v>
      </x:c>
      <x:c r="S58" s="5" t="str">
        <x:v>Build the listed same-category discrimination scene with the bowl empty.</x:v>
      </x:c>
      <x:c r="T58" s="5" t="str">
        <x:v>Two same-category candidates share the non-queried state axis; only the held-out state word identifies the target. The orthogonal orientation axis is fixed: every object is RU.</x:v>
      </x:c>
      <x:c r="U58" s="5"/>
    </x:row>
    <x:row r="59" ht="51" customHeight="1">
      <x:c r="A59" s="13" t="str">
        <x:v>Not collected</x:v>
      </x:c>
      <x:c r="B59" s="14" t="n">
        <x:v>57</x:v>
      </x:c>
      <x:c r="C59" s="13" t="str">
        <x:v>Put a yellow-white striped cup in the bowl.</x:v>
      </x:c>
      <x:c r="D59" s="13" t="str">
        <x:v>yellow-white striped cup B (O, RU); white cup B (C, RU)</x:v>
      </x:c>
      <x:c r="E59" s="14" t="n">
        <x:v>56</x:v>
      </x:c>
      <x:c r="F59" s="14" t="n">
        <x:v>71</x:v>
      </x:c>
      <x:c r="G59" s="13" t="str">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H59" s="13" t="str">
        <x:v>yellow-white striped cup B</x:v>
      </x:c>
      <x:c r="I59" s="13"/>
      <x:c r="J59" s="15" t="str">
        <x:v>Matched manipulation control</x:v>
      </x:c>
      <x:c r="K59" s="14" t="str">
        <x:v>SR-CT10</x:v>
      </x:c>
      <x:c r="L59" s="14" t="str">
        <x:v>N/A</x:v>
      </x:c>
      <x:c r="M59" s="14" t="str">
        <x:v>yellow-white striped cup</x:v>
      </x:c>
      <x:c r="N59" s="14" t="n">
        <x:v>2</x:v>
      </x:c>
      <x:c r="O59" s="14" t="n">
        <x:v>1</x:v>
      </x:c>
      <x:c r="P59" s="14" t="str">
        <x:v>Empty</x:v>
      </x:c>
      <x:c r="Q59" s="13" t="str">
        <x:v>One-object-substitution direct-category control</x:v>
      </x:c>
      <x:c r="R59" s="14" t="n">
        <x:v>2</x:v>
      </x:c>
      <x:c r="S59" s="13" t="str">
        <x:v>Reset yellow-white striped cup B to its transfer pose. Replace yellow-white striped cup A with white cup B in the same location and use the states listed in this row; preserve all other objects.</x:v>
      </x:c>
      <x:c r="T59" s="13" t="str">
        <x:v>Pure recognition/manipulation control: the prompt uniquely names the only object from the target category, while the physical target remains identical to the transfer row. Every object is RU.</x:v>
      </x:c>
      <x:c r="U59" s="13"/>
    </x:row>
    <x:row r="60" ht="51" customHeight="1">
      <x:c r="A60" s="16" t="str">
        <x:v>Not collected</x:v>
      </x:c>
      <x:c r="B60" s="17" t="n">
        <x:v>58</x:v>
      </x:c>
      <x:c r="C60" s="16" t="str">
        <x:v>Move the yellow-white striped cup whose opening is uncovered into the bowl.</x:v>
      </x:c>
      <x:c r="D60" s="16" t="str">
        <x:v>yellow-white striped cup B (O, RU); yellow-white striped cup A (C, RU)</x:v>
      </x:c>
      <x:c r="E60" s="17" t="n">
        <x:v>56</x:v>
      </x:c>
      <x:c r="F60" s="17" t="str">
        <x:v>71</x:v>
      </x:c>
      <x:c r="G60" s="16"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60" s="16" t="str">
        <x:v>yellow-white striped cup B</x:v>
      </x:c>
      <x:c r="I60" s="16"/>
      <x:c r="J60" s="18" t="str">
        <x:v>Language robustness</x:v>
      </x:c>
      <x:c r="K60" s="17" t="str">
        <x:v>SR-CT10</x:v>
      </x:c>
      <x:c r="L60" s="17" t="str">
        <x:v>O</x:v>
      </x:c>
      <x:c r="M60" s="17" t="str">
        <x:v>yellow-white striped cup</x:v>
      </x:c>
      <x:c r="N60" s="17" t="n">
        <x:v>2</x:v>
      </x:c>
      <x:c r="O60" s="17" t="n">
        <x:v>1</x:v>
      </x:c>
      <x:c r="P60" s="17" t="str">
        <x:v>Empty</x:v>
      </x:c>
      <x:c r="Q60" s="16" t="str">
        <x:v>Primary compositional-transfer prompt paraphrase</x:v>
      </x:c>
      <x:c r="R60" s="17" t="n">
        <x:v>2</x:v>
      </x:c>
      <x:c r="S60" s="16" t="str">
        <x:v>Reset the moved object exactly; preserve every object and state; change only the prompt wording.</x:v>
      </x:c>
      <x:c r="T60" s="16" t="str">
        <x:v>Exact-scene paraphrase of one of the 50 canonical compositional-transfer trials. The orthogonal orientation axis is fixed: every object is RU. The scene is an exact copy of the referenced canonical row.</x:v>
      </x:c>
      <x:c r="U60" s="16"/>
    </x:row>
    <x:row r="61" ht="51" customHeight="1">
      <x:c r="A61" s="13" t="str">
        <x:v>Not collected</x:v>
      </x:c>
      <x:c r="B61" s="14" t="n">
        <x:v>59</x:v>
      </x:c>
      <x:c r="C61" s="13" t="str">
        <x:v>Set the yellow-white striped cup inside the bowl.</x:v>
      </x:c>
      <x:c r="D61" s="13" t="str">
        <x:v>yellow-white striped cup B (O, RU); white cup B (C, RU)</x:v>
      </x:c>
      <x:c r="E61" s="14" t="n">
        <x:v>57</x:v>
      </x:c>
      <x:c r="F61" s="14" t="n">
        <x:v>71</x:v>
      </x:c>
      <x:c r="G61" s="13" t="str">
        <x:v>Paraphrase of the direct-category matched control grounded by training episode 71. The modified control scene and physical target are unchanged.</x:v>
      </x:c>
      <x:c r="H61" s="13" t="str">
        <x:v>yellow-white striped cup B</x:v>
      </x:c>
      <x:c r="I61" s="13"/>
      <x:c r="J61" s="18" t="str">
        <x:v>Language robustness</x:v>
      </x:c>
      <x:c r="K61" s="14" t="str">
        <x:v>SR-CT10</x:v>
      </x:c>
      <x:c r="L61" s="14" t="str">
        <x:v>N/A</x:v>
      </x:c>
      <x:c r="M61" s="14" t="str">
        <x:v>yellow-white striped cup</x:v>
      </x:c>
      <x:c r="N61" s="14" t="n">
        <x:v>2</x:v>
      </x:c>
      <x:c r="O61" s="14" t="n">
        <x:v>1</x:v>
      </x:c>
      <x:c r="P61" s="14" t="str">
        <x:v>Empty</x:v>
      </x:c>
      <x:c r="Q61" s="13" t="str">
        <x:v>Direct-category matched-control paraphrase</x:v>
      </x:c>
      <x:c r="R61" s="14" t="n">
        <x:v>2</x:v>
      </x:c>
      <x:c r="S61" s="13" t="str">
        <x:v>Reset the target to its marked pose; preserve the exact modified control scene and change only the direct instruction wording.</x:v>
      </x:c>
      <x:c r="T61" s="13" t="str">
        <x:v>Language diagnostic for the pure manipulation control; no state word or state-based selection is required. The scene is an exact copy of the referenced canonical row.</x:v>
      </x:c>
      <x:c r="U61" s="13"/>
    </x:row>
    <x:row r="62" ht="51" customHeight="1">
      <x:c r="A62" s="5" t="str">
        <x:v>Not collected</x:v>
      </x:c>
      <x:c r="B62" s="4" t="n">
        <x:v>60</x:v>
      </x:c>
      <x:c r="C62" s="5" t="str">
        <x:v>Place the closed brown cup in the bowl.</x:v>
      </x:c>
      <x:c r="D62" s="5" t="str">
        <x:v>brown cup A (C, RU); brown cup B (O, RU); yellow-white striped cup A (C, RU)</x:v>
      </x:c>
      <x:c r="E62" s="4"/>
      <x:c r="F62" s="4" t="str">
        <x:v>102</x:v>
      </x:c>
      <x:c r="G62"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62" s="5" t="str">
        <x:v>brown cup A</x:v>
      </x:c>
      <x:c r="I62" s="5"/>
      <x:c r="J62" s="12" t="str">
        <x:v>Concept/compositional transfer</x:v>
      </x:c>
      <x:c r="K62" s="4" t="str">
        <x:v>SR-CT11</x:v>
      </x:c>
      <x:c r="L62" s="4" t="str">
        <x:v>C</x:v>
      </x:c>
      <x:c r="M62" s="4" t="str">
        <x:v>brown cup</x:v>
      </x:c>
      <x:c r="N62" s="4" t="n">
        <x:v>3</x:v>
      </x:c>
      <x:c r="O62" s="4" t="n">
        <x:v>1</x:v>
      </x:c>
      <x:c r="P62" s="4" t="str">
        <x:v>Empty</x:v>
      </x:c>
      <x:c r="Q62" s="5" t="str">
        <x:v>Primary held-out state-object composition</x:v>
      </x:c>
      <x:c r="R62" s="4" t="n">
        <x:v>3</x:v>
      </x:c>
      <x:c r="S62" s="5" t="str">
        <x:v>Build the listed same-category discrimination scene with the bowl empty.</x:v>
      </x:c>
      <x:c r="T62" s="5" t="str">
        <x:v>Two same-category candidates share the non-queried state axis; only the held-out state word identifies the target. The orthogonal orientation axis is fixed: every object is RU.</x:v>
      </x:c>
      <x:c r="U62" s="5"/>
    </x:row>
    <x:row r="63" ht="51" customHeight="1">
      <x:c r="A63" s="13" t="str">
        <x:v>Not collected</x:v>
      </x:c>
      <x:c r="B63" s="14" t="n">
        <x:v>61</x:v>
      </x:c>
      <x:c r="C63" s="13" t="str">
        <x:v>Move a brown cup into the bowl.</x:v>
      </x:c>
      <x:c r="D63" s="13" t="str">
        <x:v>brown cup A (C, RU); white cup A (O, RU); yellow-white striped cup A (C, RU)</x:v>
      </x:c>
      <x:c r="E63" s="14" t="n">
        <x:v>60</x:v>
      </x:c>
      <x:c r="F63" s="14" t="n">
        <x:v>102</x:v>
      </x:c>
      <x:c r="G63" s="13" t="str">
        <x:v>Exact direct-category manipulation prompt from training episode 102. The transfer target, state, and pose are preserved; only the competing brown cup is replaced by white cup A. The full control scene is upright because its paired transfer instruction queries open/closed.</x:v>
      </x:c>
      <x:c r="H63" s="13" t="str">
        <x:v>brown cup A</x:v>
      </x:c>
      <x:c r="I63" s="13"/>
      <x:c r="J63" s="15" t="str">
        <x:v>Matched manipulation control</x:v>
      </x:c>
      <x:c r="K63" s="14" t="str">
        <x:v>SR-CT11</x:v>
      </x:c>
      <x:c r="L63" s="14" t="str">
        <x:v>N/A</x:v>
      </x:c>
      <x:c r="M63" s="14" t="str">
        <x:v>brown cup</x:v>
      </x:c>
      <x:c r="N63" s="14" t="n">
        <x:v>3</x:v>
      </x:c>
      <x:c r="O63" s="14" t="n">
        <x:v>1</x:v>
      </x:c>
      <x:c r="P63" s="14" t="str">
        <x:v>Empty</x:v>
      </x:c>
      <x:c r="Q63" s="13" t="str">
        <x:v>One-object-substitution direct-category control</x:v>
      </x:c>
      <x:c r="R63" s="14" t="n">
        <x:v>3</x:v>
      </x:c>
      <x:c r="S63" s="13" t="str">
        <x:v>Reset brown cup A to its transfer pose. Replace brown cup B with white cup A in the same location and use the states listed in this row; preserve all other objects.</x:v>
      </x:c>
      <x:c r="T63" s="13" t="str">
        <x:v>Pure recognition/manipulation control: the prompt uniquely names the only object from the target category, while the physical target remains identical to the transfer row. Every object is RU.</x:v>
      </x:c>
      <x:c r="U63" s="13"/>
    </x:row>
    <x:row r="64" ht="51" customHeight="1">
      <x:c r="A64" s="5" t="str">
        <x:v>Not collected</x:v>
      </x:c>
      <x:c r="B64" s="4" t="n">
        <x:v>62</x:v>
      </x:c>
      <x:c r="C64" s="5" t="str">
        <x:v>Place the upright glass spice container in the bowl.</x:v>
      </x:c>
      <x:c r="D64" s="5" t="str">
        <x:v>glass spice container B (C, RU); glass spice container A (C, UD); brown cup B (O, UD); white cup A (C, RU)</x:v>
      </x:c>
      <x:c r="E64" s="4"/>
      <x:c r="F64" s="4" t="str">
        <x:v>172</x:v>
      </x:c>
      <x:c r="G64" s="5" t="str">
        <x:v>Physical-state and manipulation-trajectory reference under a direct category prompt; the evaluated state word × object-category cell is intentionally absent from training.</x:v>
      </x:c>
      <x:c r="H64" s="5" t="str">
        <x:v>glass spice container B</x:v>
      </x:c>
      <x:c r="I64" s="5"/>
      <x:c r="J64" s="12" t="str">
        <x:v>Concept/compositional transfer</x:v>
      </x:c>
      <x:c r="K64" s="4" t="str">
        <x:v>SR-CT12</x:v>
      </x:c>
      <x:c r="L64" s="4" t="str">
        <x:v>RU</x:v>
      </x:c>
      <x:c r="M64" s="4" t="str">
        <x:v>glass spice container</x:v>
      </x:c>
      <x:c r="N64" s="4" t="n">
        <x:v>4</x:v>
      </x:c>
      <x:c r="O64" s="4" t="n">
        <x:v>1</x:v>
      </x:c>
      <x:c r="P64" s="4" t="str">
        <x:v>Empty</x:v>
      </x:c>
      <x:c r="Q64" s="5" t="str">
        <x:v>Primary held-out state-object composition</x:v>
      </x:c>
      <x:c r="R64" s="4" t="n">
        <x:v>3</x:v>
      </x:c>
      <x:c r="S64" s="5" t="str">
        <x:v>Build the listed same-category discrimination scene with the bowl empty.</x:v>
      </x:c>
      <x:c r="T64" s="5" t="str">
        <x:v>Two same-category candidates share the non-queried state axis; only the held-out state word identifies the target. The same-category candidates share the orthogonal C/O state (C).</x:v>
      </x:c>
      <x:c r="U64" s="5"/>
    </x:row>
    <x:row r="65" ht="51" customHeight="1">
      <x:c r="A65" s="13" t="str">
        <x:v>Not collected</x:v>
      </x:c>
      <x:c r="B65" s="14" t="n">
        <x:v>63</x:v>
      </x:c>
      <x:c r="C65" s="13" t="str">
        <x:v>Place a glass spice container in the bowl.</x:v>
      </x:c>
      <x:c r="D65" s="13" t="str">
        <x:v>glass spice container B (C, RU); yellow-white striped cup B (C, UD); brown cup B (O, UD); white cup A (C, RU)</x:v>
      </x:c>
      <x:c r="E65" s="14" t="n">
        <x:v>62</x:v>
      </x:c>
      <x:c r="F65" s="14" t="n">
        <x:v>172</x:v>
      </x:c>
      <x:c r="G65" s="13" t="str">
        <x:v>Exact direct-category manipulation prompt from training episode 172. The transfer target, state, and pose are preserved; only the competing glass spice container is replaced by yellow-white striped cup B.</x:v>
      </x:c>
      <x:c r="H65" s="13" t="str">
        <x:v>glass spice container B</x:v>
      </x:c>
      <x:c r="I65" s="13"/>
      <x:c r="J65" s="15" t="str">
        <x:v>Matched manipulation control</x:v>
      </x:c>
      <x:c r="K65" s="14" t="str">
        <x:v>SR-CT12</x:v>
      </x:c>
      <x:c r="L65" s="14" t="str">
        <x:v>N/A</x:v>
      </x:c>
      <x:c r="M65" s="14" t="str">
        <x:v>glass spice container</x:v>
      </x:c>
      <x:c r="N65" s="14" t="n">
        <x:v>4</x:v>
      </x:c>
      <x:c r="O65" s="14" t="n">
        <x:v>1</x:v>
      </x:c>
      <x:c r="P65" s="14" t="str">
        <x:v>Empty</x:v>
      </x:c>
      <x:c r="Q65" s="13" t="str">
        <x:v>One-object-substitution direct-category control</x:v>
      </x:c>
      <x:c r="R65" s="14" t="n">
        <x:v>3</x:v>
      </x:c>
      <x:c r="S65" s="13" t="str">
        <x:v>Reset glass spice container B to its transfer pose. Replace glass spice container A with yellow-white striped cup B in the same location and use the states listed in this row; preserve all other objects.</x:v>
      </x:c>
      <x:c r="T65" s="13" t="str">
        <x:v>Pure recognition/manipulation control: the prompt uniquely names the only object from the target category, while the physical target remains identical to the transfer row.</x:v>
      </x:c>
      <x:c r="U65" s="13"/>
    </x:row>
    <x:row r="66" ht="51" customHeight="1">
      <x:c r="A66" s="5" t="str">
        <x:v>Not collected</x:v>
      </x:c>
      <x:c r="B66" s="4" t="n">
        <x:v>64</x:v>
      </x:c>
      <x:c r="C66" s="5" t="str">
        <x:v>Place the upside-down white cup in the bowl.</x:v>
      </x:c>
      <x:c r="D66" s="5" t="str">
        <x:v>white cup A (O, UD); white cup B (O, RU)</x:v>
      </x:c>
      <x:c r="E66" s="4"/>
      <x:c r="F66" s="4" t="str">
        <x:v>32</x:v>
      </x:c>
      <x:c r="G66" s="5" t="str">
        <x:v>Physical-state and manipulation-trajectory reference under a direct category prompt; the evaluated state word × object-category cell is intentionally absent from training.</x:v>
      </x:c>
      <x:c r="H66" s="5" t="str">
        <x:v>white cup A</x:v>
      </x:c>
      <x:c r="I66" s="5"/>
      <x:c r="J66" s="12" t="str">
        <x:v>Concept/compositional transfer</x:v>
      </x:c>
      <x:c r="K66" s="4" t="str">
        <x:v>SR-CT13</x:v>
      </x:c>
      <x:c r="L66" s="4" t="str">
        <x:v>UD</x:v>
      </x:c>
      <x:c r="M66" s="4" t="str">
        <x:v>white cup</x:v>
      </x:c>
      <x:c r="N66" s="4" t="n">
        <x:v>2</x:v>
      </x:c>
      <x:c r="O66" s="4" t="n">
        <x:v>1</x:v>
      </x:c>
      <x:c r="P66" s="4" t="str">
        <x:v>Empty</x:v>
      </x:c>
      <x:c r="Q66" s="5" t="str">
        <x:v>Primary held-out state-object composition</x:v>
      </x:c>
      <x:c r="R66" s="4" t="n">
        <x:v>3</x:v>
      </x:c>
      <x:c r="S66" s="5" t="str">
        <x:v>Build the listed same-category discrimination scene with the bowl empty.</x:v>
      </x:c>
      <x:c r="T66" s="5" t="str">
        <x:v>Two same-category candidates share the non-queried state axis; only the held-out state word identifies the target. The same-category candidates share the orthogonal C/O state (O).</x:v>
      </x:c>
      <x:c r="U66" s="5"/>
    </x:row>
    <x:row r="67" ht="51" customHeight="1">
      <x:c r="A67" s="13" t="str">
        <x:v>Not collected</x:v>
      </x:c>
      <x:c r="B67" s="14" t="n">
        <x:v>65</x:v>
      </x:c>
      <x:c r="C67" s="13" t="str">
        <x:v>Put a white cup in the bowl.</x:v>
      </x:c>
      <x:c r="D67" s="13" t="str">
        <x:v>white cup A (O, UD); yellow-white striped cup A (O, RU)</x:v>
      </x:c>
      <x:c r="E67" s="14" t="n">
        <x:v>64</x:v>
      </x:c>
      <x:c r="F67" s="14" t="n">
        <x:v>32</x:v>
      </x:c>
      <x:c r="G67" s="13" t="str">
        <x:v>Exact direct-category manipulation prompt from training episode 32. The transfer target, state, and pose are preserved; only the competing white cup is replaced by yellow-white striped cup A.</x:v>
      </x:c>
      <x:c r="H67" s="13" t="str">
        <x:v>white cup A</x:v>
      </x:c>
      <x:c r="I67" s="13"/>
      <x:c r="J67" s="15" t="str">
        <x:v>Matched manipulation control</x:v>
      </x:c>
      <x:c r="K67" s="14" t="str">
        <x:v>SR-CT13</x:v>
      </x:c>
      <x:c r="L67" s="14" t="str">
        <x:v>N/A</x:v>
      </x:c>
      <x:c r="M67" s="14" t="str">
        <x:v>white cup</x:v>
      </x:c>
      <x:c r="N67" s="14" t="n">
        <x:v>2</x:v>
      </x:c>
      <x:c r="O67" s="14" t="n">
        <x:v>1</x:v>
      </x:c>
      <x:c r="P67" s="14" t="str">
        <x:v>Empty</x:v>
      </x:c>
      <x:c r="Q67" s="13" t="str">
        <x:v>One-object-substitution direct-category control</x:v>
      </x:c>
      <x:c r="R67" s="14" t="n">
        <x:v>3</x:v>
      </x:c>
      <x:c r="S67" s="13" t="str">
        <x:v>Reset white cup A to its transfer pose. Replace white cup B with yellow-white striped cup A in the same location and use the states listed in this row; preserve all other objects.</x:v>
      </x:c>
      <x:c r="T67" s="13" t="str">
        <x:v>Pure recognition/manipulation control: the prompt uniquely names the only object from the target category, while the physical target remains identical to the transfer row.</x:v>
      </x:c>
      <x:c r="U67" s="13"/>
    </x:row>
    <x:row r="68" ht="51" customHeight="1">
      <x:c r="A68" s="5" t="str">
        <x:v>Not collected</x:v>
      </x:c>
      <x:c r="B68" s="4" t="n">
        <x:v>66</x:v>
      </x:c>
      <x:c r="C68" s="5" t="str">
        <x:v>Place the open yellow-white striped cup in the bowl.</x:v>
      </x:c>
      <x:c r="D68" s="5" t="str">
        <x:v>yellow-white striped cup B (O, RU); yellow-white striped cup A (C, RU); brown cup B (O, RU)</x:v>
      </x:c>
      <x:c r="E68" s="4"/>
      <x:c r="F68" s="4" t="str">
        <x:v>53</x:v>
      </x:c>
      <x:c r="G68"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68" s="5" t="str">
        <x:v>yellow-white striped cup B</x:v>
      </x:c>
      <x:c r="I68" s="5"/>
      <x:c r="J68" s="12" t="str">
        <x:v>Concept/compositional transfer</x:v>
      </x:c>
      <x:c r="K68" s="4" t="str">
        <x:v>SR-CT14</x:v>
      </x:c>
      <x:c r="L68" s="4" t="str">
        <x:v>O</x:v>
      </x:c>
      <x:c r="M68" s="4" t="str">
        <x:v>yellow-white striped cup</x:v>
      </x:c>
      <x:c r="N68" s="4" t="n">
        <x:v>3</x:v>
      </x:c>
      <x:c r="O68" s="4" t="n">
        <x:v>1</x:v>
      </x:c>
      <x:c r="P68" s="4" t="str">
        <x:v>Empty</x:v>
      </x:c>
      <x:c r="Q68" s="5" t="str">
        <x:v>Primary held-out state-object composition</x:v>
      </x:c>
      <x:c r="R68" s="4" t="n">
        <x:v>3</x:v>
      </x:c>
      <x:c r="S68" s="5" t="str">
        <x:v>Build the listed same-category discrimination scene with the bowl empty.</x:v>
      </x:c>
      <x:c r="T68" s="5" t="str">
        <x:v>Two same-category candidates share the non-queried state axis; only the held-out state word identifies the target. The orthogonal orientation axis is fixed: every object is RU.</x:v>
      </x:c>
      <x:c r="U68" s="5"/>
    </x:row>
    <x:row r="69" ht="51" customHeight="1">
      <x:c r="A69" s="13" t="str">
        <x:v>Not collected</x:v>
      </x:c>
      <x:c r="B69" s="14" t="n">
        <x:v>67</x:v>
      </x:c>
      <x:c r="C69" s="13" t="str">
        <x:v>Put a yellow-white striped cup in the bowl.</x:v>
      </x:c>
      <x:c r="D69" s="13" t="str">
        <x:v>yellow-white striped cup B (O, RU); glass spice container B (C, RU); brown cup B (O, RU)</x:v>
      </x:c>
      <x:c r="E69" s="14" t="n">
        <x:v>66</x:v>
      </x:c>
      <x:c r="F69" s="14" t="n">
        <x:v>53</x:v>
      </x:c>
      <x:c r="G69" s="13" t="str">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H69" s="13" t="str">
        <x:v>yellow-white striped cup B</x:v>
      </x:c>
      <x:c r="I69" s="13"/>
      <x:c r="J69" s="15" t="str">
        <x:v>Matched manipulation control</x:v>
      </x:c>
      <x:c r="K69" s="14" t="str">
        <x:v>SR-CT14</x:v>
      </x:c>
      <x:c r="L69" s="14" t="str">
        <x:v>N/A</x:v>
      </x:c>
      <x:c r="M69" s="14" t="str">
        <x:v>yellow-white striped cup</x:v>
      </x:c>
      <x:c r="N69" s="14" t="n">
        <x:v>3</x:v>
      </x:c>
      <x:c r="O69" s="14" t="n">
        <x:v>1</x:v>
      </x:c>
      <x:c r="P69" s="14" t="str">
        <x:v>Empty</x:v>
      </x:c>
      <x:c r="Q69" s="13" t="str">
        <x:v>One-object-substitution direct-category control</x:v>
      </x:c>
      <x:c r="R69" s="14" t="n">
        <x:v>3</x:v>
      </x:c>
      <x:c r="S69" s="13" t="str">
        <x:v>Reset yellow-white striped cup B to its transfer pose. Replace yellow-white striped cup A with glass spice container B in the same location and use the states listed in this row; preserve all other objects.</x:v>
      </x:c>
      <x:c r="T69" s="13" t="str">
        <x:v>Pure recognition/manipulation control: the prompt uniquely names the only object from the target category, while the physical target remains identical to the transfer row. Every object is RU.</x:v>
      </x:c>
      <x:c r="U69" s="13"/>
    </x:row>
    <x:row r="70" ht="51" customHeight="1">
      <x:c r="A70" s="5" t="str">
        <x:v>Not collected</x:v>
      </x:c>
      <x:c r="B70" s="4" t="n">
        <x:v>68</x:v>
      </x:c>
      <x:c r="C70" s="5" t="str">
        <x:v>Place the closed brown cup in the bowl.</x:v>
      </x:c>
      <x:c r="D70" s="5" t="str">
        <x:v>brown cup A (C, RU); brown cup B (O, RU); glass spice container A (C, RU); white cup B (O, RU)</x:v>
      </x:c>
      <x:c r="E70" s="4"/>
      <x:c r="F70" s="4" t="str">
        <x:v>129</x:v>
      </x:c>
      <x:c r="G70"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70" s="5" t="str">
        <x:v>brown cup A</x:v>
      </x:c>
      <x:c r="I70" s="5"/>
      <x:c r="J70" s="12" t="str">
        <x:v>Concept/compositional transfer</x:v>
      </x:c>
      <x:c r="K70" s="4" t="str">
        <x:v>SR-CT15</x:v>
      </x:c>
      <x:c r="L70" s="4" t="str">
        <x:v>C</x:v>
      </x:c>
      <x:c r="M70" s="4" t="str">
        <x:v>brown cup</x:v>
      </x:c>
      <x:c r="N70" s="4" t="n">
        <x:v>4</x:v>
      </x:c>
      <x:c r="O70" s="4" t="n">
        <x:v>1</x:v>
      </x:c>
      <x:c r="P70" s="4" t="str">
        <x:v>Empty</x:v>
      </x:c>
      <x:c r="Q70" s="5" t="str">
        <x:v>Primary held-out state-object composition</x:v>
      </x:c>
      <x:c r="R70" s="4" t="n">
        <x:v>3</x:v>
      </x:c>
      <x:c r="S70" s="5" t="str">
        <x:v>Build the listed same-category discrimination scene with the bowl empty.</x:v>
      </x:c>
      <x:c r="T70" s="5" t="str">
        <x:v>Two same-category candidates share the non-queried state axis; only the held-out state word identifies the target. The orthogonal orientation axis is fixed: every object is RU.</x:v>
      </x:c>
      <x:c r="U70" s="5"/>
    </x:row>
    <x:row r="71" ht="51" customHeight="1">
      <x:c r="A71" s="13" t="str">
        <x:v>Not collected</x:v>
      </x:c>
      <x:c r="B71" s="14" t="n">
        <x:v>69</x:v>
      </x:c>
      <x:c r="C71" s="13" t="str">
        <x:v>Move a brown cup into the bowl.</x:v>
      </x:c>
      <x:c r="D71" s="13" t="str">
        <x:v>brown cup A (C, RU); yellow-white striped cup A (O, RU); glass spice container A (C, RU); white cup B (O, RU)</x:v>
      </x:c>
      <x:c r="E71" s="14" t="n">
        <x:v>68</x:v>
      </x:c>
      <x:c r="F71" s="14" t="n">
        <x:v>129</x:v>
      </x:c>
      <x:c r="G71" s="13" t="str">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H71" s="13" t="str">
        <x:v>brown cup A</x:v>
      </x:c>
      <x:c r="I71" s="13"/>
      <x:c r="J71" s="15" t="str">
        <x:v>Matched manipulation control</x:v>
      </x:c>
      <x:c r="K71" s="14" t="str">
        <x:v>SR-CT15</x:v>
      </x:c>
      <x:c r="L71" s="14" t="str">
        <x:v>N/A</x:v>
      </x:c>
      <x:c r="M71" s="14" t="str">
        <x:v>brown cup</x:v>
      </x:c>
      <x:c r="N71" s="14" t="n">
        <x:v>4</x:v>
      </x:c>
      <x:c r="O71" s="14" t="n">
        <x:v>1</x:v>
      </x:c>
      <x:c r="P71" s="14" t="str">
        <x:v>Empty</x:v>
      </x:c>
      <x:c r="Q71" s="13" t="str">
        <x:v>One-object-substitution direct-category control</x:v>
      </x:c>
      <x:c r="R71" s="14" t="n">
        <x:v>3</x:v>
      </x:c>
      <x:c r="S71" s="13" t="str">
        <x:v>Reset brown cup A to its transfer pose. Replace brown cup B with yellow-white striped cup A in the same location and use the states listed in this row; preserve all other objects.</x:v>
      </x:c>
      <x:c r="T71" s="13" t="str">
        <x:v>Pure recognition/manipulation control: the prompt uniquely names the only object from the target category, while the physical target remains identical to the transfer row. Every object is RU.</x:v>
      </x:c>
      <x:c r="U71" s="13"/>
    </x:row>
    <x:row r="72" ht="51" customHeight="1">
      <x:c r="A72" s="5" t="str">
        <x:v>Not collected</x:v>
      </x:c>
      <x:c r="B72" s="4" t="n">
        <x:v>70</x:v>
      </x:c>
      <x:c r="C72" s="5" t="str">
        <x:v>Place the upright glass spice container in the bowl.</x:v>
      </x:c>
      <x:c r="D72" s="5" t="str">
        <x:v>glass spice container B (O, RU); glass spice container A (O, UD)</x:v>
      </x:c>
      <x:c r="E72" s="4"/>
      <x:c r="F72" s="4" t="str">
        <x:v>157</x:v>
      </x:c>
      <x:c r="G72" s="5" t="str">
        <x:v>Physical-state and manipulation-trajectory reference under a direct category prompt; the evaluated state word × object-category cell is intentionally absent from training.</x:v>
      </x:c>
      <x:c r="H72" s="5" t="str">
        <x:v>glass spice container B</x:v>
      </x:c>
      <x:c r="I72" s="5"/>
      <x:c r="J72" s="12" t="str">
        <x:v>Concept/compositional transfer</x:v>
      </x:c>
      <x:c r="K72" s="4" t="str">
        <x:v>SR-CT16</x:v>
      </x:c>
      <x:c r="L72" s="4" t="str">
        <x:v>RU</x:v>
      </x:c>
      <x:c r="M72" s="4" t="str">
        <x:v>glass spice container</x:v>
      </x:c>
      <x:c r="N72" s="4" t="n">
        <x:v>2</x:v>
      </x:c>
      <x:c r="O72" s="4" t="n">
        <x:v>1</x:v>
      </x:c>
      <x:c r="P72" s="4" t="str">
        <x:v>Empty</x:v>
      </x:c>
      <x:c r="Q72" s="5" t="str">
        <x:v>Primary held-out state-object composition</x:v>
      </x:c>
      <x:c r="R72" s="4" t="n">
        <x:v>3</x:v>
      </x:c>
      <x:c r="S72" s="5" t="str">
        <x:v>Build the listed same-category discrimination scene with the bowl empty.</x:v>
      </x:c>
      <x:c r="T72" s="5" t="str">
        <x:v>Two same-category candidates share the non-queried state axis; only the held-out state word identifies the target. The same-category candidates share the orthogonal C/O state (O).</x:v>
      </x:c>
      <x:c r="U72" s="5"/>
    </x:row>
    <x:row r="73" ht="51" customHeight="1">
      <x:c r="A73" s="13" t="str">
        <x:v>Not collected</x:v>
      </x:c>
      <x:c r="B73" s="14" t="n">
        <x:v>71</x:v>
      </x:c>
      <x:c r="C73" s="13" t="str">
        <x:v>Place a glass spice container in the bowl.</x:v>
      </x:c>
      <x:c r="D73" s="13" t="str">
        <x:v>glass spice container B (O, RU); white cup B (O, UD)</x:v>
      </x:c>
      <x:c r="E73" s="14" t="n">
        <x:v>70</x:v>
      </x:c>
      <x:c r="F73" s="14" t="n">
        <x:v>157</x:v>
      </x:c>
      <x:c r="G73" s="13" t="str">
        <x:v>Exact direct-category manipulation prompt from training episode 157. The transfer target, state, and pose are preserved; only the competing glass spice container is replaced by white cup B.</x:v>
      </x:c>
      <x:c r="H73" s="13" t="str">
        <x:v>glass spice container B</x:v>
      </x:c>
      <x:c r="I73" s="13"/>
      <x:c r="J73" s="15" t="str">
        <x:v>Matched manipulation control</x:v>
      </x:c>
      <x:c r="K73" s="14" t="str">
        <x:v>SR-CT16</x:v>
      </x:c>
      <x:c r="L73" s="14" t="str">
        <x:v>N/A</x:v>
      </x:c>
      <x:c r="M73" s="14" t="str">
        <x:v>glass spice container</x:v>
      </x:c>
      <x:c r="N73" s="14" t="n">
        <x:v>2</x:v>
      </x:c>
      <x:c r="O73" s="14" t="n">
        <x:v>1</x:v>
      </x:c>
      <x:c r="P73" s="14" t="str">
        <x:v>Empty</x:v>
      </x:c>
      <x:c r="Q73" s="13" t="str">
        <x:v>One-object-substitution direct-category control</x:v>
      </x:c>
      <x:c r="R73" s="14" t="n">
        <x:v>3</x:v>
      </x:c>
      <x:c r="S73" s="13" t="str">
        <x:v>Reset glass spice container B to its transfer pose. Replace glass spice container A with white cup B in the same location and use the states listed in this row; preserve all other objects.</x:v>
      </x:c>
      <x:c r="T73" s="13" t="str">
        <x:v>Pure recognition/manipulation control: the prompt uniquely names the only object from the target category, while the physical target remains identical to the transfer row.</x:v>
      </x:c>
      <x:c r="U73" s="13"/>
    </x:row>
    <x:row r="74" ht="51" customHeight="1">
      <x:c r="A74" s="5" t="str">
        <x:v>Not collected</x:v>
      </x:c>
      <x:c r="B74" s="4" t="n">
        <x:v>72</x:v>
      </x:c>
      <x:c r="C74" s="5" t="str">
        <x:v>Place the upside-down white cup in the bowl.</x:v>
      </x:c>
      <x:c r="D74" s="5" t="str">
        <x:v>white cup A (C, UD); white cup B (C, RU); brown cup A (C, RU)</x:v>
      </x:c>
      <x:c r="E74" s="4"/>
      <x:c r="F74" s="4" t="str">
        <x:v>35</x:v>
      </x:c>
      <x:c r="G74" s="5" t="str">
        <x:v>Physical-state and manipulation-trajectory reference under a direct category prompt; the evaluated state word × object-category cell is intentionally absent from training.</x:v>
      </x:c>
      <x:c r="H74" s="5" t="str">
        <x:v>white cup A</x:v>
      </x:c>
      <x:c r="I74" s="5"/>
      <x:c r="J74" s="12" t="str">
        <x:v>Concept/compositional transfer</x:v>
      </x:c>
      <x:c r="K74" s="4" t="str">
        <x:v>SR-CT17</x:v>
      </x:c>
      <x:c r="L74" s="4" t="str">
        <x:v>UD</x:v>
      </x:c>
      <x:c r="M74" s="4" t="str">
        <x:v>white cup</x:v>
      </x:c>
      <x:c r="N74" s="4" t="n">
        <x:v>3</x:v>
      </x:c>
      <x:c r="O74" s="4" t="n">
        <x:v>1</x:v>
      </x:c>
      <x:c r="P74" s="4" t="str">
        <x:v>Empty</x:v>
      </x:c>
      <x:c r="Q74" s="5" t="str">
        <x:v>Primary held-out state-object composition</x:v>
      </x:c>
      <x:c r="R74" s="4" t="n">
        <x:v>3</x:v>
      </x:c>
      <x:c r="S74" s="5" t="str">
        <x:v>Build the listed same-category discrimination scene with the bowl empty.</x:v>
      </x:c>
      <x:c r="T74" s="5" t="str">
        <x:v>Two same-category candidates share the non-queried state axis; only the held-out state word identifies the target. The same-category candidates share the orthogonal C/O state (C).</x:v>
      </x:c>
      <x:c r="U74" s="5"/>
    </x:row>
    <x:row r="75" ht="51" customHeight="1">
      <x:c r="A75" s="13" t="str">
        <x:v>Not collected</x:v>
      </x:c>
      <x:c r="B75" s="14" t="n">
        <x:v>73</x:v>
      </x:c>
      <x:c r="C75" s="13" t="str">
        <x:v>Put a white cup in the bowl.</x:v>
      </x:c>
      <x:c r="D75" s="13" t="str">
        <x:v>white cup A (C, UD); yellow-white striped cup A (C, RU); brown cup A (C, RU)</x:v>
      </x:c>
      <x:c r="E75" s="14" t="n">
        <x:v>72</x:v>
      </x:c>
      <x:c r="F75" s="14" t="n">
        <x:v>35</x:v>
      </x:c>
      <x:c r="G75" s="13" t="str">
        <x:v>Exact direct-category manipulation prompt from training episode 35. The transfer target, state, and pose are preserved; only the competing white cup is replaced by yellow-white striped cup A.</x:v>
      </x:c>
      <x:c r="H75" s="13" t="str">
        <x:v>white cup A</x:v>
      </x:c>
      <x:c r="I75" s="13"/>
      <x:c r="J75" s="15" t="str">
        <x:v>Matched manipulation control</x:v>
      </x:c>
      <x:c r="K75" s="14" t="str">
        <x:v>SR-CT17</x:v>
      </x:c>
      <x:c r="L75" s="14" t="str">
        <x:v>N/A</x:v>
      </x:c>
      <x:c r="M75" s="14" t="str">
        <x:v>white cup</x:v>
      </x:c>
      <x:c r="N75" s="14" t="n">
        <x:v>3</x:v>
      </x:c>
      <x:c r="O75" s="14" t="n">
        <x:v>1</x:v>
      </x:c>
      <x:c r="P75" s="14" t="str">
        <x:v>Empty</x:v>
      </x:c>
      <x:c r="Q75" s="13" t="str">
        <x:v>One-object-substitution direct-category control</x:v>
      </x:c>
      <x:c r="R75" s="14" t="n">
        <x:v>3</x:v>
      </x:c>
      <x:c r="S75" s="13" t="str">
        <x:v>Reset white cup A to its transfer pose. Replace white cup B with yellow-white striped cup A in the same location and use the states listed in this row; preserve all other objects.</x:v>
      </x:c>
      <x:c r="T75" s="13" t="str">
        <x:v>Pure recognition/manipulation control: the prompt uniquely names the only object from the target category, while the physical target remains identical to the transfer row.</x:v>
      </x:c>
      <x:c r="U75" s="13"/>
    </x:row>
    <x:row r="76" ht="51" customHeight="1">
      <x:c r="A76" s="5" t="str">
        <x:v>Not collected</x:v>
      </x:c>
      <x:c r="B76" s="4" t="n">
        <x:v>74</x:v>
      </x:c>
      <x:c r="C76" s="5" t="str">
        <x:v>Place the open yellow-white striped cup in the bowl.</x:v>
      </x:c>
      <x:c r="D76" s="5" t="str">
        <x:v>yellow-white striped cup B (O, RU); yellow-white striped cup A (C, RU); glass spice container B (O, RU); white cup A (C, RU)</x:v>
      </x:c>
      <x:c r="E76" s="4"/>
      <x:c r="F76" s="4" t="str">
        <x:v>72</x:v>
      </x:c>
      <x:c r="G76"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76" s="5" t="str">
        <x:v>yellow-white striped cup B</x:v>
      </x:c>
      <x:c r="I76" s="5"/>
      <x:c r="J76" s="12" t="str">
        <x:v>Concept/compositional transfer</x:v>
      </x:c>
      <x:c r="K76" s="4" t="str">
        <x:v>SR-CT18</x:v>
      </x:c>
      <x:c r="L76" s="4" t="str">
        <x:v>O</x:v>
      </x:c>
      <x:c r="M76" s="4" t="str">
        <x:v>yellow-white striped cup</x:v>
      </x:c>
      <x:c r="N76" s="4" t="n">
        <x:v>4</x:v>
      </x:c>
      <x:c r="O76" s="4" t="n">
        <x:v>1</x:v>
      </x:c>
      <x:c r="P76" s="4" t="str">
        <x:v>Empty</x:v>
      </x:c>
      <x:c r="Q76" s="5" t="str">
        <x:v>Primary held-out state-object composition</x:v>
      </x:c>
      <x:c r="R76" s="4" t="n">
        <x:v>3</x:v>
      </x:c>
      <x:c r="S76" s="5" t="str">
        <x:v>Build the listed same-category discrimination scene with the bowl empty.</x:v>
      </x:c>
      <x:c r="T76" s="5" t="str">
        <x:v>Two same-category candidates share the non-queried state axis; only the held-out state word identifies the target. The orthogonal orientation axis is fixed: every object is RU.</x:v>
      </x:c>
      <x:c r="U76" s="5"/>
    </x:row>
    <x:row r="77" ht="51" customHeight="1">
      <x:c r="A77" s="13" t="str">
        <x:v>Not collected</x:v>
      </x:c>
      <x:c r="B77" s="14" t="n">
        <x:v>75</x:v>
      </x:c>
      <x:c r="C77" s="13" t="str">
        <x:v>Move a yellow-white striped cup into the bowl.</x:v>
      </x:c>
      <x:c r="D77" s="13" t="str">
        <x:v>yellow-white striped cup B (O, RU); brown cup B (C, RU); glass spice container B (O, RU); white cup A (C, RU)</x:v>
      </x:c>
      <x:c r="E77" s="14" t="n">
        <x:v>74</x:v>
      </x:c>
      <x:c r="F77" s="14" t="n">
        <x:v>72</x:v>
      </x:c>
      <x:c r="G77" s="13" t="str">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H77" s="13" t="str">
        <x:v>yellow-white striped cup B</x:v>
      </x:c>
      <x:c r="I77" s="13"/>
      <x:c r="J77" s="15" t="str">
        <x:v>Matched manipulation control</x:v>
      </x:c>
      <x:c r="K77" s="14" t="str">
        <x:v>SR-CT18</x:v>
      </x:c>
      <x:c r="L77" s="14" t="str">
        <x:v>N/A</x:v>
      </x:c>
      <x:c r="M77" s="14" t="str">
        <x:v>yellow-white striped cup</x:v>
      </x:c>
      <x:c r="N77" s="14" t="n">
        <x:v>4</x:v>
      </x:c>
      <x:c r="O77" s="14" t="n">
        <x:v>1</x:v>
      </x:c>
      <x:c r="P77" s="14" t="str">
        <x:v>Empty</x:v>
      </x:c>
      <x:c r="Q77" s="13" t="str">
        <x:v>One-object-substitution direct-category control</x:v>
      </x:c>
      <x:c r="R77" s="14" t="n">
        <x:v>3</x:v>
      </x:c>
      <x:c r="S77" s="13" t="str">
        <x:v>Reset yellow-white striped cup B to its transfer pose. Replace yellow-white striped cup A with brown cup B in the same location and use the states listed in this row; preserve all other objects.</x:v>
      </x:c>
      <x:c r="T77" s="13" t="str">
        <x:v>Pure recognition/manipulation control: the prompt uniquely names the only object from the target category, while the physical target remains identical to the transfer row. Every object is RU.</x:v>
      </x:c>
      <x:c r="U77" s="13"/>
    </x:row>
    <x:row r="78" ht="51" customHeight="1">
      <x:c r="A78" s="5" t="str">
        <x:v>Not collected</x:v>
      </x:c>
      <x:c r="B78" s="4" t="n">
        <x:v>76</x:v>
      </x:c>
      <x:c r="C78" s="5" t="str">
        <x:v>Place the closed brown cup in the bowl.</x:v>
      </x:c>
      <x:c r="D78" s="5" t="str">
        <x:v>brown cup A (C, RU); brown cup B (O, RU)</x:v>
      </x:c>
      <x:c r="E78" s="4"/>
      <x:c r="F78" s="4" t="str">
        <x:v>105</x:v>
      </x:c>
      <x:c r="G78"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78" s="5" t="str">
        <x:v>brown cup A</x:v>
      </x:c>
      <x:c r="I78" s="5"/>
      <x:c r="J78" s="12" t="str">
        <x:v>Concept/compositional transfer</x:v>
      </x:c>
      <x:c r="K78" s="4" t="str">
        <x:v>SR-CT19</x:v>
      </x:c>
      <x:c r="L78" s="4" t="str">
        <x:v>C</x:v>
      </x:c>
      <x:c r="M78" s="4" t="str">
        <x:v>brown cup</x:v>
      </x:c>
      <x:c r="N78" s="4" t="n">
        <x:v>2</x:v>
      </x:c>
      <x:c r="O78" s="4" t="n">
        <x:v>1</x:v>
      </x:c>
      <x:c r="P78" s="4" t="str">
        <x:v>Empty</x:v>
      </x:c>
      <x:c r="Q78" s="5" t="str">
        <x:v>Primary held-out state-object composition</x:v>
      </x:c>
      <x:c r="R78" s="4" t="n">
        <x:v>3</x:v>
      </x:c>
      <x:c r="S78" s="5" t="str">
        <x:v>Build the listed same-category discrimination scene with the bowl empty.</x:v>
      </x:c>
      <x:c r="T78" s="5" t="str">
        <x:v>Two same-category candidates share the non-queried state axis; only the held-out state word identifies the target. The orthogonal orientation axis is fixed: every object is RU.</x:v>
      </x:c>
      <x:c r="U78" s="5"/>
    </x:row>
    <x:row r="79" ht="51" customHeight="1">
      <x:c r="A79" s="13" t="str">
        <x:v>Not collected</x:v>
      </x:c>
      <x:c r="B79" s="14" t="n">
        <x:v>77</x:v>
      </x:c>
      <x:c r="C79" s="13" t="str">
        <x:v>Move a brown cup into the bowl.</x:v>
      </x:c>
      <x:c r="D79" s="13" t="str">
        <x:v>brown cup A (C, RU); white cup A (O, RU)</x:v>
      </x:c>
      <x:c r="E79" s="14" t="n">
        <x:v>76</x:v>
      </x:c>
      <x:c r="F79" s="14" t="n">
        <x:v>105</x:v>
      </x:c>
      <x:c r="G79" s="13" t="str">
        <x:v>Exact direct-category manipulation prompt from training episode 105. The transfer target, state, and pose are preserved; only the competing brown cup is replaced by white cup A. The full control scene is upright because its paired transfer instruction queries open/closed.</x:v>
      </x:c>
      <x:c r="H79" s="13" t="str">
        <x:v>brown cup A</x:v>
      </x:c>
      <x:c r="I79" s="13"/>
      <x:c r="J79" s="15" t="str">
        <x:v>Matched manipulation control</x:v>
      </x:c>
      <x:c r="K79" s="14" t="str">
        <x:v>SR-CT19</x:v>
      </x:c>
      <x:c r="L79" s="14" t="str">
        <x:v>N/A</x:v>
      </x:c>
      <x:c r="M79" s="14" t="str">
        <x:v>brown cup</x:v>
      </x:c>
      <x:c r="N79" s="14" t="n">
        <x:v>2</x:v>
      </x:c>
      <x:c r="O79" s="14" t="n">
        <x:v>1</x:v>
      </x:c>
      <x:c r="P79" s="14" t="str">
        <x:v>Empty</x:v>
      </x:c>
      <x:c r="Q79" s="13" t="str">
        <x:v>One-object-substitution direct-category control</x:v>
      </x:c>
      <x:c r="R79" s="14" t="n">
        <x:v>3</x:v>
      </x:c>
      <x:c r="S79" s="13" t="str">
        <x:v>Reset brown cup A to its transfer pose. Replace brown cup B with white cup A in the same location and use the states listed in this row; preserve all other objects.</x:v>
      </x:c>
      <x:c r="T79" s="13" t="str">
        <x:v>Pure recognition/manipulation control: the prompt uniquely names the only object from the target category, while the physical target remains identical to the transfer row. Every object is RU.</x:v>
      </x:c>
      <x:c r="U79" s="13"/>
    </x:row>
    <x:row r="80" ht="51" customHeight="1">
      <x:c r="A80" s="5" t="str">
        <x:v>Not collected</x:v>
      </x:c>
      <x:c r="B80" s="4" t="n">
        <x:v>78</x:v>
      </x:c>
      <x:c r="C80" s="5" t="str">
        <x:v>Place the upright glass spice container in the bowl.</x:v>
      </x:c>
      <x:c r="D80" s="5" t="str">
        <x:v>glass spice container B (C, RU); glass spice container A (C, UD); yellow-white striped cup B (O, UD)</x:v>
      </x:c>
      <x:c r="E80" s="4"/>
      <x:c r="F80" s="4" t="str">
        <x:v>179</x:v>
      </x:c>
      <x:c r="G80" s="5" t="str">
        <x:v>Physical-state and manipulation-trajectory reference under a direct category prompt; the evaluated state word × object-category cell is intentionally absent from training.</x:v>
      </x:c>
      <x:c r="H80" s="5" t="str">
        <x:v>glass spice container B</x:v>
      </x:c>
      <x:c r="I80" s="5"/>
      <x:c r="J80" s="12" t="str">
        <x:v>Concept/compositional transfer</x:v>
      </x:c>
      <x:c r="K80" s="4" t="str">
        <x:v>SR-CT20</x:v>
      </x:c>
      <x:c r="L80" s="4" t="str">
        <x:v>RU</x:v>
      </x:c>
      <x:c r="M80" s="4" t="str">
        <x:v>glass spice container</x:v>
      </x:c>
      <x:c r="N80" s="4" t="n">
        <x:v>3</x:v>
      </x:c>
      <x:c r="O80" s="4" t="n">
        <x:v>1</x:v>
      </x:c>
      <x:c r="P80" s="4" t="str">
        <x:v>Empty</x:v>
      </x:c>
      <x:c r="Q80" s="5" t="str">
        <x:v>Primary held-out state-object composition</x:v>
      </x:c>
      <x:c r="R80" s="4" t="n">
        <x:v>3</x:v>
      </x:c>
      <x:c r="S80" s="5" t="str">
        <x:v>Build the listed same-category discrimination scene with the bowl empty.</x:v>
      </x:c>
      <x:c r="T80" s="5" t="str">
        <x:v>Two same-category candidates share the non-queried state axis; only the held-out state word identifies the target. The same-category candidates share the orthogonal C/O state (C).</x:v>
      </x:c>
      <x:c r="U80" s="5"/>
    </x:row>
    <x:row r="81" ht="51" customHeight="1">
      <x:c r="A81" s="13" t="str">
        <x:v>Not collected</x:v>
      </x:c>
      <x:c r="B81" s="14" t="n">
        <x:v>79</x:v>
      </x:c>
      <x:c r="C81" s="13" t="str">
        <x:v>Put a glass spice container in the bowl.</x:v>
      </x:c>
      <x:c r="D81" s="13" t="str">
        <x:v>glass spice container B (C, RU); brown cup B (C, UD); yellow-white striped cup B (O, UD)</x:v>
      </x:c>
      <x:c r="E81" s="14" t="n">
        <x:v>78</x:v>
      </x:c>
      <x:c r="F81" s="14" t="n">
        <x:v>179</x:v>
      </x:c>
      <x:c r="G81" s="13" t="str">
        <x:v>Exact direct-category manipulation prompt from training episode 179. The transfer target, state, and pose are preserved; only the competing glass spice container is replaced by brown cup B.</x:v>
      </x:c>
      <x:c r="H81" s="13" t="str">
        <x:v>glass spice container B</x:v>
      </x:c>
      <x:c r="I81" s="13"/>
      <x:c r="J81" s="15" t="str">
        <x:v>Matched manipulation control</x:v>
      </x:c>
      <x:c r="K81" s="14" t="str">
        <x:v>SR-CT20</x:v>
      </x:c>
      <x:c r="L81" s="14" t="str">
        <x:v>N/A</x:v>
      </x:c>
      <x:c r="M81" s="14" t="str">
        <x:v>glass spice container</x:v>
      </x:c>
      <x:c r="N81" s="14" t="n">
        <x:v>3</x:v>
      </x:c>
      <x:c r="O81" s="14" t="n">
        <x:v>1</x:v>
      </x:c>
      <x:c r="P81" s="14" t="str">
        <x:v>Empty</x:v>
      </x:c>
      <x:c r="Q81" s="13" t="str">
        <x:v>One-object-substitution direct-category control</x:v>
      </x:c>
      <x:c r="R81" s="14" t="n">
        <x:v>3</x:v>
      </x:c>
      <x:c r="S81" s="13" t="str">
        <x:v>Reset glass spice container B to its transfer pose. Replace glass spice container A with brown cup B in the same location and use the states listed in this row; preserve all other objects.</x:v>
      </x:c>
      <x:c r="T81" s="13" t="str">
        <x:v>Pure recognition/manipulation control: the prompt uniquely names the only object from the target category, while the physical target remains identical to the transfer row.</x:v>
      </x:c>
      <x:c r="U81" s="13"/>
    </x:row>
    <x:row r="82" ht="51" customHeight="1">
      <x:c r="A82" s="5" t="str">
        <x:v>Not collected</x:v>
      </x:c>
      <x:c r="B82" s="4" t="n">
        <x:v>80</x:v>
      </x:c>
      <x:c r="C82" s="5" t="str">
        <x:v>Place the upside-down white cup in the bowl.</x:v>
      </x:c>
      <x:c r="D82" s="5" t="str">
        <x:v>white cup A (O, UD); white cup B (O, RU); glass spice container A (C, RU); yellow-white striped cup B (O, RU)</x:v>
      </x:c>
      <x:c r="E82" s="4"/>
      <x:c r="F82" s="4" t="str">
        <x:v>34</x:v>
      </x:c>
      <x:c r="G82" s="5" t="str">
        <x:v>Physical-state and manipulation-trajectory reference under a direct category prompt; the evaluated state word × object-category cell is intentionally absent from training.</x:v>
      </x:c>
      <x:c r="H82" s="5" t="str">
        <x:v>white cup A</x:v>
      </x:c>
      <x:c r="I82" s="5"/>
      <x:c r="J82" s="12" t="str">
        <x:v>Concept/compositional transfer</x:v>
      </x:c>
      <x:c r="K82" s="4" t="str">
        <x:v>SR-CT21</x:v>
      </x:c>
      <x:c r="L82" s="4" t="str">
        <x:v>UD</x:v>
      </x:c>
      <x:c r="M82" s="4" t="str">
        <x:v>white cup</x:v>
      </x:c>
      <x:c r="N82" s="4" t="n">
        <x:v>4</x:v>
      </x:c>
      <x:c r="O82" s="4" t="n">
        <x:v>1</x:v>
      </x:c>
      <x:c r="P82" s="4" t="str">
        <x:v>Empty</x:v>
      </x:c>
      <x:c r="Q82" s="5" t="str">
        <x:v>Primary held-out state-object composition</x:v>
      </x:c>
      <x:c r="R82" s="4" t="n">
        <x:v>4</x:v>
      </x:c>
      <x:c r="S82" s="5" t="str">
        <x:v>Build the listed same-category discrimination scene with the bowl empty.</x:v>
      </x:c>
      <x:c r="T82" s="5" t="str">
        <x:v>Two same-category candidates share the non-queried state axis; only the held-out state word identifies the target. The same-category candidates share the orthogonal C/O state (O).</x:v>
      </x:c>
      <x:c r="U82" s="5"/>
    </x:row>
    <x:row r="83" ht="51" customHeight="1">
      <x:c r="A83" s="11" t="str">
        <x:v>Not collected</x:v>
      </x:c>
      <x:c r="B83" s="10" t="n">
        <x:v>81</x:v>
      </x:c>
      <x:c r="C83" s="11" t="str">
        <x:v>Place the open yellow-white striped cup in the bowl.</x:v>
      </x:c>
      <x:c r="D83" s="11" t="str">
        <x:v>yellow-white striped cup B (O, RU); yellow-white striped cup A (C, RU)</x:v>
      </x:c>
      <x:c r="E83" s="10"/>
      <x:c r="F83" s="10" t="str">
        <x:v>53</x:v>
      </x:c>
      <x:c r="G83"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83" s="11" t="str">
        <x:v>yellow-white striped cup B</x:v>
      </x:c>
      <x:c r="I83" s="11"/>
      <x:c r="J83" s="12" t="str">
        <x:v>Concept/compositional transfer</x:v>
      </x:c>
      <x:c r="K83" s="10" t="str">
        <x:v>SR-CT22</x:v>
      </x:c>
      <x:c r="L83" s="10" t="str">
        <x:v>O</x:v>
      </x:c>
      <x:c r="M83" s="10" t="str">
        <x:v>yellow-white striped cup</x:v>
      </x:c>
      <x:c r="N83" s="10" t="n">
        <x:v>2</x:v>
      </x:c>
      <x:c r="O83" s="10" t="n">
        <x:v>1</x:v>
      </x:c>
      <x:c r="P83" s="10" t="str">
        <x:v>Empty</x:v>
      </x:c>
      <x:c r="Q83" s="11" t="str">
        <x:v>Primary held-out state-object composition</x:v>
      </x:c>
      <x:c r="R83" s="10" t="n">
        <x:v>4</x:v>
      </x:c>
      <x:c r="S83" s="11" t="str">
        <x:v>Build the listed same-category discrimination scene with the bowl empty.</x:v>
      </x:c>
      <x:c r="T83" s="11" t="str">
        <x:v>Two same-category candidates share the non-queried state axis; only the held-out state word identifies the target. The orthogonal orientation axis is fixed: every object is RU.</x:v>
      </x:c>
      <x:c r="U83" s="11"/>
    </x:row>
    <x:row r="84" ht="51" customHeight="1">
      <x:c r="A84" s="5" t="str">
        <x:v>Not collected</x:v>
      </x:c>
      <x:c r="B84" s="4" t="n">
        <x:v>82</x:v>
      </x:c>
      <x:c r="C84" s="5" t="str">
        <x:v>Place the closed brown cup in the bowl.</x:v>
      </x:c>
      <x:c r="D84" s="5" t="str">
        <x:v>brown cup A (C, RU); brown cup B (O, RU); yellow-white striped cup A (C, RU)</x:v>
      </x:c>
      <x:c r="E84" s="4"/>
      <x:c r="F84" s="4" t="str">
        <x:v>107</x:v>
      </x:c>
      <x:c r="G84"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84" s="5" t="str">
        <x:v>brown cup A</x:v>
      </x:c>
      <x:c r="I84" s="5"/>
      <x:c r="J84" s="12" t="str">
        <x:v>Concept/compositional transfer</x:v>
      </x:c>
      <x:c r="K84" s="4" t="str">
        <x:v>SR-CT23</x:v>
      </x:c>
      <x:c r="L84" s="4" t="str">
        <x:v>C</x:v>
      </x:c>
      <x:c r="M84" s="4" t="str">
        <x:v>brown cup</x:v>
      </x:c>
      <x:c r="N84" s="4" t="n">
        <x:v>3</x:v>
      </x:c>
      <x:c r="O84" s="4" t="n">
        <x:v>1</x:v>
      </x:c>
      <x:c r="P84" s="4" t="str">
        <x:v>Empty</x:v>
      </x:c>
      <x:c r="Q84" s="5" t="str">
        <x:v>Primary held-out state-object composition</x:v>
      </x:c>
      <x:c r="R84" s="4" t="n">
        <x:v>4</x:v>
      </x:c>
      <x:c r="S84" s="5" t="str">
        <x:v>Build the listed same-category discrimination scene with the bowl empty.</x:v>
      </x:c>
      <x:c r="T84" s="5" t="str">
        <x:v>Two same-category candidates share the non-queried state axis; only the held-out state word identifies the target. The orthogonal orientation axis is fixed: every object is RU.</x:v>
      </x:c>
      <x:c r="U84" s="5"/>
    </x:row>
    <x:row r="85" ht="51" customHeight="1">
      <x:c r="A85" s="11" t="str">
        <x:v>Not collected</x:v>
      </x:c>
      <x:c r="B85" s="10" t="n">
        <x:v>83</x:v>
      </x:c>
      <x:c r="C85" s="11" t="str">
        <x:v>Place the upright glass spice container in the bowl.</x:v>
      </x:c>
      <x:c r="D85" s="11" t="str">
        <x:v>glass spice container B (O, RU); glass spice container A (O, UD); brown cup B (O, UD); white cup A (C, RU)</x:v>
      </x:c>
      <x:c r="E85" s="10"/>
      <x:c r="F85" s="10" t="str">
        <x:v>183</x:v>
      </x:c>
      <x:c r="G85" s="11" t="str">
        <x:v>Physical-state and manipulation-trajectory reference under a direct category prompt; the evaluated state word × object-category cell is intentionally absent from training.</x:v>
      </x:c>
      <x:c r="H85" s="11" t="str">
        <x:v>glass spice container B</x:v>
      </x:c>
      <x:c r="I85" s="11"/>
      <x:c r="J85" s="12" t="str">
        <x:v>Concept/compositional transfer</x:v>
      </x:c>
      <x:c r="K85" s="10" t="str">
        <x:v>SR-CT24</x:v>
      </x:c>
      <x:c r="L85" s="10" t="str">
        <x:v>RU</x:v>
      </x:c>
      <x:c r="M85" s="10" t="str">
        <x:v>glass spice container</x:v>
      </x:c>
      <x:c r="N85" s="10" t="n">
        <x:v>4</x:v>
      </x:c>
      <x:c r="O85" s="10" t="n">
        <x:v>1</x:v>
      </x:c>
      <x:c r="P85" s="10" t="str">
        <x:v>Empty</x:v>
      </x:c>
      <x:c r="Q85" s="11" t="str">
        <x:v>Primary held-out state-object composition</x:v>
      </x:c>
      <x:c r="R85" s="10" t="n">
        <x:v>4</x:v>
      </x:c>
      <x:c r="S85" s="11" t="str">
        <x:v>Build the listed same-category discrimination scene with the bowl empty.</x:v>
      </x:c>
      <x:c r="T85" s="11" t="str">
        <x:v>Two same-category candidates share the non-queried state axis; only the held-out state word identifies the target. The same-category candidates share the orthogonal C/O state (O).</x:v>
      </x:c>
      <x:c r="U85" s="11"/>
    </x:row>
    <x:row r="86" ht="51" customHeight="1">
      <x:c r="A86" s="5" t="str">
        <x:v>Not collected</x:v>
      </x:c>
      <x:c r="B86" s="4" t="n">
        <x:v>84</x:v>
      </x:c>
      <x:c r="C86" s="5" t="str">
        <x:v>Place the upside-down white cup in the bowl.</x:v>
      </x:c>
      <x:c r="D86" s="5" t="str">
        <x:v>white cup A (C, UD); white cup B (C, RU)</x:v>
      </x:c>
      <x:c r="E86" s="4"/>
      <x:c r="F86" s="4" t="str">
        <x:v>39</x:v>
      </x:c>
      <x:c r="G86" s="5" t="str">
        <x:v>Physical-state and manipulation-trajectory reference under a direct category prompt; the evaluated state word × object-category cell is intentionally absent from training.</x:v>
      </x:c>
      <x:c r="H86" s="5" t="str">
        <x:v>white cup A</x:v>
      </x:c>
      <x:c r="I86" s="5"/>
      <x:c r="J86" s="12" t="str">
        <x:v>Concept/compositional transfer</x:v>
      </x:c>
      <x:c r="K86" s="4" t="str">
        <x:v>SR-CT25</x:v>
      </x:c>
      <x:c r="L86" s="4" t="str">
        <x:v>UD</x:v>
      </x:c>
      <x:c r="M86" s="4" t="str">
        <x:v>white cup</x:v>
      </x:c>
      <x:c r="N86" s="4" t="n">
        <x:v>2</x:v>
      </x:c>
      <x:c r="O86" s="4" t="n">
        <x:v>1</x:v>
      </x:c>
      <x:c r="P86" s="4" t="str">
        <x:v>Empty</x:v>
      </x:c>
      <x:c r="Q86" s="5" t="str">
        <x:v>Primary held-out state-object composition</x:v>
      </x:c>
      <x:c r="R86" s="4" t="n">
        <x:v>4</x:v>
      </x:c>
      <x:c r="S86" s="5" t="str">
        <x:v>Build the listed same-category discrimination scene with the bowl empty.</x:v>
      </x:c>
      <x:c r="T86" s="5" t="str">
        <x:v>Two same-category candidates share the non-queried state axis; only the held-out state word identifies the target. The same-category candidates share the orthogonal C/O state (C).</x:v>
      </x:c>
      <x:c r="U86" s="5"/>
    </x:row>
    <x:row r="87" ht="51" customHeight="1">
      <x:c r="A87" s="11" t="str">
        <x:v>Not collected</x:v>
      </x:c>
      <x:c r="B87" s="10" t="n">
        <x:v>85</x:v>
      </x:c>
      <x:c r="C87" s="11" t="str">
        <x:v>Place the open yellow-white striped cup in the bowl.</x:v>
      </x:c>
      <x:c r="D87" s="11" t="str">
        <x:v>yellow-white striped cup B (O, RU); yellow-white striped cup A (C, RU); brown cup B (O, RU)</x:v>
      </x:c>
      <x:c r="E87" s="10"/>
      <x:c r="F87" s="10" t="str">
        <x:v>64</x:v>
      </x:c>
      <x:c r="G87"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87" s="11" t="str">
        <x:v>yellow-white striped cup B</x:v>
      </x:c>
      <x:c r="I87" s="11"/>
      <x:c r="J87" s="12" t="str">
        <x:v>Concept/compositional transfer</x:v>
      </x:c>
      <x:c r="K87" s="10" t="str">
        <x:v>SR-CT26</x:v>
      </x:c>
      <x:c r="L87" s="10" t="str">
        <x:v>O</x:v>
      </x:c>
      <x:c r="M87" s="10" t="str">
        <x:v>yellow-white striped cup</x:v>
      </x:c>
      <x:c r="N87" s="10" t="n">
        <x:v>3</x:v>
      </x:c>
      <x:c r="O87" s="10" t="n">
        <x:v>1</x:v>
      </x:c>
      <x:c r="P87" s="10" t="str">
        <x:v>Empty</x:v>
      </x:c>
      <x:c r="Q87" s="11" t="str">
        <x:v>Primary held-out state-object composition</x:v>
      </x:c>
      <x:c r="R87" s="10" t="n">
        <x:v>4</x:v>
      </x:c>
      <x:c r="S87" s="11" t="str">
        <x:v>Build the listed same-category discrimination scene with the bowl empty.</x:v>
      </x:c>
      <x:c r="T87" s="11" t="str">
        <x:v>Two same-category candidates share the non-queried state axis; only the held-out state word identifies the target. The orthogonal orientation axis is fixed: every object is RU.</x:v>
      </x:c>
      <x:c r="U87" s="11"/>
    </x:row>
    <x:row r="88" ht="51" customHeight="1">
      <x:c r="A88" s="5" t="str">
        <x:v>Not collected</x:v>
      </x:c>
      <x:c r="B88" s="4" t="n">
        <x:v>86</x:v>
      </x:c>
      <x:c r="C88" s="5" t="str">
        <x:v>Place the closed brown cup in the bowl.</x:v>
      </x:c>
      <x:c r="D88" s="5" t="str">
        <x:v>brown cup A (C, RU); brown cup B (O, RU); glass spice container A (C, RU); white cup B (O, RU)</x:v>
      </x:c>
      <x:c r="E88" s="4"/>
      <x:c r="F88" s="4" t="str">
        <x:v>143</x:v>
      </x:c>
      <x:c r="G88"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88" s="5" t="str">
        <x:v>brown cup A</x:v>
      </x:c>
      <x:c r="I88" s="5"/>
      <x:c r="J88" s="12" t="str">
        <x:v>Concept/compositional transfer</x:v>
      </x:c>
      <x:c r="K88" s="4" t="str">
        <x:v>SR-CT27</x:v>
      </x:c>
      <x:c r="L88" s="4" t="str">
        <x:v>C</x:v>
      </x:c>
      <x:c r="M88" s="4" t="str">
        <x:v>brown cup</x:v>
      </x:c>
      <x:c r="N88" s="4" t="n">
        <x:v>4</x:v>
      </x:c>
      <x:c r="O88" s="4" t="n">
        <x:v>1</x:v>
      </x:c>
      <x:c r="P88" s="4" t="str">
        <x:v>Empty</x:v>
      </x:c>
      <x:c r="Q88" s="5" t="str">
        <x:v>Primary held-out state-object composition</x:v>
      </x:c>
      <x:c r="R88" s="4" t="n">
        <x:v>4</x:v>
      </x:c>
      <x:c r="S88" s="5" t="str">
        <x:v>Build the listed same-category discrimination scene with the bowl empty.</x:v>
      </x:c>
      <x:c r="T88" s="5" t="str">
        <x:v>Two same-category candidates share the non-queried state axis; only the held-out state word identifies the target. The orthogonal orientation axis is fixed: every object is RU.</x:v>
      </x:c>
      <x:c r="U88" s="5"/>
    </x:row>
    <x:row r="89" ht="51" customHeight="1">
      <x:c r="A89" s="11" t="str">
        <x:v>Not collected</x:v>
      </x:c>
      <x:c r="B89" s="10" t="n">
        <x:v>87</x:v>
      </x:c>
      <x:c r="C89" s="11" t="str">
        <x:v>Place the upright glass spice container in the bowl.</x:v>
      </x:c>
      <x:c r="D89" s="11" t="str">
        <x:v>glass spice container B (C, RU); glass spice container A (C, UD)</x:v>
      </x:c>
      <x:c r="E89" s="10"/>
      <x:c r="F89" s="10" t="str">
        <x:v>182</x:v>
      </x:c>
      <x:c r="G89" s="11" t="str">
        <x:v>Physical-state and manipulation-trajectory reference under a direct category prompt; the evaluated state word × object-category cell is intentionally absent from training.</x:v>
      </x:c>
      <x:c r="H89" s="11" t="str">
        <x:v>glass spice container B</x:v>
      </x:c>
      <x:c r="I89" s="11"/>
      <x:c r="J89" s="12" t="str">
        <x:v>Concept/compositional transfer</x:v>
      </x:c>
      <x:c r="K89" s="10" t="str">
        <x:v>SR-CT28</x:v>
      </x:c>
      <x:c r="L89" s="10" t="str">
        <x:v>RU</x:v>
      </x:c>
      <x:c r="M89" s="10" t="str">
        <x:v>glass spice container</x:v>
      </x:c>
      <x:c r="N89" s="10" t="n">
        <x:v>2</x:v>
      </x:c>
      <x:c r="O89" s="10" t="n">
        <x:v>1</x:v>
      </x:c>
      <x:c r="P89" s="10" t="str">
        <x:v>Empty</x:v>
      </x:c>
      <x:c r="Q89" s="11" t="str">
        <x:v>Primary held-out state-object composition</x:v>
      </x:c>
      <x:c r="R89" s="10" t="n">
        <x:v>4</x:v>
      </x:c>
      <x:c r="S89" s="11" t="str">
        <x:v>Build the listed same-category discrimination scene with the bowl empty.</x:v>
      </x:c>
      <x:c r="T89" s="11" t="str">
        <x:v>Two same-category candidates share the non-queried state axis; only the held-out state word identifies the target. The same-category candidates share the orthogonal C/O state (C).</x:v>
      </x:c>
      <x:c r="U89" s="11"/>
    </x:row>
    <x:row r="90" ht="51" customHeight="1">
      <x:c r="A90" s="5" t="str">
        <x:v>Not collected</x:v>
      </x:c>
      <x:c r="B90" s="4" t="n">
        <x:v>88</x:v>
      </x:c>
      <x:c r="C90" s="5" t="str">
        <x:v>Place the upside-down white cup in the bowl.</x:v>
      </x:c>
      <x:c r="D90" s="5" t="str">
        <x:v>white cup A (O, UD); white cup B (O, RU); brown cup A (C, RU)</x:v>
      </x:c>
      <x:c r="E90" s="4"/>
      <x:c r="F90" s="4" t="str">
        <x:v>49</x:v>
      </x:c>
      <x:c r="G90" s="5" t="str">
        <x:v>Physical-state and manipulation-trajectory reference under a direct category prompt; the evaluated state word × object-category cell is intentionally absent from training.</x:v>
      </x:c>
      <x:c r="H90" s="5" t="str">
        <x:v>white cup A</x:v>
      </x:c>
      <x:c r="I90" s="5"/>
      <x:c r="J90" s="12" t="str">
        <x:v>Concept/compositional transfer</x:v>
      </x:c>
      <x:c r="K90" s="4" t="str">
        <x:v>SR-CT29</x:v>
      </x:c>
      <x:c r="L90" s="4" t="str">
        <x:v>UD</x:v>
      </x:c>
      <x:c r="M90" s="4" t="str">
        <x:v>white cup</x:v>
      </x:c>
      <x:c r="N90" s="4" t="n">
        <x:v>3</x:v>
      </x:c>
      <x:c r="O90" s="4" t="n">
        <x:v>1</x:v>
      </x:c>
      <x:c r="P90" s="4" t="str">
        <x:v>Empty</x:v>
      </x:c>
      <x:c r="Q90" s="5" t="str">
        <x:v>Primary held-out state-object composition</x:v>
      </x:c>
      <x:c r="R90" s="4" t="n">
        <x:v>4</x:v>
      </x:c>
      <x:c r="S90" s="5" t="str">
        <x:v>Build the listed same-category discrimination scene with the bowl empty.</x:v>
      </x:c>
      <x:c r="T90" s="5" t="str">
        <x:v>Two same-category candidates share the non-queried state axis; only the held-out state word identifies the target. The same-category candidates share the orthogonal C/O state (O).</x:v>
      </x:c>
      <x:c r="U90" s="5"/>
    </x:row>
    <x:row r="91" ht="51" customHeight="1">
      <x:c r="A91" s="11" t="str">
        <x:v>Not collected</x:v>
      </x:c>
      <x:c r="B91" s="10" t="n">
        <x:v>89</x:v>
      </x:c>
      <x:c r="C91" s="11" t="str">
        <x:v>Place the open yellow-white striped cup in the bowl.</x:v>
      </x:c>
      <x:c r="D91" s="11" t="str">
        <x:v>yellow-white striped cup B (O, RU); yellow-white striped cup A (C, RU); glass spice container B (O, RU); white cup A (C, RU)</x:v>
      </x:c>
      <x:c r="E91" s="10"/>
      <x:c r="F91" s="10" t="str">
        <x:v>53</x:v>
      </x:c>
      <x:c r="G91"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91" s="11" t="str">
        <x:v>yellow-white striped cup B</x:v>
      </x:c>
      <x:c r="I91" s="11"/>
      <x:c r="J91" s="12" t="str">
        <x:v>Concept/compositional transfer</x:v>
      </x:c>
      <x:c r="K91" s="10" t="str">
        <x:v>SR-CT30</x:v>
      </x:c>
      <x:c r="L91" s="10" t="str">
        <x:v>O</x:v>
      </x:c>
      <x:c r="M91" s="10" t="str">
        <x:v>yellow-white striped cup</x:v>
      </x:c>
      <x:c r="N91" s="10" t="n">
        <x:v>4</x:v>
      </x:c>
      <x:c r="O91" s="10" t="n">
        <x:v>1</x:v>
      </x:c>
      <x:c r="P91" s="10" t="str">
        <x:v>Empty</x:v>
      </x:c>
      <x:c r="Q91" s="11" t="str">
        <x:v>Primary held-out state-object composition</x:v>
      </x:c>
      <x:c r="R91" s="10" t="n">
        <x:v>4</x:v>
      </x:c>
      <x:c r="S91" s="11" t="str">
        <x:v>Build the listed same-category discrimination scene with the bowl empty.</x:v>
      </x:c>
      <x:c r="T91" s="11" t="str">
        <x:v>Two same-category candidates share the non-queried state axis; only the held-out state word identifies the target. The orthogonal orientation axis is fixed: every object is RU.</x:v>
      </x:c>
      <x:c r="U91" s="11"/>
    </x:row>
    <x:row r="92" ht="51" customHeight="1">
      <x:c r="A92" s="5" t="str">
        <x:v>Not collected</x:v>
      </x:c>
      <x:c r="B92" s="4" t="n">
        <x:v>90</x:v>
      </x:c>
      <x:c r="C92" s="5" t="str">
        <x:v>Place the closed brown cup in the bowl.</x:v>
      </x:c>
      <x:c r="D92" s="5" t="str">
        <x:v>brown cup A (C, RU); brown cup B (O, RU)</x:v>
      </x:c>
      <x:c r="E92" s="4"/>
      <x:c r="F92" s="4" t="str">
        <x:v>129</x:v>
      </x:c>
      <x:c r="G92"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92" s="5" t="str">
        <x:v>brown cup A</x:v>
      </x:c>
      <x:c r="I92" s="5"/>
      <x:c r="J92" s="12" t="str">
        <x:v>Concept/compositional transfer</x:v>
      </x:c>
      <x:c r="K92" s="4" t="str">
        <x:v>SR-CT31</x:v>
      </x:c>
      <x:c r="L92" s="4" t="str">
        <x:v>C</x:v>
      </x:c>
      <x:c r="M92" s="4" t="str">
        <x:v>brown cup</x:v>
      </x:c>
      <x:c r="N92" s="4" t="n">
        <x:v>2</x:v>
      </x:c>
      <x:c r="O92" s="4" t="n">
        <x:v>1</x:v>
      </x:c>
      <x:c r="P92" s="4" t="str">
        <x:v>Empty</x:v>
      </x:c>
      <x:c r="Q92" s="5" t="str">
        <x:v>Primary held-out state-object composition</x:v>
      </x:c>
      <x:c r="R92" s="4" t="n">
        <x:v>4</x:v>
      </x:c>
      <x:c r="S92" s="5" t="str">
        <x:v>Build the listed same-category discrimination scene with the bowl empty.</x:v>
      </x:c>
      <x:c r="T92" s="5" t="str">
        <x:v>Two same-category candidates share the non-queried state axis; only the held-out state word identifies the target. The orthogonal orientation axis is fixed: every object is RU.</x:v>
      </x:c>
      <x:c r="U92" s="5"/>
    </x:row>
    <x:row r="93" ht="51" customHeight="1">
      <x:c r="A93" s="11" t="str">
        <x:v>Not collected</x:v>
      </x:c>
      <x:c r="B93" s="10" t="n">
        <x:v>91</x:v>
      </x:c>
      <x:c r="C93" s="11" t="str">
        <x:v>Place the upright glass spice container in the bowl.</x:v>
      </x:c>
      <x:c r="D93" s="11" t="str">
        <x:v>glass spice container B (O, RU); glass spice container A (O, UD); yellow-white striped cup B (O, UD)</x:v>
      </x:c>
      <x:c r="E93" s="10"/>
      <x:c r="F93" s="10" t="str">
        <x:v>197</x:v>
      </x:c>
      <x:c r="G93" s="11" t="str">
        <x:v>Physical-state and manipulation-trajectory reference under a direct category prompt; the evaluated state word × object-category cell is intentionally absent from training.</x:v>
      </x:c>
      <x:c r="H93" s="11" t="str">
        <x:v>glass spice container B</x:v>
      </x:c>
      <x:c r="I93" s="11"/>
      <x:c r="J93" s="12" t="str">
        <x:v>Concept/compositional transfer</x:v>
      </x:c>
      <x:c r="K93" s="10" t="str">
        <x:v>SR-CT32</x:v>
      </x:c>
      <x:c r="L93" s="10" t="str">
        <x:v>RU</x:v>
      </x:c>
      <x:c r="M93" s="10" t="str">
        <x:v>glass spice container</x:v>
      </x:c>
      <x:c r="N93" s="10" t="n">
        <x:v>3</x:v>
      </x:c>
      <x:c r="O93" s="10" t="n">
        <x:v>1</x:v>
      </x:c>
      <x:c r="P93" s="10" t="str">
        <x:v>Empty</x:v>
      </x:c>
      <x:c r="Q93" s="11" t="str">
        <x:v>Primary held-out state-object composition</x:v>
      </x:c>
      <x:c r="R93" s="10" t="n">
        <x:v>4</x:v>
      </x:c>
      <x:c r="S93" s="11" t="str">
        <x:v>Build the listed same-category discrimination scene with the bowl empty.</x:v>
      </x:c>
      <x:c r="T93" s="11" t="str">
        <x:v>Two same-category candidates share the non-queried state axis; only the held-out state word identifies the target. The same-category candidates share the orthogonal C/O state (O).</x:v>
      </x:c>
      <x:c r="U93" s="11"/>
    </x:row>
    <x:row r="94" ht="51" customHeight="1">
      <x:c r="A94" s="5" t="str">
        <x:v>Not collected</x:v>
      </x:c>
      <x:c r="B94" s="4" t="n">
        <x:v>92</x:v>
      </x:c>
      <x:c r="C94" s="5" t="str">
        <x:v>Place the upside-down white cup in the bowl.</x:v>
      </x:c>
      <x:c r="D94" s="5" t="str">
        <x:v>white cup A (C, UD); white cup B (C, RU); glass spice container A (C, RU); yellow-white striped cup B (O, RU)</x:v>
      </x:c>
      <x:c r="E94" s="4"/>
      <x:c r="F94" s="4" t="str">
        <x:v>35</x:v>
      </x:c>
      <x:c r="G94" s="5" t="str">
        <x:v>Physical-state and manipulation-trajectory reference under a direct category prompt; the evaluated state word × object-category cell is intentionally absent from training.</x:v>
      </x:c>
      <x:c r="H94" s="5" t="str">
        <x:v>white cup A</x:v>
      </x:c>
      <x:c r="I94" s="5"/>
      <x:c r="J94" s="12" t="str">
        <x:v>Concept/compositional transfer</x:v>
      </x:c>
      <x:c r="K94" s="4" t="str">
        <x:v>SR-CT33</x:v>
      </x:c>
      <x:c r="L94" s="4" t="str">
        <x:v>UD</x:v>
      </x:c>
      <x:c r="M94" s="4" t="str">
        <x:v>white cup</x:v>
      </x:c>
      <x:c r="N94" s="4" t="n">
        <x:v>4</x:v>
      </x:c>
      <x:c r="O94" s="4" t="n">
        <x:v>1</x:v>
      </x:c>
      <x:c r="P94" s="4" t="str">
        <x:v>Empty</x:v>
      </x:c>
      <x:c r="Q94" s="5" t="str">
        <x:v>Primary held-out state-object composition</x:v>
      </x:c>
      <x:c r="R94" s="4" t="n">
        <x:v>4</x:v>
      </x:c>
      <x:c r="S94" s="5" t="str">
        <x:v>Build the listed same-category discrimination scene with the bowl empty.</x:v>
      </x:c>
      <x:c r="T94" s="5" t="str">
        <x:v>Two same-category candidates share the non-queried state axis; only the held-out state word identifies the target. The same-category candidates share the orthogonal C/O state (C).</x:v>
      </x:c>
      <x:c r="U94" s="5"/>
    </x:row>
    <x:row r="95" ht="51" customHeight="1">
      <x:c r="A95" s="11" t="str">
        <x:v>Not collected</x:v>
      </x:c>
      <x:c r="B95" s="10" t="n">
        <x:v>93</x:v>
      </x:c>
      <x:c r="C95" s="11" t="str">
        <x:v>Place the open yellow-white striped cup in the bowl.</x:v>
      </x:c>
      <x:c r="D95" s="11" t="str">
        <x:v>yellow-white striped cup B (O, RU); yellow-white striped cup A (C, RU)</x:v>
      </x:c>
      <x:c r="E95" s="10"/>
      <x:c r="F95" s="10" t="str">
        <x:v>71</x:v>
      </x:c>
      <x:c r="G95"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95" s="11" t="str">
        <x:v>yellow-white striped cup B</x:v>
      </x:c>
      <x:c r="I95" s="11"/>
      <x:c r="J95" s="12" t="str">
        <x:v>Concept/compositional transfer</x:v>
      </x:c>
      <x:c r="K95" s="10" t="str">
        <x:v>SR-CT34</x:v>
      </x:c>
      <x:c r="L95" s="10" t="str">
        <x:v>O</x:v>
      </x:c>
      <x:c r="M95" s="10" t="str">
        <x:v>yellow-white striped cup</x:v>
      </x:c>
      <x:c r="N95" s="10" t="n">
        <x:v>2</x:v>
      </x:c>
      <x:c r="O95" s="10" t="n">
        <x:v>1</x:v>
      </x:c>
      <x:c r="P95" s="10" t="str">
        <x:v>Empty</x:v>
      </x:c>
      <x:c r="Q95" s="11" t="str">
        <x:v>Primary held-out state-object composition</x:v>
      </x:c>
      <x:c r="R95" s="10" t="n">
        <x:v>4</x:v>
      </x:c>
      <x:c r="S95" s="11" t="str">
        <x:v>Build the listed same-category discrimination scene with the bowl empty.</x:v>
      </x:c>
      <x:c r="T95" s="11" t="str">
        <x:v>Two same-category candidates share the non-queried state axis; only the held-out state word identifies the target. The orthogonal orientation axis is fixed: every object is RU.</x:v>
      </x:c>
      <x:c r="U95" s="11"/>
    </x:row>
    <x:row r="96" ht="51" customHeight="1">
      <x:c r="A96" s="5" t="str">
        <x:v>Not collected</x:v>
      </x:c>
      <x:c r="B96" s="4" t="n">
        <x:v>94</x:v>
      </x:c>
      <x:c r="C96" s="5" t="str">
        <x:v>Place the closed brown cup in the bowl.</x:v>
      </x:c>
      <x:c r="D96" s="5" t="str">
        <x:v>brown cup A (C, RU); brown cup B (O, RU); yellow-white striped cup A (C, RU)</x:v>
      </x:c>
      <x:c r="E96" s="4"/>
      <x:c r="F96" s="4" t="str">
        <x:v>100</x:v>
      </x:c>
      <x:c r="G96"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96" s="5" t="str">
        <x:v>brown cup A</x:v>
      </x:c>
      <x:c r="I96" s="5"/>
      <x:c r="J96" s="12" t="str">
        <x:v>Concept/compositional transfer</x:v>
      </x:c>
      <x:c r="K96" s="4" t="str">
        <x:v>SR-CT35</x:v>
      </x:c>
      <x:c r="L96" s="4" t="str">
        <x:v>C</x:v>
      </x:c>
      <x:c r="M96" s="4" t="str">
        <x:v>brown cup</x:v>
      </x:c>
      <x:c r="N96" s="4" t="n">
        <x:v>3</x:v>
      </x:c>
      <x:c r="O96" s="4" t="n">
        <x:v>1</x:v>
      </x:c>
      <x:c r="P96" s="4" t="str">
        <x:v>Empty</x:v>
      </x:c>
      <x:c r="Q96" s="5" t="str">
        <x:v>Primary held-out state-object composition</x:v>
      </x:c>
      <x:c r="R96" s="4" t="n">
        <x:v>4</x:v>
      </x:c>
      <x:c r="S96" s="5" t="str">
        <x:v>Build the listed same-category discrimination scene with the bowl empty.</x:v>
      </x:c>
      <x:c r="T96" s="5" t="str">
        <x:v>Two same-category candidates share the non-queried state axis; only the held-out state word identifies the target. The orthogonal orientation axis is fixed: every object is RU.</x:v>
      </x:c>
      <x:c r="U96" s="5"/>
    </x:row>
    <x:row r="97" ht="51" customHeight="1">
      <x:c r="A97" s="11" t="str">
        <x:v>Not collected</x:v>
      </x:c>
      <x:c r="B97" s="10" t="n">
        <x:v>95</x:v>
      </x:c>
      <x:c r="C97" s="11" t="str">
        <x:v>Place the upright glass spice container in the bowl.</x:v>
      </x:c>
      <x:c r="D97" s="11" t="str">
        <x:v>glass spice container B (C, RU); glass spice container A (C, UD); brown cup B (O, UD); white cup A (C, RU)</x:v>
      </x:c>
      <x:c r="E97" s="10"/>
      <x:c r="F97" s="10" t="str">
        <x:v>169</x:v>
      </x:c>
      <x:c r="G97" s="11" t="str">
        <x:v>Physical-state and manipulation-trajectory reference under a direct category prompt; the evaluated state word × object-category cell is intentionally absent from training.</x:v>
      </x:c>
      <x:c r="H97" s="11" t="str">
        <x:v>glass spice container B</x:v>
      </x:c>
      <x:c r="I97" s="11"/>
      <x:c r="J97" s="12" t="str">
        <x:v>Concept/compositional transfer</x:v>
      </x:c>
      <x:c r="K97" s="10" t="str">
        <x:v>SR-CT36</x:v>
      </x:c>
      <x:c r="L97" s="10" t="str">
        <x:v>RU</x:v>
      </x:c>
      <x:c r="M97" s="10" t="str">
        <x:v>glass spice container</x:v>
      </x:c>
      <x:c r="N97" s="10" t="n">
        <x:v>4</x:v>
      </x:c>
      <x:c r="O97" s="10" t="n">
        <x:v>1</x:v>
      </x:c>
      <x:c r="P97" s="10" t="str">
        <x:v>Empty</x:v>
      </x:c>
      <x:c r="Q97" s="11" t="str">
        <x:v>Primary held-out state-object composition</x:v>
      </x:c>
      <x:c r="R97" s="10" t="n">
        <x:v>4</x:v>
      </x:c>
      <x:c r="S97" s="11" t="str">
        <x:v>Build the listed same-category discrimination scene with the bowl empty.</x:v>
      </x:c>
      <x:c r="T97" s="11" t="str">
        <x:v>Two same-category candidates share the non-queried state axis; only the held-out state word identifies the target. The same-category candidates share the orthogonal C/O state (C).</x:v>
      </x:c>
      <x:c r="U97" s="11"/>
    </x:row>
    <x:row r="98" ht="51" customHeight="1">
      <x:c r="A98" s="5" t="str">
        <x:v>Not collected</x:v>
      </x:c>
      <x:c r="B98" s="4" t="n">
        <x:v>96</x:v>
      </x:c>
      <x:c r="C98" s="5" t="str">
        <x:v>Place the upside-down white cup in the bowl.</x:v>
      </x:c>
      <x:c r="D98" s="5" t="str">
        <x:v>white cup A (O, UD); white cup B (O, RU)</x:v>
      </x:c>
      <x:c r="E98" s="4"/>
      <x:c r="F98" s="4" t="str">
        <x:v>30</x:v>
      </x:c>
      <x:c r="G98" s="5" t="str">
        <x:v>Physical-state and manipulation-trajectory reference under a direct category prompt; the evaluated state word × object-category cell is intentionally absent from training.</x:v>
      </x:c>
      <x:c r="H98" s="5" t="str">
        <x:v>white cup A</x:v>
      </x:c>
      <x:c r="I98" s="5"/>
      <x:c r="J98" s="12" t="str">
        <x:v>Concept/compositional transfer</x:v>
      </x:c>
      <x:c r="K98" s="4" t="str">
        <x:v>SR-CT37</x:v>
      </x:c>
      <x:c r="L98" s="4" t="str">
        <x:v>UD</x:v>
      </x:c>
      <x:c r="M98" s="4" t="str">
        <x:v>white cup</x:v>
      </x:c>
      <x:c r="N98" s="4" t="n">
        <x:v>2</x:v>
      </x:c>
      <x:c r="O98" s="4" t="n">
        <x:v>1</x:v>
      </x:c>
      <x:c r="P98" s="4" t="str">
        <x:v>Empty</x:v>
      </x:c>
      <x:c r="Q98" s="5" t="str">
        <x:v>Primary held-out state-object composition</x:v>
      </x:c>
      <x:c r="R98" s="4" t="n">
        <x:v>4</x:v>
      </x:c>
      <x:c r="S98" s="5" t="str">
        <x:v>Build the listed same-category discrimination scene with the bowl empty.</x:v>
      </x:c>
      <x:c r="T98" s="5" t="str">
        <x:v>Two same-category candidates share the non-queried state axis; only the held-out state word identifies the target. The same-category candidates share the orthogonal C/O state (O).</x:v>
      </x:c>
      <x:c r="U98" s="5"/>
    </x:row>
    <x:row r="99" ht="51" customHeight="1">
      <x:c r="A99" s="11" t="str">
        <x:v>Not collected</x:v>
      </x:c>
      <x:c r="B99" s="10" t="n">
        <x:v>97</x:v>
      </x:c>
      <x:c r="C99" s="11" t="str">
        <x:v>Place the open yellow-white striped cup in the bowl.</x:v>
      </x:c>
      <x:c r="D99" s="11" t="str">
        <x:v>yellow-white striped cup B (O, RU); yellow-white striped cup A (C, RU); brown cup B (O, RU)</x:v>
      </x:c>
      <x:c r="E99" s="10"/>
      <x:c r="F99" s="10" t="str">
        <x:v>53</x:v>
      </x:c>
      <x:c r="G99"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99" s="11" t="str">
        <x:v>yellow-white striped cup B</x:v>
      </x:c>
      <x:c r="I99" s="11"/>
      <x:c r="J99" s="12" t="str">
        <x:v>Concept/compositional transfer</x:v>
      </x:c>
      <x:c r="K99" s="10" t="str">
        <x:v>SR-CT38</x:v>
      </x:c>
      <x:c r="L99" s="10" t="str">
        <x:v>O</x:v>
      </x:c>
      <x:c r="M99" s="10" t="str">
        <x:v>yellow-white striped cup</x:v>
      </x:c>
      <x:c r="N99" s="10" t="n">
        <x:v>3</x:v>
      </x:c>
      <x:c r="O99" s="10" t="n">
        <x:v>1</x:v>
      </x:c>
      <x:c r="P99" s="10" t="str">
        <x:v>Empty</x:v>
      </x:c>
      <x:c r="Q99" s="11" t="str">
        <x:v>Primary held-out state-object composition</x:v>
      </x:c>
      <x:c r="R99" s="10" t="n">
        <x:v>4</x:v>
      </x:c>
      <x:c r="S99" s="11" t="str">
        <x:v>Build the listed same-category discrimination scene with the bowl empty.</x:v>
      </x:c>
      <x:c r="T99" s="11" t="str">
        <x:v>Two same-category candidates share the non-queried state axis; only the held-out state word identifies the target. The orthogonal orientation axis is fixed: every object is RU.</x:v>
      </x:c>
      <x:c r="U99" s="11"/>
    </x:row>
    <x:row r="100" ht="51" customHeight="1">
      <x:c r="A100" s="5" t="str">
        <x:v>Not collected</x:v>
      </x:c>
      <x:c r="B100" s="4" t="n">
        <x:v>98</x:v>
      </x:c>
      <x:c r="C100" s="5" t="str">
        <x:v>Place the closed brown cup in the bowl.</x:v>
      </x:c>
      <x:c r="D100" s="5" t="str">
        <x:v>brown cup A (C, RU); brown cup B (O, RU); glass spice container A (C, RU); white cup B (O, RU)</x:v>
      </x:c>
      <x:c r="E100" s="4"/>
      <x:c r="F100" s="4" t="str">
        <x:v>107</x:v>
      </x:c>
      <x:c r="G100"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100" s="5" t="str">
        <x:v>brown cup A</x:v>
      </x:c>
      <x:c r="I100" s="5"/>
      <x:c r="J100" s="12" t="str">
        <x:v>Concept/compositional transfer</x:v>
      </x:c>
      <x:c r="K100" s="4" t="str">
        <x:v>SR-CT39</x:v>
      </x:c>
      <x:c r="L100" s="4" t="str">
        <x:v>C</x:v>
      </x:c>
      <x:c r="M100" s="4" t="str">
        <x:v>brown cup</x:v>
      </x:c>
      <x:c r="N100" s="4" t="n">
        <x:v>4</x:v>
      </x:c>
      <x:c r="O100" s="4" t="n">
        <x:v>1</x:v>
      </x:c>
      <x:c r="P100" s="4" t="str">
        <x:v>Empty</x:v>
      </x:c>
      <x:c r="Q100" s="5" t="str">
        <x:v>Primary held-out state-object composition</x:v>
      </x:c>
      <x:c r="R100" s="4" t="n">
        <x:v>4</x:v>
      </x:c>
      <x:c r="S100" s="5" t="str">
        <x:v>Build the listed same-category discrimination scene with the bowl empty.</x:v>
      </x:c>
      <x:c r="T100" s="5" t="str">
        <x:v>Two same-category candidates share the non-queried state axis; only the held-out state word identifies the target. The orthogonal orientation axis is fixed: every object is RU.</x:v>
      </x:c>
      <x:c r="U100" s="5"/>
    </x:row>
    <x:row r="101" ht="51" customHeight="1">
      <x:c r="A101" s="11" t="str">
        <x:v>Not collected</x:v>
      </x:c>
      <x:c r="B101" s="10" t="n">
        <x:v>99</x:v>
      </x:c>
      <x:c r="C101" s="11" t="str">
        <x:v>Place the upright glass spice container in the bowl.</x:v>
      </x:c>
      <x:c r="D101" s="11" t="str">
        <x:v>glass spice container B (O, RU); glass spice container A (O, UD)</x:v>
      </x:c>
      <x:c r="E101" s="10"/>
      <x:c r="F101" s="10" t="str">
        <x:v>153</x:v>
      </x:c>
      <x:c r="G101" s="11" t="str">
        <x:v>Physical-state and manipulation-trajectory reference under a direct category prompt; the evaluated state word × object-category cell is intentionally absent from training.</x:v>
      </x:c>
      <x:c r="H101" s="11" t="str">
        <x:v>glass spice container B</x:v>
      </x:c>
      <x:c r="I101" s="11"/>
      <x:c r="J101" s="12" t="str">
        <x:v>Concept/compositional transfer</x:v>
      </x:c>
      <x:c r="K101" s="10" t="str">
        <x:v>SR-CT40</x:v>
      </x:c>
      <x:c r="L101" s="10" t="str">
        <x:v>RU</x:v>
      </x:c>
      <x:c r="M101" s="10" t="str">
        <x:v>glass spice container</x:v>
      </x:c>
      <x:c r="N101" s="10" t="n">
        <x:v>2</x:v>
      </x:c>
      <x:c r="O101" s="10" t="n">
        <x:v>1</x:v>
      </x:c>
      <x:c r="P101" s="10" t="str">
        <x:v>Empty</x:v>
      </x:c>
      <x:c r="Q101" s="11" t="str">
        <x:v>Primary held-out state-object composition</x:v>
      </x:c>
      <x:c r="R101" s="10" t="n">
        <x:v>4</x:v>
      </x:c>
      <x:c r="S101" s="11" t="str">
        <x:v>Build the listed same-category discrimination scene with the bowl empty.</x:v>
      </x:c>
      <x:c r="T101" s="11" t="str">
        <x:v>Two same-category candidates share the non-queried state axis; only the held-out state word identifies the target. The same-category candidates share the orthogonal C/O state (O).</x:v>
      </x:c>
      <x:c r="U101" s="11"/>
    </x:row>
    <x:row r="102" ht="51" customHeight="1">
      <x:c r="A102" s="5" t="str">
        <x:v>Not collected</x:v>
      </x:c>
      <x:c r="B102" s="4" t="n">
        <x:v>100</x:v>
      </x:c>
      <x:c r="C102" s="5" t="str">
        <x:v>Place the upside-down white cup in the bowl.</x:v>
      </x:c>
      <x:c r="D102" s="5" t="str">
        <x:v>white cup A (C, UD); white cup B (C, RU); brown cup A (C, RU)</x:v>
      </x:c>
      <x:c r="E102" s="4"/>
      <x:c r="F102" s="4" t="str">
        <x:v>39</x:v>
      </x:c>
      <x:c r="G102" s="5" t="str">
        <x:v>Physical-state and manipulation-trajectory reference under a direct category prompt; the evaluated state word × object-category cell is intentionally absent from training.</x:v>
      </x:c>
      <x:c r="H102" s="5" t="str">
        <x:v>white cup A</x:v>
      </x:c>
      <x:c r="I102" s="5"/>
      <x:c r="J102" s="12" t="str">
        <x:v>Concept/compositional transfer</x:v>
      </x:c>
      <x:c r="K102" s="4" t="str">
        <x:v>SR-CT41</x:v>
      </x:c>
      <x:c r="L102" s="4" t="str">
        <x:v>UD</x:v>
      </x:c>
      <x:c r="M102" s="4" t="str">
        <x:v>white cup</x:v>
      </x:c>
      <x:c r="N102" s="4" t="n">
        <x:v>3</x:v>
      </x:c>
      <x:c r="O102" s="4" t="n">
        <x:v>1</x:v>
      </x:c>
      <x:c r="P102" s="4" t="str">
        <x:v>Empty</x:v>
      </x:c>
      <x:c r="Q102" s="5" t="str">
        <x:v>Primary held-out state-object composition</x:v>
      </x:c>
      <x:c r="R102" s="4" t="n">
        <x:v>4</x:v>
      </x:c>
      <x:c r="S102" s="5" t="str">
        <x:v>Build the listed same-category discrimination scene with the bowl empty.</x:v>
      </x:c>
      <x:c r="T102" s="5" t="str">
        <x:v>Two same-category candidates share the non-queried state axis; only the held-out state word identifies the target. The same-category candidates share the orthogonal C/O state (C).</x:v>
      </x:c>
      <x:c r="U102" s="5"/>
    </x:row>
    <x:row r="103" ht="51" customHeight="1">
      <x:c r="A103" s="11" t="str">
        <x:v>Not collected</x:v>
      </x:c>
      <x:c r="B103" s="10" t="n">
        <x:v>101</x:v>
      </x:c>
      <x:c r="C103" s="11" t="str">
        <x:v>Place the open yellow-white striped cup in the bowl.</x:v>
      </x:c>
      <x:c r="D103" s="11" t="str">
        <x:v>yellow-white striped cup B (O, RU); yellow-white striped cup A (C, RU); glass spice container B (O, RU); white cup A (C, RU)</x:v>
      </x:c>
      <x:c r="E103" s="10"/>
      <x:c r="F103" s="10" t="str">
        <x:v>72</x:v>
      </x:c>
      <x:c r="G103"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103" s="11" t="str">
        <x:v>yellow-white striped cup B</x:v>
      </x:c>
      <x:c r="I103" s="11"/>
      <x:c r="J103" s="12" t="str">
        <x:v>Concept/compositional transfer</x:v>
      </x:c>
      <x:c r="K103" s="10" t="str">
        <x:v>SR-CT42</x:v>
      </x:c>
      <x:c r="L103" s="10" t="str">
        <x:v>O</x:v>
      </x:c>
      <x:c r="M103" s="10" t="str">
        <x:v>yellow-white striped cup</x:v>
      </x:c>
      <x:c r="N103" s="10" t="n">
        <x:v>4</x:v>
      </x:c>
      <x:c r="O103" s="10" t="n">
        <x:v>1</x:v>
      </x:c>
      <x:c r="P103" s="10" t="str">
        <x:v>Empty</x:v>
      </x:c>
      <x:c r="Q103" s="11" t="str">
        <x:v>Primary held-out state-object composition</x:v>
      </x:c>
      <x:c r="R103" s="10" t="n">
        <x:v>4</x:v>
      </x:c>
      <x:c r="S103" s="11" t="str">
        <x:v>Build the listed same-category discrimination scene with the bowl empty.</x:v>
      </x:c>
      <x:c r="T103" s="11" t="str">
        <x:v>Two same-category candidates share the non-queried state axis; only the held-out state word identifies the target. The orthogonal orientation axis is fixed: every object is RU.</x:v>
      </x:c>
      <x:c r="U103" s="11"/>
    </x:row>
    <x:row r="104" ht="51" customHeight="1">
      <x:c r="A104" s="5" t="str">
        <x:v>Not collected</x:v>
      </x:c>
      <x:c r="B104" s="4" t="n">
        <x:v>102</x:v>
      </x:c>
      <x:c r="C104" s="5" t="str">
        <x:v>Place the closed brown cup in the bowl.</x:v>
      </x:c>
      <x:c r="D104" s="5" t="str">
        <x:v>brown cup A (C, RU); brown cup B (O, RU)</x:v>
      </x:c>
      <x:c r="E104" s="4"/>
      <x:c r="F104" s="4" t="str">
        <x:v>102</x:v>
      </x:c>
      <x:c r="G104"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104" s="5" t="str">
        <x:v>brown cup A</x:v>
      </x:c>
      <x:c r="I104" s="5"/>
      <x:c r="J104" s="12" t="str">
        <x:v>Concept/compositional transfer</x:v>
      </x:c>
      <x:c r="K104" s="4" t="str">
        <x:v>SR-CT43</x:v>
      </x:c>
      <x:c r="L104" s="4" t="str">
        <x:v>C</x:v>
      </x:c>
      <x:c r="M104" s="4" t="str">
        <x:v>brown cup</x:v>
      </x:c>
      <x:c r="N104" s="4" t="n">
        <x:v>2</x:v>
      </x:c>
      <x:c r="O104" s="4" t="n">
        <x:v>1</x:v>
      </x:c>
      <x:c r="P104" s="4" t="str">
        <x:v>Empty</x:v>
      </x:c>
      <x:c r="Q104" s="5" t="str">
        <x:v>Primary held-out state-object composition</x:v>
      </x:c>
      <x:c r="R104" s="4" t="n">
        <x:v>4</x:v>
      </x:c>
      <x:c r="S104" s="5" t="str">
        <x:v>Build the listed same-category discrimination scene with the bowl empty.</x:v>
      </x:c>
      <x:c r="T104" s="5" t="str">
        <x:v>Two same-category candidates share the non-queried state axis; only the held-out state word identifies the target. The orthogonal orientation axis is fixed: every object is RU.</x:v>
      </x:c>
      <x:c r="U104" s="5"/>
    </x:row>
    <x:row r="105" ht="51" customHeight="1">
      <x:c r="A105" s="11" t="str">
        <x:v>Not collected</x:v>
      </x:c>
      <x:c r="B105" s="10" t="n">
        <x:v>103</x:v>
      </x:c>
      <x:c r="C105" s="11" t="str">
        <x:v>Place the upright glass spice container in the bowl.</x:v>
      </x:c>
      <x:c r="D105" s="11" t="str">
        <x:v>glass spice container B (C, RU); glass spice container A (C, UD); yellow-white striped cup B (O, UD)</x:v>
      </x:c>
      <x:c r="E105" s="10"/>
      <x:c r="F105" s="10" t="str">
        <x:v>172</x:v>
      </x:c>
      <x:c r="G105" s="11" t="str">
        <x:v>Physical-state and manipulation-trajectory reference under a direct category prompt; the evaluated state word × object-category cell is intentionally absent from training.</x:v>
      </x:c>
      <x:c r="H105" s="11" t="str">
        <x:v>glass spice container B</x:v>
      </x:c>
      <x:c r="I105" s="11"/>
      <x:c r="J105" s="12" t="str">
        <x:v>Concept/compositional transfer</x:v>
      </x:c>
      <x:c r="K105" s="10" t="str">
        <x:v>SR-CT44</x:v>
      </x:c>
      <x:c r="L105" s="10" t="str">
        <x:v>RU</x:v>
      </x:c>
      <x:c r="M105" s="10" t="str">
        <x:v>glass spice container</x:v>
      </x:c>
      <x:c r="N105" s="10" t="n">
        <x:v>3</x:v>
      </x:c>
      <x:c r="O105" s="10" t="n">
        <x:v>1</x:v>
      </x:c>
      <x:c r="P105" s="10" t="str">
        <x:v>Empty</x:v>
      </x:c>
      <x:c r="Q105" s="11" t="str">
        <x:v>Primary held-out state-object composition</x:v>
      </x:c>
      <x:c r="R105" s="10" t="n">
        <x:v>4</x:v>
      </x:c>
      <x:c r="S105" s="11" t="str">
        <x:v>Build the listed same-category discrimination scene with the bowl empty.</x:v>
      </x:c>
      <x:c r="T105" s="11" t="str">
        <x:v>Two same-category candidates share the non-queried state axis; only the held-out state word identifies the target. The same-category candidates share the orthogonal C/O state (C).</x:v>
      </x:c>
      <x:c r="U105" s="11"/>
    </x:row>
    <x:row r="106" ht="51" customHeight="1">
      <x:c r="A106" s="5" t="str">
        <x:v>Not collected</x:v>
      </x:c>
      <x:c r="B106" s="4" t="n">
        <x:v>104</x:v>
      </x:c>
      <x:c r="C106" s="5" t="str">
        <x:v>Place the upside-down white cup in the bowl.</x:v>
      </x:c>
      <x:c r="D106" s="5" t="str">
        <x:v>white cup A (O, UD); white cup B (O, RU); glass spice container A (C, RU); yellow-white striped cup B (O, RU)</x:v>
      </x:c>
      <x:c r="E106" s="4"/>
      <x:c r="F106" s="4" t="str">
        <x:v>32</x:v>
      </x:c>
      <x:c r="G106" s="5" t="str">
        <x:v>Physical-state and manipulation-trajectory reference under a direct category prompt; the evaluated state word × object-category cell is intentionally absent from training.</x:v>
      </x:c>
      <x:c r="H106" s="5" t="str">
        <x:v>white cup A</x:v>
      </x:c>
      <x:c r="I106" s="5"/>
      <x:c r="J106" s="12" t="str">
        <x:v>Concept/compositional transfer</x:v>
      </x:c>
      <x:c r="K106" s="4" t="str">
        <x:v>SR-CT45</x:v>
      </x:c>
      <x:c r="L106" s="4" t="str">
        <x:v>UD</x:v>
      </x:c>
      <x:c r="M106" s="4" t="str">
        <x:v>white cup</x:v>
      </x:c>
      <x:c r="N106" s="4" t="n">
        <x:v>4</x:v>
      </x:c>
      <x:c r="O106" s="4" t="n">
        <x:v>1</x:v>
      </x:c>
      <x:c r="P106" s="4" t="str">
        <x:v>Empty</x:v>
      </x:c>
      <x:c r="Q106" s="5" t="str">
        <x:v>Primary held-out state-object composition</x:v>
      </x:c>
      <x:c r="R106" s="4" t="n">
        <x:v>4</x:v>
      </x:c>
      <x:c r="S106" s="5" t="str">
        <x:v>Build the listed same-category discrimination scene with the bowl empty.</x:v>
      </x:c>
      <x:c r="T106" s="5" t="str">
        <x:v>Two same-category candidates share the non-queried state axis; only the held-out state word identifies the target. The same-category candidates share the orthogonal C/O state (O).</x:v>
      </x:c>
      <x:c r="U106" s="5"/>
    </x:row>
    <x:row r="107" ht="51" customHeight="1">
      <x:c r="A107" s="11" t="str">
        <x:v>Not collected</x:v>
      </x:c>
      <x:c r="B107" s="10" t="n">
        <x:v>105</x:v>
      </x:c>
      <x:c r="C107" s="11" t="str">
        <x:v>Place the open yellow-white striped cup in the bowl.</x:v>
      </x:c>
      <x:c r="D107" s="11" t="str">
        <x:v>yellow-white striped cup B (O, RU); yellow-white striped cup A (C, RU)</x:v>
      </x:c>
      <x:c r="E107" s="10"/>
      <x:c r="F107" s="10" t="str">
        <x:v>53</x:v>
      </x:c>
      <x:c r="G107"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107" s="11" t="str">
        <x:v>yellow-white striped cup B</x:v>
      </x:c>
      <x:c r="I107" s="11"/>
      <x:c r="J107" s="12" t="str">
        <x:v>Concept/compositional transfer</x:v>
      </x:c>
      <x:c r="K107" s="10" t="str">
        <x:v>SR-CT46</x:v>
      </x:c>
      <x:c r="L107" s="10" t="str">
        <x:v>O</x:v>
      </x:c>
      <x:c r="M107" s="10" t="str">
        <x:v>yellow-white striped cup</x:v>
      </x:c>
      <x:c r="N107" s="10" t="n">
        <x:v>2</x:v>
      </x:c>
      <x:c r="O107" s="10" t="n">
        <x:v>1</x:v>
      </x:c>
      <x:c r="P107" s="10" t="str">
        <x:v>Empty</x:v>
      </x:c>
      <x:c r="Q107" s="11" t="str">
        <x:v>Primary held-out state-object composition</x:v>
      </x:c>
      <x:c r="R107" s="10" t="n">
        <x:v>4</x:v>
      </x:c>
      <x:c r="S107" s="11" t="str">
        <x:v>Build the listed same-category discrimination scene with the bowl empty.</x:v>
      </x:c>
      <x:c r="T107" s="11" t="str">
        <x:v>Two same-category candidates share the non-queried state axis; only the held-out state word identifies the target. The orthogonal orientation axis is fixed: every object is RU.</x:v>
      </x:c>
      <x:c r="U107" s="11"/>
    </x:row>
    <x:row r="108" ht="51" customHeight="1">
      <x:c r="A108" s="5" t="str">
        <x:v>Not collected</x:v>
      </x:c>
      <x:c r="B108" s="4" t="n">
        <x:v>106</x:v>
      </x:c>
      <x:c r="C108" s="5" t="str">
        <x:v>Place the closed brown cup in the bowl.</x:v>
      </x:c>
      <x:c r="D108" s="5" t="str">
        <x:v>brown cup A (C, RU); brown cup B (O, RU); yellow-white striped cup A (C, RU)</x:v>
      </x:c>
      <x:c r="E108" s="4"/>
      <x:c r="F108" s="4" t="str">
        <x:v>129</x:v>
      </x:c>
      <x:c r="G108" s="5"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108" s="5" t="str">
        <x:v>brown cup A</x:v>
      </x:c>
      <x:c r="I108" s="5"/>
      <x:c r="J108" s="12" t="str">
        <x:v>Concept/compositional transfer</x:v>
      </x:c>
      <x:c r="K108" s="4" t="str">
        <x:v>SR-CT47</x:v>
      </x:c>
      <x:c r="L108" s="4" t="str">
        <x:v>C</x:v>
      </x:c>
      <x:c r="M108" s="4" t="str">
        <x:v>brown cup</x:v>
      </x:c>
      <x:c r="N108" s="4" t="n">
        <x:v>3</x:v>
      </x:c>
      <x:c r="O108" s="4" t="n">
        <x:v>1</x:v>
      </x:c>
      <x:c r="P108" s="4" t="str">
        <x:v>Empty</x:v>
      </x:c>
      <x:c r="Q108" s="5" t="str">
        <x:v>Primary held-out state-object composition</x:v>
      </x:c>
      <x:c r="R108" s="4" t="n">
        <x:v>4</x:v>
      </x:c>
      <x:c r="S108" s="5" t="str">
        <x:v>Build the listed same-category discrimination scene with the bowl empty.</x:v>
      </x:c>
      <x:c r="T108" s="5" t="str">
        <x:v>Two same-category candidates share the non-queried state axis; only the held-out state word identifies the target. The orthogonal orientation axis is fixed: every object is RU.</x:v>
      </x:c>
      <x:c r="U108" s="5"/>
    </x:row>
    <x:row r="109" ht="51" customHeight="1">
      <x:c r="A109" s="11" t="str">
        <x:v>Not collected</x:v>
      </x:c>
      <x:c r="B109" s="10" t="n">
        <x:v>107</x:v>
      </x:c>
      <x:c r="C109" s="11" t="str">
        <x:v>Place the upright glass spice container in the bowl.</x:v>
      </x:c>
      <x:c r="D109" s="11" t="str">
        <x:v>glass spice container B (O, RU); glass spice container A (O, UD); brown cup B (O, UD); white cup A (C, RU)</x:v>
      </x:c>
      <x:c r="E109" s="10"/>
      <x:c r="F109" s="10" t="str">
        <x:v>157</x:v>
      </x:c>
      <x:c r="G109" s="11" t="str">
        <x:v>Physical-state and manipulation-trajectory reference under a direct category prompt; the evaluated state word × object-category cell is intentionally absent from training.</x:v>
      </x:c>
      <x:c r="H109" s="11" t="str">
        <x:v>glass spice container B</x:v>
      </x:c>
      <x:c r="I109" s="11"/>
      <x:c r="J109" s="12" t="str">
        <x:v>Concept/compositional transfer</x:v>
      </x:c>
      <x:c r="K109" s="10" t="str">
        <x:v>SR-CT48</x:v>
      </x:c>
      <x:c r="L109" s="10" t="str">
        <x:v>RU</x:v>
      </x:c>
      <x:c r="M109" s="10" t="str">
        <x:v>glass spice container</x:v>
      </x:c>
      <x:c r="N109" s="10" t="n">
        <x:v>4</x:v>
      </x:c>
      <x:c r="O109" s="10" t="n">
        <x:v>1</x:v>
      </x:c>
      <x:c r="P109" s="10" t="str">
        <x:v>Empty</x:v>
      </x:c>
      <x:c r="Q109" s="11" t="str">
        <x:v>Primary held-out state-object composition</x:v>
      </x:c>
      <x:c r="R109" s="10" t="n">
        <x:v>4</x:v>
      </x:c>
      <x:c r="S109" s="11" t="str">
        <x:v>Build the listed same-category discrimination scene with the bowl empty.</x:v>
      </x:c>
      <x:c r="T109" s="11" t="str">
        <x:v>Two same-category candidates share the non-queried state axis; only the held-out state word identifies the target. The same-category candidates share the orthogonal C/O state (O).</x:v>
      </x:c>
      <x:c r="U109" s="11"/>
    </x:row>
    <x:row r="110" ht="51" customHeight="1">
      <x:c r="A110" s="5" t="str">
        <x:v>Not collected</x:v>
      </x:c>
      <x:c r="B110" s="4" t="n">
        <x:v>108</x:v>
      </x:c>
      <x:c r="C110" s="5" t="str">
        <x:v>Place the upside-down white cup in the bowl.</x:v>
      </x:c>
      <x:c r="D110" s="5" t="str">
        <x:v>white cup A (C, UD); white cup B (C, RU)</x:v>
      </x:c>
      <x:c r="E110" s="4"/>
      <x:c r="F110" s="4" t="str">
        <x:v>35</x:v>
      </x:c>
      <x:c r="G110" s="5" t="str">
        <x:v>Physical-state and manipulation-trajectory reference under a direct category prompt; the evaluated state word × object-category cell is intentionally absent from training.</x:v>
      </x:c>
      <x:c r="H110" s="5" t="str">
        <x:v>white cup A</x:v>
      </x:c>
      <x:c r="I110" s="5"/>
      <x:c r="J110" s="12" t="str">
        <x:v>Concept/compositional transfer</x:v>
      </x:c>
      <x:c r="K110" s="4" t="str">
        <x:v>SR-CT49</x:v>
      </x:c>
      <x:c r="L110" s="4" t="str">
        <x:v>UD</x:v>
      </x:c>
      <x:c r="M110" s="4" t="str">
        <x:v>white cup</x:v>
      </x:c>
      <x:c r="N110" s="4" t="n">
        <x:v>2</x:v>
      </x:c>
      <x:c r="O110" s="4" t="n">
        <x:v>1</x:v>
      </x:c>
      <x:c r="P110" s="4" t="str">
        <x:v>Empty</x:v>
      </x:c>
      <x:c r="Q110" s="5" t="str">
        <x:v>Primary held-out state-object composition</x:v>
      </x:c>
      <x:c r="R110" s="4" t="n">
        <x:v>4</x:v>
      </x:c>
      <x:c r="S110" s="5" t="str">
        <x:v>Build the listed same-category discrimination scene with the bowl empty.</x:v>
      </x:c>
      <x:c r="T110" s="5" t="str">
        <x:v>Two same-category candidates share the non-queried state axis; only the held-out state word identifies the target. The same-category candidates share the orthogonal C/O state (C).</x:v>
      </x:c>
      <x:c r="U110" s="5"/>
    </x:row>
    <x:row r="111" ht="51" customHeight="1">
      <x:c r="A111" s="11" t="str">
        <x:v>Not collected</x:v>
      </x:c>
      <x:c r="B111" s="10" t="n">
        <x:v>109</x:v>
      </x:c>
      <x:c r="C111" s="11" t="str">
        <x:v>Place the open yellow-white striped cup in the bowl.</x:v>
      </x:c>
      <x:c r="D111" s="11" t="str">
        <x:v>yellow-white striped cup B (O, RU); yellow-white striped cup A (C, RU); brown cup B (O, RU)</x:v>
      </x:c>
      <x:c r="E111" s="10"/>
      <x:c r="F111" s="10" t="str">
        <x:v>64</x:v>
      </x:c>
      <x:c r="G111" s="11"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H111" s="11" t="str">
        <x:v>yellow-white striped cup B</x:v>
      </x:c>
      <x:c r="I111" s="11"/>
      <x:c r="J111" s="12" t="str">
        <x:v>Concept/compositional transfer</x:v>
      </x:c>
      <x:c r="K111" s="10" t="str">
        <x:v>SR-CT50</x:v>
      </x:c>
      <x:c r="L111" s="10" t="str">
        <x:v>O</x:v>
      </x:c>
      <x:c r="M111" s="10" t="str">
        <x:v>yellow-white striped cup</x:v>
      </x:c>
      <x:c r="N111" s="10" t="n">
        <x:v>3</x:v>
      </x:c>
      <x:c r="O111" s="10" t="n">
        <x:v>1</x:v>
      </x:c>
      <x:c r="P111" s="10" t="str">
        <x:v>Empty</x:v>
      </x:c>
      <x:c r="Q111" s="11" t="str">
        <x:v>Primary held-out state-object composition</x:v>
      </x:c>
      <x:c r="R111" s="10" t="n">
        <x:v>4</x:v>
      </x:c>
      <x:c r="S111" s="11" t="str">
        <x:v>Build the listed same-category discrimination scene with the bowl empty.</x:v>
      </x:c>
      <x:c r="T111" s="11" t="str">
        <x:v>Two same-category candidates share the non-queried state axis; only the held-out state word identifies the target. The orthogonal orientation axis is fixed: every object is RU.</x:v>
      </x:c>
      <x:c r="U111" s="11"/>
    </x:row>
    <x:row r="112" ht="51" customHeight="1">
      <x:c r="A112" s="5" t="str">
        <x:v>Not collected</x:v>
      </x:c>
      <x:c r="B112" s="4" t="n">
        <x:v>110</x:v>
      </x:c>
      <x:c r="C112" s="5" t="str">
        <x:v>Place the closed black cup in the bowl.</x:v>
      </x:c>
      <x:c r="D112" s="5" t="str">
        <x:v>black cup A (C, RU); black cup B (O, RU)</x:v>
      </x:c>
      <x:c r="E112" s="4"/>
      <x:c r="F112" s="4" t="n">
        <x:v>0</x:v>
      </x:c>
      <x:c r="G112" s="5" t="str">
        <x:v>State-word concept reference from training episode 0; black cups are globally unseen. This is an exact-scene state counterfactual pair, not a direct-name manipulation control.</x:v>
      </x:c>
      <x:c r="H112" s="5" t="str">
        <x:v>black cup A</x:v>
      </x:c>
      <x:c r="I112" s="5"/>
      <x:c r="J112" s="19" t="str">
        <x:v>Novel-object state reasoning</x:v>
      </x:c>
      <x:c r="K112" s="4" t="str">
        <x:v>SR-BLACK-CF01</x:v>
      </x:c>
      <x:c r="L112" s="4" t="str">
        <x:v>C</x:v>
      </x:c>
      <x:c r="M112" s="4" t="str">
        <x:v>black cup</x:v>
      </x:c>
      <x:c r="N112" s="4" t="n">
        <x:v>2</x:v>
      </x:c>
      <x:c r="O112" s="4" t="n">
        <x:v>1</x:v>
      </x:c>
      <x:c r="P112" s="4" t="str">
        <x:v>Empty</x:v>
      </x:c>
      <x:c r="Q112" s="5" t="str">
        <x:v>Exact-scene counterfactual globally unseen black-cup state reasoning</x:v>
      </x:c>
      <x:c r="R112" s="4" t="n">
        <x:v>5</x:v>
      </x:c>
      <x:c r="S112" s="5" t="str">
        <x:v>Build the listed scene with both black cups and an empty bowl.</x:v>
      </x:c>
      <x:c r="T112" s="5" t="str">
        <x:v>Counterfactual C/O pair: both black cups and every distractor are RU; only the queried state word changes the correct black cup.</x:v>
      </x:c>
      <x:c r="U112" s="5"/>
    </x:row>
    <x:row r="113" ht="51" customHeight="1">
      <x:c r="A113" s="11" t="str">
        <x:v>Not collected</x:v>
      </x:c>
      <x:c r="B113" s="10" t="n">
        <x:v>111</x:v>
      </x:c>
      <x:c r="C113" s="11" t="str">
        <x:v>Place the open black cup in the bowl.</x:v>
      </x:c>
      <x:c r="D113" s="11" t="str">
        <x:v>black cup A (C, RU); black cup B (O, RU)</x:v>
      </x:c>
      <x:c r="E113" s="10" t="n">
        <x:v>110</x:v>
      </x:c>
      <x:c r="F113" s="10" t="n">
        <x:v>101</x:v>
      </x:c>
      <x:c r="G113" s="11" t="str">
        <x:v>State-word concept reference from training episode 101; black cups are globally unseen. This is an exact-scene state counterfactual pair, not a direct-name manipulation control.</x:v>
      </x:c>
      <x:c r="H113" s="11" t="str">
        <x:v>black cup B</x:v>
      </x:c>
      <x:c r="I113" s="11"/>
      <x:c r="J113" s="19" t="str">
        <x:v>Novel-object state reasoning</x:v>
      </x:c>
      <x:c r="K113" s="10" t="str">
        <x:v>SR-BLACK-CF01</x:v>
      </x:c>
      <x:c r="L113" s="10" t="str">
        <x:v>O</x:v>
      </x:c>
      <x:c r="M113" s="10" t="str">
        <x:v>black cup</x:v>
      </x:c>
      <x:c r="N113" s="10" t="n">
        <x:v>2</x:v>
      </x:c>
      <x:c r="O113" s="10" t="n">
        <x:v>1</x:v>
      </x:c>
      <x:c r="P113" s="10" t="str">
        <x:v>Empty</x:v>
      </x:c>
      <x:c r="Q113" s="11" t="str">
        <x:v>Exact-scene counterfactual globally unseen black-cup state reasoning</x:v>
      </x:c>
      <x:c r="R113" s="10" t="n">
        <x:v>5</x:v>
      </x:c>
      <x:c r="S113" s="11" t="str">
        <x:v>Reset the moved black cup to its marked pose; preserve the exact scene and change only the state word in the prompt.</x:v>
      </x:c>
      <x:c r="T113" s="11" t="str">
        <x:v>Counterfactual C/O pair: both black cups and every distractor are RU; only the queried state word changes the correct black cup.</x:v>
      </x:c>
      <x:c r="U113" s="11"/>
    </x:row>
    <x:row r="114" ht="51" customHeight="1">
      <x:c r="A114" s="5" t="str">
        <x:v>Not collected</x:v>
      </x:c>
      <x:c r="B114" s="4" t="n">
        <x:v>112</x:v>
      </x:c>
      <x:c r="C114" s="5" t="str">
        <x:v>Place the upside-down black cup in the bowl.</x:v>
      </x:c>
      <x:c r="D114" s="5" t="str">
        <x:v>black cup A (C, UD); black cup B (C, RU); yellow-white striped cup B (O, UD)</x:v>
      </x:c>
      <x:c r="E114" s="4"/>
      <x:c r="F114" s="4" t="n">
        <x:v>78</x:v>
      </x:c>
      <x:c r="G114" s="5" t="str">
        <x:v>State-word concept reference from training episode 78; black cups are globally unseen. This is an exact-scene state counterfactual pair, not a direct-name manipulation control.</x:v>
      </x:c>
      <x:c r="H114" s="5" t="str">
        <x:v>black cup A</x:v>
      </x:c>
      <x:c r="I114" s="5"/>
      <x:c r="J114" s="19" t="str">
        <x:v>Novel-object state reasoning</x:v>
      </x:c>
      <x:c r="K114" s="4" t="str">
        <x:v>SR-BLACK-CF02</x:v>
      </x:c>
      <x:c r="L114" s="4" t="str">
        <x:v>UD</x:v>
      </x:c>
      <x:c r="M114" s="4" t="str">
        <x:v>black cup</x:v>
      </x:c>
      <x:c r="N114" s="4" t="n">
        <x:v>3</x:v>
      </x:c>
      <x:c r="O114" s="4" t="n">
        <x:v>1</x:v>
      </x:c>
      <x:c r="P114" s="4" t="str">
        <x:v>Empty</x:v>
      </x:c>
      <x:c r="Q114" s="5" t="str">
        <x:v>Exact-scene counterfactual globally unseen black-cup state reasoning</x:v>
      </x:c>
      <x:c r="R114" s="4" t="n">
        <x:v>5</x:v>
      </x:c>
      <x:c r="S114" s="5" t="str">
        <x:v>Build the listed scene with both black cups and an empty bowl.</x:v>
      </x:c>
      <x:c r="T114" s="5" t="str">
        <x:v>Counterfactual UD/RU pair: both black cups share the orthogonal C/O state (C); only the queried state word changes the correct black cup.</x:v>
      </x:c>
      <x:c r="U114" s="5"/>
    </x:row>
    <x:row r="115" ht="51" customHeight="1">
      <x:c r="A115" s="11" t="str">
        <x:v>Not collected</x:v>
      </x:c>
      <x:c r="B115" s="10" t="n">
        <x:v>113</x:v>
      </x:c>
      <x:c r="C115" s="11" t="str">
        <x:v>Place the upright black cup in the bowl.</x:v>
      </x:c>
      <x:c r="D115" s="11" t="str">
        <x:v>black cup A (C, UD); black cup B (C, RU); yellow-white striped cup B (O, UD)</x:v>
      </x:c>
      <x:c r="E115" s="10" t="n">
        <x:v>112</x:v>
      </x:c>
      <x:c r="F115" s="10" t="n">
        <x:v>26</x:v>
      </x:c>
      <x:c r="G115" s="11" t="str">
        <x:v>State-word concept reference from training episode 26; black cups are globally unseen. This is an exact-scene state counterfactual pair, not a direct-name manipulation control.</x:v>
      </x:c>
      <x:c r="H115" s="11" t="str">
        <x:v>black cup B</x:v>
      </x:c>
      <x:c r="I115" s="11"/>
      <x:c r="J115" s="19" t="str">
        <x:v>Novel-object state reasoning</x:v>
      </x:c>
      <x:c r="K115" s="10" t="str">
        <x:v>SR-BLACK-CF02</x:v>
      </x:c>
      <x:c r="L115" s="10" t="str">
        <x:v>RU</x:v>
      </x:c>
      <x:c r="M115" s="10" t="str">
        <x:v>black cup</x:v>
      </x:c>
      <x:c r="N115" s="10" t="n">
        <x:v>3</x:v>
      </x:c>
      <x:c r="O115" s="10" t="n">
        <x:v>1</x:v>
      </x:c>
      <x:c r="P115" s="10" t="str">
        <x:v>Empty</x:v>
      </x:c>
      <x:c r="Q115" s="11" t="str">
        <x:v>Exact-scene counterfactual globally unseen black-cup state reasoning</x:v>
      </x:c>
      <x:c r="R115" s="10" t="n">
        <x:v>5</x:v>
      </x:c>
      <x:c r="S115" s="11" t="str">
        <x:v>Reset the moved black cup to its marked pose; preserve the exact scene and change only the state word in the prompt.</x:v>
      </x:c>
      <x:c r="T115" s="11" t="str">
        <x:v>Counterfactual UD/RU pair: both black cups share the orthogonal C/O state (C); only the queried state word changes the correct black cup.</x:v>
      </x:c>
      <x:c r="U115" s="11"/>
    </x:row>
    <x:row r="116" ht="51" customHeight="1">
      <x:c r="A116" s="5" t="str">
        <x:v>Not collected</x:v>
      </x:c>
      <x:c r="B116" s="4" t="n">
        <x:v>114</x:v>
      </x:c>
      <x:c r="C116" s="5" t="str">
        <x:v>Place the closed black cup in the bowl.</x:v>
      </x:c>
      <x:c r="D116" s="5" t="str">
        <x:v>black cup A (O, RU); black cup B (C, RU); brown cup A (C, RU); glass spice container B (O, RU)</x:v>
      </x:c>
      <x:c r="E116" s="4"/>
      <x:c r="F116" s="4" t="n">
        <x:v>0</x:v>
      </x:c>
      <x:c r="G116" s="5" t="str">
        <x:v>State-word concept reference from training episode 0; black cups are globally unseen. This is an exact-scene state counterfactual pair, not a direct-name manipulation control.</x:v>
      </x:c>
      <x:c r="H116" s="5" t="str">
        <x:v>black cup B</x:v>
      </x:c>
      <x:c r="I116" s="5"/>
      <x:c r="J116" s="19" t="str">
        <x:v>Novel-object state reasoning</x:v>
      </x:c>
      <x:c r="K116" s="4" t="str">
        <x:v>SR-BLACK-CF03</x:v>
      </x:c>
      <x:c r="L116" s="4" t="str">
        <x:v>C</x:v>
      </x:c>
      <x:c r="M116" s="4" t="str">
        <x:v>black cup</x:v>
      </x:c>
      <x:c r="N116" s="4" t="n">
        <x:v>4</x:v>
      </x:c>
      <x:c r="O116" s="4" t="n">
        <x:v>1</x:v>
      </x:c>
      <x:c r="P116" s="4" t="str">
        <x:v>Empty</x:v>
      </x:c>
      <x:c r="Q116" s="5" t="str">
        <x:v>Exact-scene counterfactual globally unseen black-cup state reasoning</x:v>
      </x:c>
      <x:c r="R116" s="4" t="n">
        <x:v>5</x:v>
      </x:c>
      <x:c r="S116" s="5" t="str">
        <x:v>Build the listed scene with both black cups and an empty bowl.</x:v>
      </x:c>
      <x:c r="T116" s="5" t="str">
        <x:v>Counterfactual C/O pair: both black cups and every distractor are RU; only the queried state word changes the correct black cup.</x:v>
      </x:c>
      <x:c r="U116" s="5"/>
    </x:row>
    <x:row r="117" ht="51" customHeight="1">
      <x:c r="A117" s="11" t="str">
        <x:v>Not collected</x:v>
      </x:c>
      <x:c r="B117" s="10" t="n">
        <x:v>115</x:v>
      </x:c>
      <x:c r="C117" s="11" t="str">
        <x:v>Place the open black cup in the bowl.</x:v>
      </x:c>
      <x:c r="D117" s="11" t="str">
        <x:v>black cup A (O, RU); black cup B (C, RU); brown cup A (C, RU); glass spice container B (O, RU)</x:v>
      </x:c>
      <x:c r="E117" s="10" t="n">
        <x:v>114</x:v>
      </x:c>
      <x:c r="F117" s="10" t="n">
        <x:v>101</x:v>
      </x:c>
      <x:c r="G117" s="11" t="str">
        <x:v>State-word concept reference from training episode 101; black cups are globally unseen. This is an exact-scene state counterfactual pair, not a direct-name manipulation control.</x:v>
      </x:c>
      <x:c r="H117" s="11" t="str">
        <x:v>black cup A</x:v>
      </x:c>
      <x:c r="I117" s="11"/>
      <x:c r="J117" s="19" t="str">
        <x:v>Novel-object state reasoning</x:v>
      </x:c>
      <x:c r="K117" s="10" t="str">
        <x:v>SR-BLACK-CF03</x:v>
      </x:c>
      <x:c r="L117" s="10" t="str">
        <x:v>O</x:v>
      </x:c>
      <x:c r="M117" s="10" t="str">
        <x:v>black cup</x:v>
      </x:c>
      <x:c r="N117" s="10" t="n">
        <x:v>4</x:v>
      </x:c>
      <x:c r="O117" s="10" t="n">
        <x:v>1</x:v>
      </x:c>
      <x:c r="P117" s="10" t="str">
        <x:v>Empty</x:v>
      </x:c>
      <x:c r="Q117" s="11" t="str">
        <x:v>Exact-scene counterfactual globally unseen black-cup state reasoning</x:v>
      </x:c>
      <x:c r="R117" s="10" t="n">
        <x:v>5</x:v>
      </x:c>
      <x:c r="S117" s="11" t="str">
        <x:v>Reset the moved black cup to its marked pose; preserve the exact scene and change only the state word in the prompt.</x:v>
      </x:c>
      <x:c r="T117" s="11" t="str">
        <x:v>Counterfactual C/O pair: both black cups and every distractor are RU; only the queried state word changes the correct black cup.</x:v>
      </x:c>
      <x:c r="U117" s="11"/>
    </x:row>
    <x:row r="118" ht="51" customHeight="1">
      <x:c r="A118" s="5" t="str">
        <x:v>Not collected</x:v>
      </x:c>
      <x:c r="B118" s="4" t="n">
        <x:v>116</x:v>
      </x:c>
      <x:c r="C118" s="5" t="str">
        <x:v>Place the upside-down black cup in the bowl.</x:v>
      </x:c>
      <x:c r="D118" s="5" t="str">
        <x:v>black cup A (O, RU); black cup B (O, UD)</x:v>
      </x:c>
      <x:c r="E118" s="4"/>
      <x:c r="F118" s="4" t="n">
        <x:v>78</x:v>
      </x:c>
      <x:c r="G118" s="5" t="str">
        <x:v>State-word concept reference from training episode 78; black cups are globally unseen. This is an exact-scene state counterfactual pair, not a direct-name manipulation control.</x:v>
      </x:c>
      <x:c r="H118" s="5" t="str">
        <x:v>black cup B</x:v>
      </x:c>
      <x:c r="I118" s="5"/>
      <x:c r="J118" s="19" t="str">
        <x:v>Novel-object state reasoning</x:v>
      </x:c>
      <x:c r="K118" s="4" t="str">
        <x:v>SR-BLACK-CF04</x:v>
      </x:c>
      <x:c r="L118" s="4" t="str">
        <x:v>UD</x:v>
      </x:c>
      <x:c r="M118" s="4" t="str">
        <x:v>black cup</x:v>
      </x:c>
      <x:c r="N118" s="4" t="n">
        <x:v>2</x:v>
      </x:c>
      <x:c r="O118" s="4" t="n">
        <x:v>1</x:v>
      </x:c>
      <x:c r="P118" s="4" t="str">
        <x:v>Empty</x:v>
      </x:c>
      <x:c r="Q118" s="5" t="str">
        <x:v>Exact-scene counterfactual globally unseen black-cup state reasoning</x:v>
      </x:c>
      <x:c r="R118" s="4" t="n">
        <x:v>5</x:v>
      </x:c>
      <x:c r="S118" s="5" t="str">
        <x:v>Build the listed scene with both black cups and an empty bowl.</x:v>
      </x:c>
      <x:c r="T118" s="5" t="str">
        <x:v>Counterfactual UD/RU pair: both black cups share the orthogonal C/O state (O); only the queried state word changes the correct black cup.</x:v>
      </x:c>
      <x:c r="U118" s="5"/>
    </x:row>
    <x:row r="119" ht="51" customHeight="1">
      <x:c r="A119" s="11" t="str">
        <x:v>Not collected</x:v>
      </x:c>
      <x:c r="B119" s="10" t="n">
        <x:v>117</x:v>
      </x:c>
      <x:c r="C119" s="11" t="str">
        <x:v>Place the upright black cup in the bowl.</x:v>
      </x:c>
      <x:c r="D119" s="11" t="str">
        <x:v>black cup A (O, RU); black cup B (O, UD)</x:v>
      </x:c>
      <x:c r="E119" s="10" t="n">
        <x:v>116</x:v>
      </x:c>
      <x:c r="F119" s="10" t="n">
        <x:v>26</x:v>
      </x:c>
      <x:c r="G119" s="11" t="str">
        <x:v>State-word concept reference from training episode 26; black cups are globally unseen. This is an exact-scene state counterfactual pair, not a direct-name manipulation control.</x:v>
      </x:c>
      <x:c r="H119" s="11" t="str">
        <x:v>black cup A</x:v>
      </x:c>
      <x:c r="I119" s="11"/>
      <x:c r="J119" s="19" t="str">
        <x:v>Novel-object state reasoning</x:v>
      </x:c>
      <x:c r="K119" s="10" t="str">
        <x:v>SR-BLACK-CF04</x:v>
      </x:c>
      <x:c r="L119" s="10" t="str">
        <x:v>RU</x:v>
      </x:c>
      <x:c r="M119" s="10" t="str">
        <x:v>black cup</x:v>
      </x:c>
      <x:c r="N119" s="10" t="n">
        <x:v>2</x:v>
      </x:c>
      <x:c r="O119" s="10" t="n">
        <x:v>1</x:v>
      </x:c>
      <x:c r="P119" s="10" t="str">
        <x:v>Empty</x:v>
      </x:c>
      <x:c r="Q119" s="11" t="str">
        <x:v>Exact-scene counterfactual globally unseen black-cup state reasoning</x:v>
      </x:c>
      <x:c r="R119" s="10" t="n">
        <x:v>5</x:v>
      </x:c>
      <x:c r="S119" s="11" t="str">
        <x:v>Reset the moved black cup to its marked pose; preserve the exact scene and change only the state word in the prompt.</x:v>
      </x:c>
      <x:c r="T119" s="11" t="str">
        <x:v>Counterfactual UD/RU pair: both black cups share the orthogonal C/O state (O); only the queried state word changes the correct black cup.</x:v>
      </x:c>
      <x:c r="U119" s="11"/>
    </x:row>
    <x:row r="120" ht="51" customHeight="1">
      <x:c r="A120" s="5" t="str">
        <x:v>Not collected</x:v>
      </x:c>
      <x:c r="B120" s="4" t="n">
        <x:v>118</x:v>
      </x:c>
      <x:c r="C120" s="5" t="str">
        <x:v>Place the closed black cup in the bowl.</x:v>
      </x:c>
      <x:c r="D120" s="5" t="str">
        <x:v>black cup A (C, RU); black cup B (O, RU); white cup A (C, RU)</x:v>
      </x:c>
      <x:c r="E120" s="4"/>
      <x:c r="F120" s="4" t="n">
        <x:v>0</x:v>
      </x:c>
      <x:c r="G120" s="5" t="str">
        <x:v>State-word concept reference from training episode 0; black cups are globally unseen. This is an exact-scene state counterfactual pair, not a direct-name manipulation control.</x:v>
      </x:c>
      <x:c r="H120" s="5" t="str">
        <x:v>black cup A</x:v>
      </x:c>
      <x:c r="I120" s="5"/>
      <x:c r="J120" s="19" t="str">
        <x:v>Novel-object state reasoning</x:v>
      </x:c>
      <x:c r="K120" s="4" t="str">
        <x:v>SR-BLACK-CF05</x:v>
      </x:c>
      <x:c r="L120" s="4" t="str">
        <x:v>C</x:v>
      </x:c>
      <x:c r="M120" s="4" t="str">
        <x:v>black cup</x:v>
      </x:c>
      <x:c r="N120" s="4" t="n">
        <x:v>3</x:v>
      </x:c>
      <x:c r="O120" s="4" t="n">
        <x:v>1</x:v>
      </x:c>
      <x:c r="P120" s="4" t="str">
        <x:v>Empty</x:v>
      </x:c>
      <x:c r="Q120" s="5" t="str">
        <x:v>Exact-scene counterfactual globally unseen black-cup state reasoning</x:v>
      </x:c>
      <x:c r="R120" s="4" t="n">
        <x:v>5</x:v>
      </x:c>
      <x:c r="S120" s="5" t="str">
        <x:v>Build the listed scene with both black cups and an empty bowl.</x:v>
      </x:c>
      <x:c r="T120" s="5" t="str">
        <x:v>Counterfactual C/O pair: both black cups and every distractor are RU; only the queried state word changes the correct black cup.</x:v>
      </x:c>
      <x:c r="U120" s="5"/>
    </x:row>
    <x:row r="121" ht="51" customHeight="1">
      <x:c r="A121" s="11" t="str">
        <x:v>Not collected</x:v>
      </x:c>
      <x:c r="B121" s="10" t="n">
        <x:v>119</x:v>
      </x:c>
      <x:c r="C121" s="11" t="str">
        <x:v>Place the open black cup in the bowl.</x:v>
      </x:c>
      <x:c r="D121" s="11" t="str">
        <x:v>black cup A (C, RU); black cup B (O, RU); white cup A (C, RU)</x:v>
      </x:c>
      <x:c r="E121" s="10" t="n">
        <x:v>118</x:v>
      </x:c>
      <x:c r="F121" s="10" t="n">
        <x:v>101</x:v>
      </x:c>
      <x:c r="G121" s="11" t="str">
        <x:v>State-word concept reference from training episode 101; black cups are globally unseen. This is an exact-scene state counterfactual pair, not a direct-name manipulation control.</x:v>
      </x:c>
      <x:c r="H121" s="11" t="str">
        <x:v>black cup B</x:v>
      </x:c>
      <x:c r="I121" s="11"/>
      <x:c r="J121" s="19" t="str">
        <x:v>Novel-object state reasoning</x:v>
      </x:c>
      <x:c r="K121" s="10" t="str">
        <x:v>SR-BLACK-CF05</x:v>
      </x:c>
      <x:c r="L121" s="10" t="str">
        <x:v>O</x:v>
      </x:c>
      <x:c r="M121" s="10" t="str">
        <x:v>black cup</x:v>
      </x:c>
      <x:c r="N121" s="10" t="n">
        <x:v>3</x:v>
      </x:c>
      <x:c r="O121" s="10" t="n">
        <x:v>1</x:v>
      </x:c>
      <x:c r="P121" s="10" t="str">
        <x:v>Empty</x:v>
      </x:c>
      <x:c r="Q121" s="11" t="str">
        <x:v>Exact-scene counterfactual globally unseen black-cup state reasoning</x:v>
      </x:c>
      <x:c r="R121" s="10" t="n">
        <x:v>5</x:v>
      </x:c>
      <x:c r="S121" s="11" t="str">
        <x:v>Reset the moved black cup to its marked pose; preserve the exact scene and change only the state word in the prompt.</x:v>
      </x:c>
      <x:c r="T121" s="11" t="str">
        <x:v>Counterfactual C/O pair: both black cups and every distractor are RU; only the queried state word changes the correct black cup.</x:v>
      </x:c>
      <x:c r="U121" s="11"/>
    </x:row>
    <x:row r="122" ht="51" customHeight="1">
      <x:c r="A122" s="5" t="str">
        <x:v>Not collected</x:v>
      </x:c>
      <x:c r="B122" s="4" t="n">
        <x:v>120</x:v>
      </x:c>
      <x:c r="C122" s="5" t="str">
        <x:v>Place the upside-down black cup in the bowl.</x:v>
      </x:c>
      <x:c r="D122" s="5" t="str">
        <x:v>black cup A (C, UD); black cup B (C, RU); yellow-white striped cup B (O, UD); brown cup A (C, RU)</x:v>
      </x:c>
      <x:c r="E122" s="4"/>
      <x:c r="F122" s="4" t="n">
        <x:v>78</x:v>
      </x:c>
      <x:c r="G122" s="5" t="str">
        <x:v>State-word concept reference from training episode 78; black cups are globally unseen. This is an exact-scene state counterfactual pair, not a direct-name manipulation control.</x:v>
      </x:c>
      <x:c r="H122" s="5" t="str">
        <x:v>black cup A</x:v>
      </x:c>
      <x:c r="I122" s="5"/>
      <x:c r="J122" s="19" t="str">
        <x:v>Novel-object state reasoning</x:v>
      </x:c>
      <x:c r="K122" s="4" t="str">
        <x:v>SR-BLACK-CF06</x:v>
      </x:c>
      <x:c r="L122" s="4" t="str">
        <x:v>UD</x:v>
      </x:c>
      <x:c r="M122" s="4" t="str">
        <x:v>black cup</x:v>
      </x:c>
      <x:c r="N122" s="4" t="n">
        <x:v>4</x:v>
      </x:c>
      <x:c r="O122" s="4" t="n">
        <x:v>1</x:v>
      </x:c>
      <x:c r="P122" s="4" t="str">
        <x:v>Empty</x:v>
      </x:c>
      <x:c r="Q122" s="5" t="str">
        <x:v>Exact-scene counterfactual globally unseen black-cup state reasoning</x:v>
      </x:c>
      <x:c r="R122" s="4" t="n">
        <x:v>5</x:v>
      </x:c>
      <x:c r="S122" s="5" t="str">
        <x:v>Build the listed scene with both black cups and an empty bowl.</x:v>
      </x:c>
      <x:c r="T122" s="5" t="str">
        <x:v>Counterfactual UD/RU pair: both black cups share the orthogonal C/O state (C); only the queried state word changes the correct black cup.</x:v>
      </x:c>
      <x:c r="U122" s="5"/>
    </x:row>
    <x:row r="123" ht="51" customHeight="1">
      <x:c r="A123" s="11" t="str">
        <x:v>Not collected</x:v>
      </x:c>
      <x:c r="B123" s="10" t="n">
        <x:v>121</x:v>
      </x:c>
      <x:c r="C123" s="11" t="str">
        <x:v>Place the upright black cup in the bowl.</x:v>
      </x:c>
      <x:c r="D123" s="11" t="str">
        <x:v>black cup A (C, UD); black cup B (C, RU); yellow-white striped cup B (O, UD); brown cup A (C, RU)</x:v>
      </x:c>
      <x:c r="E123" s="10" t="n">
        <x:v>120</x:v>
      </x:c>
      <x:c r="F123" s="10" t="n">
        <x:v>26</x:v>
      </x:c>
      <x:c r="G123" s="11" t="str">
        <x:v>State-word concept reference from training episode 26; black cups are globally unseen. This is an exact-scene state counterfactual pair, not a direct-name manipulation control.</x:v>
      </x:c>
      <x:c r="H123" s="11" t="str">
        <x:v>black cup B</x:v>
      </x:c>
      <x:c r="I123" s="11"/>
      <x:c r="J123" s="19" t="str">
        <x:v>Novel-object state reasoning</x:v>
      </x:c>
      <x:c r="K123" s="10" t="str">
        <x:v>SR-BLACK-CF06</x:v>
      </x:c>
      <x:c r="L123" s="10" t="str">
        <x:v>RU</x:v>
      </x:c>
      <x:c r="M123" s="10" t="str">
        <x:v>black cup</x:v>
      </x:c>
      <x:c r="N123" s="10" t="n">
        <x:v>4</x:v>
      </x:c>
      <x:c r="O123" s="10" t="n">
        <x:v>1</x:v>
      </x:c>
      <x:c r="P123" s="10" t="str">
        <x:v>Empty</x:v>
      </x:c>
      <x:c r="Q123" s="11" t="str">
        <x:v>Exact-scene counterfactual globally unseen black-cup state reasoning</x:v>
      </x:c>
      <x:c r="R123" s="10" t="n">
        <x:v>5</x:v>
      </x:c>
      <x:c r="S123" s="11" t="str">
        <x:v>Reset the moved black cup to its marked pose; preserve the exact scene and change only the state word in the prompt.</x:v>
      </x:c>
      <x:c r="T123" s="11" t="str">
        <x:v>Counterfactual UD/RU pair: both black cups share the orthogonal C/O state (C); only the queried state word changes the correct black cup.</x:v>
      </x:c>
      <x:c r="U123" s="11"/>
    </x:row>
    <x:row r="124" ht="51" customHeight="1">
      <x:c r="A124" s="5" t="str">
        <x:v>Not collected</x:v>
      </x:c>
      <x:c r="B124" s="4" t="n">
        <x:v>122</x:v>
      </x:c>
      <x:c r="C124" s="5" t="str">
        <x:v>Place the closed black cup in the bowl.</x:v>
      </x:c>
      <x:c r="D124" s="5" t="str">
        <x:v>black cup A (O, RU); black cup B (C, RU)</x:v>
      </x:c>
      <x:c r="E124" s="4"/>
      <x:c r="F124" s="4" t="n">
        <x:v>0</x:v>
      </x:c>
      <x:c r="G124" s="5" t="str">
        <x:v>State-word concept reference from training episode 0; black cups are globally unseen. This is an exact-scene state counterfactual pair, not a direct-name manipulation control.</x:v>
      </x:c>
      <x:c r="H124" s="5" t="str">
        <x:v>black cup B</x:v>
      </x:c>
      <x:c r="I124" s="5"/>
      <x:c r="J124" s="19" t="str">
        <x:v>Novel-object state reasoning</x:v>
      </x:c>
      <x:c r="K124" s="4" t="str">
        <x:v>SR-BLACK-CF07</x:v>
      </x:c>
      <x:c r="L124" s="4" t="str">
        <x:v>C</x:v>
      </x:c>
      <x:c r="M124" s="4" t="str">
        <x:v>black cup</x:v>
      </x:c>
      <x:c r="N124" s="4" t="n">
        <x:v>2</x:v>
      </x:c>
      <x:c r="O124" s="4" t="n">
        <x:v>1</x:v>
      </x:c>
      <x:c r="P124" s="4" t="str">
        <x:v>Empty</x:v>
      </x:c>
      <x:c r="Q124" s="5" t="str">
        <x:v>Exact-scene counterfactual globally unseen black-cup state reasoning</x:v>
      </x:c>
      <x:c r="R124" s="4" t="n">
        <x:v>5</x:v>
      </x:c>
      <x:c r="S124" s="5" t="str">
        <x:v>Build the listed scene with both black cups and an empty bowl.</x:v>
      </x:c>
      <x:c r="T124" s="5" t="str">
        <x:v>Counterfactual C/O pair: both black cups and every distractor are RU; only the queried state word changes the correct black cup.</x:v>
      </x:c>
      <x:c r="U124" s="5"/>
    </x:row>
    <x:row r="125" ht="51" customHeight="1">
      <x:c r="A125" s="11" t="str">
        <x:v>Not collected</x:v>
      </x:c>
      <x:c r="B125" s="10" t="n">
        <x:v>123</x:v>
      </x:c>
      <x:c r="C125" s="11" t="str">
        <x:v>Place the open black cup in the bowl.</x:v>
      </x:c>
      <x:c r="D125" s="11" t="str">
        <x:v>black cup A (O, RU); black cup B (C, RU)</x:v>
      </x:c>
      <x:c r="E125" s="10" t="n">
        <x:v>122</x:v>
      </x:c>
      <x:c r="F125" s="10" t="n">
        <x:v>101</x:v>
      </x:c>
      <x:c r="G125" s="11" t="str">
        <x:v>State-word concept reference from training episode 101; black cups are globally unseen. This is an exact-scene state counterfactual pair, not a direct-name manipulation control.</x:v>
      </x:c>
      <x:c r="H125" s="11" t="str">
        <x:v>black cup A</x:v>
      </x:c>
      <x:c r="I125" s="11"/>
      <x:c r="J125" s="19" t="str">
        <x:v>Novel-object state reasoning</x:v>
      </x:c>
      <x:c r="K125" s="10" t="str">
        <x:v>SR-BLACK-CF07</x:v>
      </x:c>
      <x:c r="L125" s="10" t="str">
        <x:v>O</x:v>
      </x:c>
      <x:c r="M125" s="10" t="str">
        <x:v>black cup</x:v>
      </x:c>
      <x:c r="N125" s="10" t="n">
        <x:v>2</x:v>
      </x:c>
      <x:c r="O125" s="10" t="n">
        <x:v>1</x:v>
      </x:c>
      <x:c r="P125" s="10" t="str">
        <x:v>Empty</x:v>
      </x:c>
      <x:c r="Q125" s="11" t="str">
        <x:v>Exact-scene counterfactual globally unseen black-cup state reasoning</x:v>
      </x:c>
      <x:c r="R125" s="10" t="n">
        <x:v>5</x:v>
      </x:c>
      <x:c r="S125" s="11" t="str">
        <x:v>Reset the moved black cup to its marked pose; preserve the exact scene and change only the state word in the prompt.</x:v>
      </x:c>
      <x:c r="T125" s="11" t="str">
        <x:v>Counterfactual C/O pair: both black cups and every distractor are RU; only the queried state word changes the correct black cup.</x:v>
      </x:c>
      <x:c r="U125" s="11"/>
    </x:row>
    <x:row r="126" ht="51" customHeight="1">
      <x:c r="A126" s="5" t="str">
        <x:v>Not collected</x:v>
      </x:c>
      <x:c r="B126" s="4" t="n">
        <x:v>124</x:v>
      </x:c>
      <x:c r="C126" s="5" t="str">
        <x:v>Place the upside-down black cup in the bowl.</x:v>
      </x:c>
      <x:c r="D126" s="5" t="str">
        <x:v>black cup A (O, RU); black cup B (O, UD); glass spice container B (O, UD)</x:v>
      </x:c>
      <x:c r="E126" s="4"/>
      <x:c r="F126" s="4" t="n">
        <x:v>78</x:v>
      </x:c>
      <x:c r="G126" s="5" t="str">
        <x:v>State-word concept reference from training episode 78; black cups are globally unseen. This is an exact-scene state counterfactual pair, not a direct-name manipulation control.</x:v>
      </x:c>
      <x:c r="H126" s="5" t="str">
        <x:v>black cup B</x:v>
      </x:c>
      <x:c r="I126" s="5"/>
      <x:c r="J126" s="19" t="str">
        <x:v>Novel-object state reasoning</x:v>
      </x:c>
      <x:c r="K126" s="4" t="str">
        <x:v>SR-BLACK-CF08</x:v>
      </x:c>
      <x:c r="L126" s="4" t="str">
        <x:v>UD</x:v>
      </x:c>
      <x:c r="M126" s="4" t="str">
        <x:v>black cup</x:v>
      </x:c>
      <x:c r="N126" s="4" t="n">
        <x:v>3</x:v>
      </x:c>
      <x:c r="O126" s="4" t="n">
        <x:v>1</x:v>
      </x:c>
      <x:c r="P126" s="4" t="str">
        <x:v>Empty</x:v>
      </x:c>
      <x:c r="Q126" s="5" t="str">
        <x:v>Exact-scene counterfactual globally unseen black-cup state reasoning</x:v>
      </x:c>
      <x:c r="R126" s="4" t="n">
        <x:v>5</x:v>
      </x:c>
      <x:c r="S126" s="5" t="str">
        <x:v>Build the listed scene with both black cups and an empty bowl.</x:v>
      </x:c>
      <x:c r="T126" s="5" t="str">
        <x:v>Counterfactual UD/RU pair: both black cups share the orthogonal C/O state (O); only the queried state word changes the correct black cup.</x:v>
      </x:c>
      <x:c r="U126" s="5"/>
    </x:row>
    <x:row r="127" ht="51" customHeight="1">
      <x:c r="A127" s="11" t="str">
        <x:v>Not collected</x:v>
      </x:c>
      <x:c r="B127" s="10" t="n">
        <x:v>125</x:v>
      </x:c>
      <x:c r="C127" s="11" t="str">
        <x:v>Place the upright black cup in the bowl.</x:v>
      </x:c>
      <x:c r="D127" s="11" t="str">
        <x:v>black cup A (O, RU); black cup B (O, UD); glass spice container B (O, UD)</x:v>
      </x:c>
      <x:c r="E127" s="10" t="n">
        <x:v>124</x:v>
      </x:c>
      <x:c r="F127" s="10" t="n">
        <x:v>26</x:v>
      </x:c>
      <x:c r="G127" s="11" t="str">
        <x:v>State-word concept reference from training episode 26; black cups are globally unseen. This is an exact-scene state counterfactual pair, not a direct-name manipulation control.</x:v>
      </x:c>
      <x:c r="H127" s="11" t="str">
        <x:v>black cup A</x:v>
      </x:c>
      <x:c r="I127" s="11"/>
      <x:c r="J127" s="19" t="str">
        <x:v>Novel-object state reasoning</x:v>
      </x:c>
      <x:c r="K127" s="10" t="str">
        <x:v>SR-BLACK-CF08</x:v>
      </x:c>
      <x:c r="L127" s="10" t="str">
        <x:v>RU</x:v>
      </x:c>
      <x:c r="M127" s="10" t="str">
        <x:v>black cup</x:v>
      </x:c>
      <x:c r="N127" s="10" t="n">
        <x:v>3</x:v>
      </x:c>
      <x:c r="O127" s="10" t="n">
        <x:v>1</x:v>
      </x:c>
      <x:c r="P127" s="10" t="str">
        <x:v>Empty</x:v>
      </x:c>
      <x:c r="Q127" s="11" t="str">
        <x:v>Exact-scene counterfactual globally unseen black-cup state reasoning</x:v>
      </x:c>
      <x:c r="R127" s="10" t="n">
        <x:v>5</x:v>
      </x:c>
      <x:c r="S127" s="11" t="str">
        <x:v>Reset the moved black cup to its marked pose; preserve the exact scene and change only the state word in the prompt.</x:v>
      </x:c>
      <x:c r="T127" s="11" t="str">
        <x:v>Counterfactual UD/RU pair: both black cups share the orthogonal C/O state (O); only the queried state word changes the correct black cup.</x:v>
      </x:c>
      <x:c r="U127" s="11"/>
    </x:row>
    <x:row r="128" ht="51" customHeight="1">
      <x:c r="A128" s="5" t="str">
        <x:v>Not collected</x:v>
      </x:c>
      <x:c r="B128" s="4" t="n">
        <x:v>126</x:v>
      </x:c>
      <x:c r="C128" s="5" t="str">
        <x:v>Place the closed black cup in the bowl.</x:v>
      </x:c>
      <x:c r="D128" s="5" t="str">
        <x:v>black cup A (C, RU); black cup B (O, RU); white cup A (C, RU); yellow-white striped cup B (O, RU)</x:v>
      </x:c>
      <x:c r="E128" s="4"/>
      <x:c r="F128" s="4" t="n">
        <x:v>0</x:v>
      </x:c>
      <x:c r="G128" s="5" t="str">
        <x:v>State-word concept reference from training episode 0; black cups are globally unseen. This is an exact-scene state counterfactual pair, not a direct-name manipulation control.</x:v>
      </x:c>
      <x:c r="H128" s="5" t="str">
        <x:v>black cup A</x:v>
      </x:c>
      <x:c r="I128" s="5"/>
      <x:c r="J128" s="19" t="str">
        <x:v>Novel-object state reasoning</x:v>
      </x:c>
      <x:c r="K128" s="4" t="str">
        <x:v>SR-BLACK-CF09</x:v>
      </x:c>
      <x:c r="L128" s="4" t="str">
        <x:v>C</x:v>
      </x:c>
      <x:c r="M128" s="4" t="str">
        <x:v>black cup</x:v>
      </x:c>
      <x:c r="N128" s="4" t="n">
        <x:v>4</x:v>
      </x:c>
      <x:c r="O128" s="4" t="n">
        <x:v>1</x:v>
      </x:c>
      <x:c r="P128" s="4" t="str">
        <x:v>Empty</x:v>
      </x:c>
      <x:c r="Q128" s="5" t="str">
        <x:v>Exact-scene counterfactual globally unseen black-cup state reasoning</x:v>
      </x:c>
      <x:c r="R128" s="4" t="n">
        <x:v>5</x:v>
      </x:c>
      <x:c r="S128" s="5" t="str">
        <x:v>Build the listed scene with both black cups and an empty bowl.</x:v>
      </x:c>
      <x:c r="T128" s="5" t="str">
        <x:v>Counterfactual C/O pair: both black cups and every distractor are RU; only the queried state word changes the correct black cup.</x:v>
      </x:c>
      <x:c r="U128" s="5"/>
    </x:row>
    <x:row r="129" ht="51" customHeight="1">
      <x:c r="A129" s="11" t="str">
        <x:v>Not collected</x:v>
      </x:c>
      <x:c r="B129" s="10" t="n">
        <x:v>127</x:v>
      </x:c>
      <x:c r="C129" s="11" t="str">
        <x:v>Place the open black cup in the bowl.</x:v>
      </x:c>
      <x:c r="D129" s="11" t="str">
        <x:v>black cup A (C, RU); black cup B (O, RU); white cup A (C, RU); yellow-white striped cup B (O, RU)</x:v>
      </x:c>
      <x:c r="E129" s="10" t="n">
        <x:v>126</x:v>
      </x:c>
      <x:c r="F129" s="10" t="n">
        <x:v>101</x:v>
      </x:c>
      <x:c r="G129" s="11" t="str">
        <x:v>State-word concept reference from training episode 101; black cups are globally unseen. This is an exact-scene state counterfactual pair, not a direct-name manipulation control.</x:v>
      </x:c>
      <x:c r="H129" s="11" t="str">
        <x:v>black cup B</x:v>
      </x:c>
      <x:c r="I129" s="11"/>
      <x:c r="J129" s="19" t="str">
        <x:v>Novel-object state reasoning</x:v>
      </x:c>
      <x:c r="K129" s="10" t="str">
        <x:v>SR-BLACK-CF09</x:v>
      </x:c>
      <x:c r="L129" s="10" t="str">
        <x:v>O</x:v>
      </x:c>
      <x:c r="M129" s="10" t="str">
        <x:v>black cup</x:v>
      </x:c>
      <x:c r="N129" s="10" t="n">
        <x:v>4</x:v>
      </x:c>
      <x:c r="O129" s="10" t="n">
        <x:v>1</x:v>
      </x:c>
      <x:c r="P129" s="10" t="str">
        <x:v>Empty</x:v>
      </x:c>
      <x:c r="Q129" s="11" t="str">
        <x:v>Exact-scene counterfactual globally unseen black-cup state reasoning</x:v>
      </x:c>
      <x:c r="R129" s="10" t="n">
        <x:v>5</x:v>
      </x:c>
      <x:c r="S129" s="11" t="str">
        <x:v>Reset the moved black cup to its marked pose; preserve the exact scene and change only the state word in the prompt.</x:v>
      </x:c>
      <x:c r="T129" s="11" t="str">
        <x:v>Counterfactual C/O pair: both black cups and every distractor are RU; only the queried state word changes the correct black cup.</x:v>
      </x:c>
      <x:c r="U129" s="11"/>
    </x:row>
    <x:row r="130" ht="51" customHeight="1">
      <x:c r="A130" s="5" t="str">
        <x:v>Not collected</x:v>
      </x:c>
      <x:c r="B130" s="4" t="n">
        <x:v>128</x:v>
      </x:c>
      <x:c r="C130" s="5" t="str">
        <x:v>Place the upside-down black cup in the bowl.</x:v>
      </x:c>
      <x:c r="D130" s="5" t="str">
        <x:v>black cup A (C, UD); black cup B (C, RU); yellow-white striped cup B (O, UD)</x:v>
      </x:c>
      <x:c r="E130" s="4"/>
      <x:c r="F130" s="4" t="n">
        <x:v>78</x:v>
      </x:c>
      <x:c r="G130" s="5" t="str">
        <x:v>State-word concept reference from training episode 78; black cups are globally unseen. This is an exact-scene state counterfactual pair, not a direct-name manipulation control.</x:v>
      </x:c>
      <x:c r="H130" s="5" t="str">
        <x:v>black cup A</x:v>
      </x:c>
      <x:c r="I130" s="5"/>
      <x:c r="J130" s="19" t="str">
        <x:v>Novel-object state reasoning</x:v>
      </x:c>
      <x:c r="K130" s="4" t="str">
        <x:v>SR-BLACK-CF10</x:v>
      </x:c>
      <x:c r="L130" s="4" t="str">
        <x:v>UD</x:v>
      </x:c>
      <x:c r="M130" s="4" t="str">
        <x:v>black cup</x:v>
      </x:c>
      <x:c r="N130" s="4" t="n">
        <x:v>3</x:v>
      </x:c>
      <x:c r="O130" s="4" t="n">
        <x:v>1</x:v>
      </x:c>
      <x:c r="P130" s="4" t="str">
        <x:v>Empty</x:v>
      </x:c>
      <x:c r="Q130" s="5" t="str">
        <x:v>Exact-scene counterfactual globally unseen black-cup state reasoning</x:v>
      </x:c>
      <x:c r="R130" s="4" t="n">
        <x:v>5</x:v>
      </x:c>
      <x:c r="S130" s="5" t="str">
        <x:v>Build the listed scene with both black cups and an empty bowl.</x:v>
      </x:c>
      <x:c r="T130" s="5" t="str">
        <x:v>Counterfactual UD/RU pair: both black cups share the orthogonal C/O state (C); only the queried state word changes the correct black cup.</x:v>
      </x:c>
      <x:c r="U130" s="5"/>
    </x:row>
    <x:row r="131" ht="51" customHeight="1">
      <x:c r="A131" s="11" t="str">
        <x:v>Not collected</x:v>
      </x:c>
      <x:c r="B131" s="10" t="n">
        <x:v>129</x:v>
      </x:c>
      <x:c r="C131" s="11" t="str">
        <x:v>Place the upright black cup in the bowl.</x:v>
      </x:c>
      <x:c r="D131" s="11" t="str">
        <x:v>black cup A (C, UD); black cup B (C, RU); yellow-white striped cup B (O, UD)</x:v>
      </x:c>
      <x:c r="E131" s="10" t="n">
        <x:v>128</x:v>
      </x:c>
      <x:c r="F131" s="10" t="n">
        <x:v>26</x:v>
      </x:c>
      <x:c r="G131" s="11" t="str">
        <x:v>State-word concept reference from training episode 26; black cups are globally unseen. This is an exact-scene state counterfactual pair, not a direct-name manipulation control.</x:v>
      </x:c>
      <x:c r="H131" s="11" t="str">
        <x:v>black cup B</x:v>
      </x:c>
      <x:c r="I131" s="11"/>
      <x:c r="J131" s="19" t="str">
        <x:v>Novel-object state reasoning</x:v>
      </x:c>
      <x:c r="K131" s="10" t="str">
        <x:v>SR-BLACK-CF10</x:v>
      </x:c>
      <x:c r="L131" s="10" t="str">
        <x:v>RU</x:v>
      </x:c>
      <x:c r="M131" s="10" t="str">
        <x:v>black cup</x:v>
      </x:c>
      <x:c r="N131" s="10" t="n">
        <x:v>3</x:v>
      </x:c>
      <x:c r="O131" s="10" t="n">
        <x:v>1</x:v>
      </x:c>
      <x:c r="P131" s="10" t="str">
        <x:v>Empty</x:v>
      </x:c>
      <x:c r="Q131" s="11" t="str">
        <x:v>Exact-scene counterfactual globally unseen black-cup state reasoning</x:v>
      </x:c>
      <x:c r="R131" s="10" t="n">
        <x:v>5</x:v>
      </x:c>
      <x:c r="S131" s="11" t="str">
        <x:v>Reset the moved black cup to its marked pose; preserve the exact scene and change only the state word in the prompt.</x:v>
      </x:c>
      <x:c r="T131" s="11" t="str">
        <x:v>Counterfactual UD/RU pair: both black cups share the orthogonal C/O state (C); only the queried state word changes the correct black cup.</x:v>
      </x:c>
      <x:c r="U131" s="11"/>
    </x:row>
    <x:row r="132" ht="51" customHeight="1">
      <x:c r="A132" s="5" t="str">
        <x:v>Not collected</x:v>
      </x:c>
      <x:c r="B132" s="4" t="n">
        <x:v>130</x:v>
      </x:c>
      <x:c r="C132" s="5" t="str">
        <x:v>Place the closed white cup in the bowl.</x:v>
      </x:c>
      <x:c r="D132" s="5" t="str">
        <x:v>white cup A (O, RU); white cup B (O, RU)</x:v>
      </x:c>
      <x:c r="E132" s="4"/>
      <x:c r="F132" s="4" t="str">
        <x:v>0</x:v>
      </x:c>
      <x:c r="G132" s="5" t="str">
        <x:v>The state-object concept is explicitly trained, but training does not contain a no-satisfying-target abstention trajectory. All objects are upright, matching the context of every explicit open/closed training demonstration.</x:v>
      </x:c>
      <x:c r="H132" s="5" t="str">
        <x:v>NO-OP; no object has state C, so nothing should be picked up</x:v>
      </x:c>
      <x:c r="I132" s="5"/>
      <x:c r="J132" s="7" t="str">
        <x:v>No valid target / no movement</x:v>
      </x:c>
      <x:c r="K132" s="4" t="str">
        <x:v>SR-NOOP01</x:v>
      </x:c>
      <x:c r="L132" s="4" t="str">
        <x:v>C</x:v>
      </x:c>
      <x:c r="M132" s="4" t="str">
        <x:v>white cup</x:v>
      </x:c>
      <x:c r="N132" s="4" t="n">
        <x:v>2</x:v>
      </x:c>
      <x:c r="O132" s="4" t="n">
        <x:v>0</x:v>
      </x:c>
      <x:c r="P132" s="4" t="str">
        <x:v>Empty</x:v>
      </x:c>
      <x:c r="Q132" s="5" t="str">
        <x:v>No satisfying state present; bowl remains empty</x:v>
      </x:c>
      <x:c r="R132" s="4" t="n">
        <x:v>6</x:v>
      </x:c>
      <x:c r="S132" s="5" t="str">
        <x:v>Build the listed no-match scene and confirm the bowl is empty.</x:v>
      </x:c>
      <x:c r="T132" s="5" t="str">
        <x:v>No object in the entire scene has the queried state. The prompt uses the same canonical frame as active trials, and the queried state-object cell is training-supported. The orthogonal orientation axis is fixed: every object is RU.</x:v>
      </x:c>
      <x:c r="U132" s="5"/>
    </x:row>
    <x:row r="133" ht="51" customHeight="1">
      <x:c r="A133" s="11" t="str">
        <x:v>Not collected</x:v>
      </x:c>
      <x:c r="B133" s="10" t="n">
        <x:v>131</x:v>
      </x:c>
      <x:c r="C133" s="11" t="str">
        <x:v>Place the upside-down yellow-white striped cup in the bowl.</x:v>
      </x:c>
      <x:c r="D133" s="11" t="str">
        <x:v>yellow-white striped cup A (C, RU); yellow-white striped cup B (C, RU); brown cup B (O, RU)</x:v>
      </x:c>
      <x:c r="E133" s="10"/>
      <x:c r="F133" s="10" t="str">
        <x:v>78</x:v>
      </x:c>
      <x:c r="G133" s="11" t="str">
        <x:v>The state-object concept is explicitly trained, but training does not contain a no-satisfying-target abstention trajectory.</x:v>
      </x:c>
      <x:c r="H133" s="11" t="str">
        <x:v>NO-OP; no object has state UD, so nothing should be picked up</x:v>
      </x:c>
      <x:c r="I133" s="11"/>
      <x:c r="J133" s="7" t="str">
        <x:v>No valid target / no movement</x:v>
      </x:c>
      <x:c r="K133" s="10" t="str">
        <x:v>SR-NOOP02</x:v>
      </x:c>
      <x:c r="L133" s="10" t="str">
        <x:v>UD</x:v>
      </x:c>
      <x:c r="M133" s="10" t="str">
        <x:v>yellow-white striped cup</x:v>
      </x:c>
      <x:c r="N133" s="10" t="n">
        <x:v>3</x:v>
      </x:c>
      <x:c r="O133" s="10" t="n">
        <x:v>0</x:v>
      </x:c>
      <x:c r="P133" s="10" t="str">
        <x:v>Empty</x:v>
      </x:c>
      <x:c r="Q133" s="11" t="str">
        <x:v>No satisfying state present; bowl remains empty</x:v>
      </x:c>
      <x:c r="R133" s="10" t="n">
        <x:v>6</x:v>
      </x:c>
      <x:c r="S133" s="11" t="str">
        <x:v>Build the listed no-match scene and confirm the bowl is empty.</x:v>
      </x:c>
      <x:c r="T133" s="11" t="str">
        <x:v>No object in the entire scene has the queried state. The prompt uses the same canonical frame as active trials, and the queried state-object cell is training-supported. The same-category candidates share the orthogonal C/O state (C).</x:v>
      </x:c>
      <x:c r="U133" s="11"/>
    </x:row>
    <x:row r="134" ht="51" customHeight="1">
      <x:c r="A134" s="5" t="str">
        <x:v>Not collected</x:v>
      </x:c>
      <x:c r="B134" s="4" t="n">
        <x:v>132</x:v>
      </x:c>
      <x:c r="C134" s="5" t="str">
        <x:v>Place the open brown cup in the bowl.</x:v>
      </x:c>
      <x:c r="D134" s="5" t="str">
        <x:v>brown cup A (C, RU); brown cup B (C, RU); glass spice container A (C, RU); white cup B (C, RU)</x:v>
      </x:c>
      <x:c r="E134" s="4"/>
      <x:c r="F134" s="4" t="str">
        <x:v>101</x:v>
      </x:c>
      <x:c r="G134" s="5" t="str">
        <x:v>The state-object concept is explicitly trained, but training does not contain a no-satisfying-target abstention trajectory. All objects are upright, matching the context of every explicit open/closed training demonstration.</x:v>
      </x:c>
      <x:c r="H134" s="5" t="str">
        <x:v>NO-OP; no object has state O, so nothing should be picked up</x:v>
      </x:c>
      <x:c r="I134" s="5"/>
      <x:c r="J134" s="7" t="str">
        <x:v>No valid target / no movement</x:v>
      </x:c>
      <x:c r="K134" s="4" t="str">
        <x:v>SR-NOOP03</x:v>
      </x:c>
      <x:c r="L134" s="4" t="str">
        <x:v>O</x:v>
      </x:c>
      <x:c r="M134" s="4" t="str">
        <x:v>brown cup</x:v>
      </x:c>
      <x:c r="N134" s="4" t="n">
        <x:v>4</x:v>
      </x:c>
      <x:c r="O134" s="4" t="n">
        <x:v>0</x:v>
      </x:c>
      <x:c r="P134" s="4" t="str">
        <x:v>Empty</x:v>
      </x:c>
      <x:c r="Q134" s="5" t="str">
        <x:v>No satisfying state present; bowl remains empty</x:v>
      </x:c>
      <x:c r="R134" s="4" t="n">
        <x:v>6</x:v>
      </x:c>
      <x:c r="S134" s="5" t="str">
        <x:v>Build the listed no-match scene and confirm the bowl is empty.</x:v>
      </x:c>
      <x:c r="T134" s="5" t="str">
        <x:v>No object in the entire scene has the queried state. The prompt uses the same canonical frame as active trials, and the queried state-object cell is training-supported. The orthogonal orientation axis is fixed: every object is RU.</x:v>
      </x:c>
      <x:c r="U134" s="5"/>
    </x:row>
    <x:row r="135" ht="51" customHeight="1">
      <x:c r="A135" s="11" t="str">
        <x:v>Not collected</x:v>
      </x:c>
      <x:c r="B135" s="10" t="n">
        <x:v>133</x:v>
      </x:c>
      <x:c r="C135" s="11" t="str">
        <x:v>Place the closed glass spice container in the bowl.</x:v>
      </x:c>
      <x:c r="D135" s="11" t="str">
        <x:v>glass spice container A (O, RU); glass spice container B (O, RU)</x:v>
      </x:c>
      <x:c r="E135" s="10"/>
      <x:c r="F135" s="10" t="str">
        <x:v>151</x:v>
      </x:c>
      <x:c r="G135" s="11" t="str">
        <x:v>The state-object concept is explicitly trained, but training does not contain a no-satisfying-target abstention trajectory. All objects are upright, matching the context of every explicit open/closed training demonstration.</x:v>
      </x:c>
      <x:c r="H135" s="11" t="str">
        <x:v>NO-OP; no object has state C, so nothing should be picked up</x:v>
      </x:c>
      <x:c r="I135" s="11"/>
      <x:c r="J135" s="7" t="str">
        <x:v>No valid target / no movement</x:v>
      </x:c>
      <x:c r="K135" s="10" t="str">
        <x:v>SR-NOOP04</x:v>
      </x:c>
      <x:c r="L135" s="10" t="str">
        <x:v>C</x:v>
      </x:c>
      <x:c r="M135" s="10" t="str">
        <x:v>glass spice container</x:v>
      </x:c>
      <x:c r="N135" s="10" t="n">
        <x:v>2</x:v>
      </x:c>
      <x:c r="O135" s="10" t="n">
        <x:v>0</x:v>
      </x:c>
      <x:c r="P135" s="10" t="str">
        <x:v>Empty</x:v>
      </x:c>
      <x:c r="Q135" s="11" t="str">
        <x:v>No satisfying state present; bowl remains empty</x:v>
      </x:c>
      <x:c r="R135" s="10" t="n">
        <x:v>6</x:v>
      </x:c>
      <x:c r="S135" s="11" t="str">
        <x:v>Build the listed no-match scene and confirm the bowl is empty.</x:v>
      </x:c>
      <x:c r="T135" s="11" t="str">
        <x:v>No object in the entire scene has the queried state. The prompt uses the same canonical frame as active trials, and the queried state-object cell is training-supported. The orthogonal orientation axis is fixed: every object is RU.</x:v>
      </x:c>
      <x:c r="U135" s="11"/>
    </x:row>
    <x:row r="136" ht="51" customHeight="1">
      <x:c r="A136" s="5" t="str">
        <x:v>Not collected</x:v>
      </x:c>
      <x:c r="B136" s="4" t="n">
        <x:v>134</x:v>
      </x:c>
      <x:c r="C136" s="5" t="str">
        <x:v>Place the open white cup in the bowl.</x:v>
      </x:c>
      <x:c r="D136" s="5" t="str">
        <x:v>white cup A (C, RU); white cup B (C, RU); glass spice container B (C, RU)</x:v>
      </x:c>
      <x:c r="E136" s="4"/>
      <x:c r="F136" s="4" t="str">
        <x:v>1</x:v>
      </x:c>
      <x:c r="G136" s="5" t="str">
        <x:v>The state-object concept is explicitly trained, but training does not contain a no-satisfying-target abstention trajectory. All objects are upright, matching the context of every explicit open/closed training demonstration.</x:v>
      </x:c>
      <x:c r="H136" s="5" t="str">
        <x:v>NO-OP; no object has state O, so nothing should be picked up</x:v>
      </x:c>
      <x:c r="I136" s="5"/>
      <x:c r="J136" s="7" t="str">
        <x:v>No valid target / no movement</x:v>
      </x:c>
      <x:c r="K136" s="4" t="str">
        <x:v>SR-NOOP05</x:v>
      </x:c>
      <x:c r="L136" s="4" t="str">
        <x:v>O</x:v>
      </x:c>
      <x:c r="M136" s="4" t="str">
        <x:v>white cup</x:v>
      </x:c>
      <x:c r="N136" s="4" t="n">
        <x:v>3</x:v>
      </x:c>
      <x:c r="O136" s="4" t="n">
        <x:v>0</x:v>
      </x:c>
      <x:c r="P136" s="4" t="str">
        <x:v>Empty</x:v>
      </x:c>
      <x:c r="Q136" s="5" t="str">
        <x:v>No satisfying state present; bowl remains empty</x:v>
      </x:c>
      <x:c r="R136" s="4" t="n">
        <x:v>6</x:v>
      </x:c>
      <x:c r="S136" s="5" t="str">
        <x:v>Build the listed no-match scene and confirm the bowl is empty.</x:v>
      </x:c>
      <x:c r="T136" s="5" t="str">
        <x:v>No object in the entire scene has the queried state. The prompt uses the same canonical frame as active trials, and the queried state-object cell is training-supported. The orthogonal orientation axis is fixed: every object is RU.</x:v>
      </x:c>
      <x:c r="U136" s="5"/>
    </x:row>
    <x:row r="137" ht="51" customHeight="1">
      <x:c r="A137" s="11" t="str">
        <x:v>Not collected</x:v>
      </x:c>
      <x:c r="B137" s="10" t="n">
        <x:v>135</x:v>
      </x:c>
      <x:c r="C137" s="11" t="str">
        <x:v>Place the upright yellow-white striped cup in the bowl.</x:v>
      </x:c>
      <x:c r="D137" s="11" t="str">
        <x:v>yellow-white striped cup A (O, UD); yellow-white striped cup B (O, UD); white cup A (C, UD); brown cup B (O, UD)</x:v>
      </x:c>
      <x:c r="E137" s="10"/>
      <x:c r="F137" s="10" t="str">
        <x:v>75</x:v>
      </x:c>
      <x:c r="G137" s="11" t="str">
        <x:v>The state-object concept is explicitly trained, but training does not contain a no-satisfying-target abstention trajectory.</x:v>
      </x:c>
      <x:c r="H137" s="11" t="str">
        <x:v>NO-OP; no object has state RU, so nothing should be picked up</x:v>
      </x:c>
      <x:c r="I137" s="11"/>
      <x:c r="J137" s="7" t="str">
        <x:v>No valid target / no movement</x:v>
      </x:c>
      <x:c r="K137" s="10" t="str">
        <x:v>SR-NOOP06</x:v>
      </x:c>
      <x:c r="L137" s="10" t="str">
        <x:v>RU</x:v>
      </x:c>
      <x:c r="M137" s="10" t="str">
        <x:v>yellow-white striped cup</x:v>
      </x:c>
      <x:c r="N137" s="10" t="n">
        <x:v>4</x:v>
      </x:c>
      <x:c r="O137" s="10" t="n">
        <x:v>0</x:v>
      </x:c>
      <x:c r="P137" s="10" t="str">
        <x:v>Empty</x:v>
      </x:c>
      <x:c r="Q137" s="11" t="str">
        <x:v>No satisfying state present; bowl remains empty</x:v>
      </x:c>
      <x:c r="R137" s="10" t="n">
        <x:v>6</x:v>
      </x:c>
      <x:c r="S137" s="11" t="str">
        <x:v>Build the listed no-match scene and confirm the bowl is empty.</x:v>
      </x:c>
      <x:c r="T137" s="11" t="str">
        <x:v>No object in the entire scene has the queried state. The prompt uses the same canonical frame as active trials, and the queried state-object cell is training-supported. The same-category candidates share the orthogonal C/O state (O).</x:v>
      </x:c>
      <x:c r="U137" s="11"/>
    </x:row>
    <x:row r="138" ht="51" customHeight="1">
      <x:c r="A138" s="5" t="str">
        <x:v>Not collected</x:v>
      </x:c>
      <x:c r="B138" s="4" t="n">
        <x:v>136</x:v>
      </x:c>
      <x:c r="C138" s="5" t="str">
        <x:v>Place the upside-down brown cup in the bowl.</x:v>
      </x:c>
      <x:c r="D138" s="5" t="str">
        <x:v>brown cup A (O, RU); brown cup B (O, RU)</x:v>
      </x:c>
      <x:c r="E138" s="4"/>
      <x:c r="F138" s="4" t="str">
        <x:v>125</x:v>
      </x:c>
      <x:c r="G138" s="5" t="str">
        <x:v>The state-object concept is explicitly trained, but training does not contain a no-satisfying-target abstention trajectory.</x:v>
      </x:c>
      <x:c r="H138" s="5" t="str">
        <x:v>NO-OP; no object has state UD, so nothing should be picked up</x:v>
      </x:c>
      <x:c r="I138" s="5"/>
      <x:c r="J138" s="7" t="str">
        <x:v>No valid target / no movement</x:v>
      </x:c>
      <x:c r="K138" s="4" t="str">
        <x:v>SR-NOOP07</x:v>
      </x:c>
      <x:c r="L138" s="4" t="str">
        <x:v>UD</x:v>
      </x:c>
      <x:c r="M138" s="4" t="str">
        <x:v>brown cup</x:v>
      </x:c>
      <x:c r="N138" s="4" t="n">
        <x:v>2</x:v>
      </x:c>
      <x:c r="O138" s="4" t="n">
        <x:v>0</x:v>
      </x:c>
      <x:c r="P138" s="4" t="str">
        <x:v>Empty</x:v>
      </x:c>
      <x:c r="Q138" s="5" t="str">
        <x:v>No satisfying state present; bowl remains empty</x:v>
      </x:c>
      <x:c r="R138" s="4" t="n">
        <x:v>6</x:v>
      </x:c>
      <x:c r="S138" s="5" t="str">
        <x:v>Build the listed no-match scene and confirm the bowl is empty.</x:v>
      </x:c>
      <x:c r="T138" s="5" t="str">
        <x:v>No object in the entire scene has the queried state. The prompt uses the same canonical frame as active trials, and the queried state-object cell is training-supported. The same-category candidates share the orthogonal C/O state (O).</x:v>
      </x:c>
      <x:c r="U138" s="5"/>
    </x:row>
    <x:row r="139" ht="51" customHeight="1">
      <x:c r="A139" s="11" t="str">
        <x:v>Not collected</x:v>
      </x:c>
      <x:c r="B139" s="10" t="n">
        <x:v>137</x:v>
      </x:c>
      <x:c r="C139" s="11" t="str">
        <x:v>Place the open glass spice container in the bowl.</x:v>
      </x:c>
      <x:c r="D139" s="11" t="str">
        <x:v>glass spice container A (C, RU); glass spice container B (C, RU); brown cup A (C, RU)</x:v>
      </x:c>
      <x:c r="E139" s="10"/>
      <x:c r="F139" s="10" t="str">
        <x:v>150</x:v>
      </x:c>
      <x:c r="G139" s="11" t="str">
        <x:v>The state-object concept is explicitly trained, but training does not contain a no-satisfying-target abstention trajectory. All objects are upright, matching the context of every explicit open/closed training demonstration.</x:v>
      </x:c>
      <x:c r="H139" s="11" t="str">
        <x:v>NO-OP; no object has state O, so nothing should be picked up</x:v>
      </x:c>
      <x:c r="I139" s="11"/>
      <x:c r="J139" s="7" t="str">
        <x:v>No valid target / no movement</x:v>
      </x:c>
      <x:c r="K139" s="10" t="str">
        <x:v>SR-NOOP08</x:v>
      </x:c>
      <x:c r="L139" s="10" t="str">
        <x:v>O</x:v>
      </x:c>
      <x:c r="M139" s="10" t="str">
        <x:v>glass spice container</x:v>
      </x:c>
      <x:c r="N139" s="10" t="n">
        <x:v>3</x:v>
      </x:c>
      <x:c r="O139" s="10" t="n">
        <x:v>0</x:v>
      </x:c>
      <x:c r="P139" s="10" t="str">
        <x:v>Empty</x:v>
      </x:c>
      <x:c r="Q139" s="11" t="str">
        <x:v>No satisfying state present; bowl remains empty</x:v>
      </x:c>
      <x:c r="R139" s="10" t="n">
        <x:v>6</x:v>
      </x:c>
      <x:c r="S139" s="11" t="str">
        <x:v>Build the listed no-match scene and confirm the bowl is empty.</x:v>
      </x:c>
      <x:c r="T139" s="11" t="str">
        <x:v>No object in the entire scene has the queried state. The prompt uses the same canonical frame as active trials, and the queried state-object cell is training-supported. The orthogonal orientation axis is fixed: every object is RU.</x:v>
      </x:c>
      <x:c r="U139" s="11"/>
    </x:row>
    <x:row r="140" ht="51" customHeight="1">
      <x:c r="A140" s="5" t="str">
        <x:v>Not collected</x:v>
      </x:c>
      <x:c r="B140" s="4" t="n">
        <x:v>138</x:v>
      </x:c>
      <x:c r="C140" s="5" t="str">
        <x:v>Place the upright white cup in the bowl.</x:v>
      </x:c>
      <x:c r="D140" s="5" t="str">
        <x:v>white cup A (C, UD); white cup B (C, UD); brown cup A (C, UD); glass spice container B (O, UD)</x:v>
      </x:c>
      <x:c r="E140" s="4"/>
      <x:c r="F140" s="4" t="str">
        <x:v>26</x:v>
      </x:c>
      <x:c r="G140" s="5" t="str">
        <x:v>The state-object concept is explicitly trained, but training does not contain a no-satisfying-target abstention trajectory.</x:v>
      </x:c>
      <x:c r="H140" s="5" t="str">
        <x:v>NO-OP; no object has state RU, so nothing should be picked up</x:v>
      </x:c>
      <x:c r="I140" s="5"/>
      <x:c r="J140" s="7" t="str">
        <x:v>No valid target / no movement</x:v>
      </x:c>
      <x:c r="K140" s="4" t="str">
        <x:v>SR-NOOP09</x:v>
      </x:c>
      <x:c r="L140" s="4" t="str">
        <x:v>RU</x:v>
      </x:c>
      <x:c r="M140" s="4" t="str">
        <x:v>white cup</x:v>
      </x:c>
      <x:c r="N140" s="4" t="n">
        <x:v>4</x:v>
      </x:c>
      <x:c r="O140" s="4" t="n">
        <x:v>0</x:v>
      </x:c>
      <x:c r="P140" s="4" t="str">
        <x:v>Empty</x:v>
      </x:c>
      <x:c r="Q140" s="5" t="str">
        <x:v>No satisfying state present; bowl remains empty</x:v>
      </x:c>
      <x:c r="R140" s="4" t="n">
        <x:v>6</x:v>
      </x:c>
      <x:c r="S140" s="5" t="str">
        <x:v>Build the listed no-match scene and confirm the bowl is empty.</x:v>
      </x:c>
      <x:c r="T140" s="5" t="str">
        <x:v>No object in the entire scene has the queried state. The prompt uses the same canonical frame as active trials, and the queried state-object cell is training-supported. The same-category candidates share the orthogonal C/O state (C).</x:v>
      </x:c>
      <x:c r="U140" s="5"/>
    </x:row>
    <x:row r="141" ht="51" customHeight="1">
      <x:c r="A141" s="11" t="str">
        <x:v>Not collected</x:v>
      </x:c>
      <x:c r="B141" s="10" t="n">
        <x:v>139</x:v>
      </x:c>
      <x:c r="C141" s="11" t="str">
        <x:v>Place the closed yellow-white striped cup in the bowl.</x:v>
      </x:c>
      <x:c r="D141" s="11" t="str">
        <x:v>yellow-white striped cup A (O, RU); yellow-white striped cup B (O, RU)</x:v>
      </x:c>
      <x:c r="E141" s="10"/>
      <x:c r="F141" s="10" t="str">
        <x:v>51</x:v>
      </x:c>
      <x:c r="G141" s="11" t="str">
        <x:v>The state-object concept is explicitly trained, but training does not contain a no-satisfying-target abstention trajectory. All objects are upright, matching the context of every explicit open/closed training demonstration.</x:v>
      </x:c>
      <x:c r="H141" s="11" t="str">
        <x:v>NO-OP; no object has state C, so nothing should be picked up</x:v>
      </x:c>
      <x:c r="I141" s="11"/>
      <x:c r="J141" s="7" t="str">
        <x:v>No valid target / no movement</x:v>
      </x:c>
      <x:c r="K141" s="10" t="str">
        <x:v>SR-NOOP10</x:v>
      </x:c>
      <x:c r="L141" s="10" t="str">
        <x:v>C</x:v>
      </x:c>
      <x:c r="M141" s="10" t="str">
        <x:v>yellow-white striped cup</x:v>
      </x:c>
      <x:c r="N141" s="10" t="n">
        <x:v>2</x:v>
      </x:c>
      <x:c r="O141" s="10" t="n">
        <x:v>0</x:v>
      </x:c>
      <x:c r="P141" s="10" t="str">
        <x:v>Empty</x:v>
      </x:c>
      <x:c r="Q141" s="11" t="str">
        <x:v>No satisfying state present; bowl remains empty</x:v>
      </x:c>
      <x:c r="R141" s="10" t="n">
        <x:v>6</x:v>
      </x:c>
      <x:c r="S141" s="11" t="str">
        <x:v>Build the listed no-match scene and confirm the bowl is empty.</x:v>
      </x:c>
      <x:c r="T141" s="11" t="str">
        <x:v>No object in the entire scene has the queried state. The prompt uses the same canonical frame as active trials, and the queried state-object cell is training-supported. The orthogonal orientation axis is fixed: every object is RU.</x:v>
      </x:c>
      <x:c r="U141" s="11"/>
    </x:row>
    <x:row r="142" ht="51" customHeight="1">
      <x:c r="A142" s="5" t="str">
        <x:v>Not collected</x:v>
      </x:c>
      <x:c r="B142" s="4" t="n">
        <x:v>140</x:v>
      </x:c>
      <x:c r="C142" s="5" t="str">
        <x:v>Place the upright brown cup in the bowl.</x:v>
      </x:c>
      <x:c r="D142" s="5" t="str">
        <x:v>brown cup A (C, UD); brown cup B (C, UD); white cup A (C, UD)</x:v>
      </x:c>
      <x:c r="E142" s="4"/>
      <x:c r="F142" s="4" t="str">
        <x:v>128</x:v>
      </x:c>
      <x:c r="G142" s="5" t="str">
        <x:v>The state-object concept is explicitly trained, but training does not contain a no-satisfying-target abstention trajectory.</x:v>
      </x:c>
      <x:c r="H142" s="5" t="str">
        <x:v>NO-OP; no object has state RU, so nothing should be picked up</x:v>
      </x:c>
      <x:c r="I142" s="5"/>
      <x:c r="J142" s="7" t="str">
        <x:v>No valid target / no movement</x:v>
      </x:c>
      <x:c r="K142" s="4" t="str">
        <x:v>SR-NOOP11</x:v>
      </x:c>
      <x:c r="L142" s="4" t="str">
        <x:v>RU</x:v>
      </x:c>
      <x:c r="M142" s="4" t="str">
        <x:v>brown cup</x:v>
      </x:c>
      <x:c r="N142" s="4" t="n">
        <x:v>3</x:v>
      </x:c>
      <x:c r="O142" s="4" t="n">
        <x:v>0</x:v>
      </x:c>
      <x:c r="P142" s="4" t="str">
        <x:v>Empty</x:v>
      </x:c>
      <x:c r="Q142" s="5" t="str">
        <x:v>No satisfying state present; bowl remains empty</x:v>
      </x:c>
      <x:c r="R142" s="4" t="n">
        <x:v>6</x:v>
      </x:c>
      <x:c r="S142" s="5" t="str">
        <x:v>Build the listed no-match scene and confirm the bowl is empty.</x:v>
      </x:c>
      <x:c r="T142" s="5" t="str">
        <x:v>No object in the entire scene has the queried state. The prompt uses the same canonical frame as active trials, and the queried state-object cell is training-supported. The same-category candidates share the orthogonal C/O state (C).</x:v>
      </x:c>
      <x:c r="U142" s="5"/>
    </x:row>
    <x:row r="143" ht="51" customHeight="1">
      <x:c r="A143" s="11" t="str">
        <x:v>Not collected</x:v>
      </x:c>
      <x:c r="B143" s="10" t="n">
        <x:v>141</x:v>
      </x:c>
      <x:c r="C143" s="11" t="str">
        <x:v>Place the upside-down glass spice container in the bowl.</x:v>
      </x:c>
      <x:c r="D143" s="11" t="str">
        <x:v>glass spice container A (C, RU); glass spice container B (C, RU); yellow-white striped cup B (O, RU); brown cup A (C, RU)</x:v>
      </x:c>
      <x:c r="E143" s="10"/>
      <x:c r="F143" s="10" t="str">
        <x:v>176</x:v>
      </x:c>
      <x:c r="G143" s="11" t="str">
        <x:v>The state-object concept is explicitly trained, but training does not contain a no-satisfying-target abstention trajectory.</x:v>
      </x:c>
      <x:c r="H143" s="11" t="str">
        <x:v>NO-OP; no object has state UD, so nothing should be picked up</x:v>
      </x:c>
      <x:c r="I143" s="11"/>
      <x:c r="J143" s="7" t="str">
        <x:v>No valid target / no movement</x:v>
      </x:c>
      <x:c r="K143" s="10" t="str">
        <x:v>SR-NOOP12</x:v>
      </x:c>
      <x:c r="L143" s="10" t="str">
        <x:v>UD</x:v>
      </x:c>
      <x:c r="M143" s="10" t="str">
        <x:v>glass spice container</x:v>
      </x:c>
      <x:c r="N143" s="10" t="n">
        <x:v>4</x:v>
      </x:c>
      <x:c r="O143" s="10" t="n">
        <x:v>0</x:v>
      </x:c>
      <x:c r="P143" s="10" t="str">
        <x:v>Empty</x:v>
      </x:c>
      <x:c r="Q143" s="11" t="str">
        <x:v>No satisfying state present; bowl remains empty</x:v>
      </x:c>
      <x:c r="R143" s="10" t="n">
        <x:v>6</x:v>
      </x:c>
      <x:c r="S143" s="11" t="str">
        <x:v>Build the listed no-match scene and confirm the bowl is empty.</x:v>
      </x:c>
      <x:c r="T143" s="11" t="str">
        <x:v>No object in the entire scene has the queried state. The prompt uses the same canonical frame as active trials, and the queried state-object cell is training-supported. The same-category candidates share the orthogonal C/O state (C).</x:v>
      </x:c>
      <x:c r="U143" s="11"/>
    </x:row>
    <x:row r="144" ht="51" customHeight="1">
      <x:c r="A144" s="5" t="str">
        <x:v>Not collected</x:v>
      </x:c>
      <x:c r="B144" s="4" t="n">
        <x:v>142</x:v>
      </x:c>
      <x:c r="C144" s="5" t="str">
        <x:v>Place the closed white cup in the bowl.</x:v>
      </x:c>
      <x:c r="D144" s="5" t="str">
        <x:v>white cup A (O, RU); white cup B (O, RU)</x:v>
      </x:c>
      <x:c r="E144" s="4"/>
      <x:c r="F144" s="4" t="str">
        <x:v>3</x:v>
      </x:c>
      <x:c r="G144" s="5" t="str">
        <x:v>The state-object concept is explicitly trained, but training does not contain a no-satisfying-target abstention trajectory. All objects are upright, matching the context of every explicit open/closed training demonstration.</x:v>
      </x:c>
      <x:c r="H144" s="5" t="str">
        <x:v>NO-OP; no object has state C, so nothing should be picked up</x:v>
      </x:c>
      <x:c r="I144" s="5"/>
      <x:c r="J144" s="7" t="str">
        <x:v>No valid target / no movement</x:v>
      </x:c>
      <x:c r="K144" s="4" t="str">
        <x:v>SR-NOOP13</x:v>
      </x:c>
      <x:c r="L144" s="4" t="str">
        <x:v>C</x:v>
      </x:c>
      <x:c r="M144" s="4" t="str">
        <x:v>white cup</x:v>
      </x:c>
      <x:c r="N144" s="4" t="n">
        <x:v>2</x:v>
      </x:c>
      <x:c r="O144" s="4" t="n">
        <x:v>0</x:v>
      </x:c>
      <x:c r="P144" s="4" t="str">
        <x:v>Empty</x:v>
      </x:c>
      <x:c r="Q144" s="5" t="str">
        <x:v>No satisfying state present; bowl remains empty</x:v>
      </x:c>
      <x:c r="R144" s="4" t="n">
        <x:v>6</x:v>
      </x:c>
      <x:c r="S144" s="5" t="str">
        <x:v>Build the listed no-match scene and confirm the bowl is empty.</x:v>
      </x:c>
      <x:c r="T144" s="5" t="str">
        <x:v>No object in the entire scene has the queried state. The prompt uses the same canonical frame as active trials, and the queried state-object cell is training-supported. The orthogonal orientation axis is fixed: every object is RU.</x:v>
      </x:c>
      <x:c r="U144" s="5"/>
    </x:row>
    <x:row r="145" ht="51" customHeight="1">
      <x:c r="A145" s="11" t="str">
        <x:v>Not collected</x:v>
      </x:c>
      <x:c r="B145" s="10" t="n">
        <x:v>143</x:v>
      </x:c>
      <x:c r="C145" s="11" t="str">
        <x:v>Place the upside-down yellow-white striped cup in the bowl.</x:v>
      </x:c>
      <x:c r="D145" s="11" t="str">
        <x:v>yellow-white striped cup A (O, RU); yellow-white striped cup B (O, RU); brown cup A (C, RU)</x:v>
      </x:c>
      <x:c r="E145" s="10"/>
      <x:c r="F145" s="10" t="str">
        <x:v>83</x:v>
      </x:c>
      <x:c r="G145" s="11" t="str">
        <x:v>The state-object concept is explicitly trained, but training does not contain a no-satisfying-target abstention trajectory.</x:v>
      </x:c>
      <x:c r="H145" s="11" t="str">
        <x:v>NO-OP; no object has state UD, so nothing should be picked up</x:v>
      </x:c>
      <x:c r="I145" s="11"/>
      <x:c r="J145" s="7" t="str">
        <x:v>No valid target / no movement</x:v>
      </x:c>
      <x:c r="K145" s="10" t="str">
        <x:v>SR-NOOP14</x:v>
      </x:c>
      <x:c r="L145" s="10" t="str">
        <x:v>UD</x:v>
      </x:c>
      <x:c r="M145" s="10" t="str">
        <x:v>yellow-white striped cup</x:v>
      </x:c>
      <x:c r="N145" s="10" t="n">
        <x:v>3</x:v>
      </x:c>
      <x:c r="O145" s="10" t="n">
        <x:v>0</x:v>
      </x:c>
      <x:c r="P145" s="10" t="str">
        <x:v>Empty</x:v>
      </x:c>
      <x:c r="Q145" s="11" t="str">
        <x:v>No satisfying state present; bowl remains empty</x:v>
      </x:c>
      <x:c r="R145" s="10" t="n">
        <x:v>6</x:v>
      </x:c>
      <x:c r="S145" s="11" t="str">
        <x:v>Build the listed no-match scene and confirm the bowl is empty.</x:v>
      </x:c>
      <x:c r="T145" s="11" t="str">
        <x:v>No object in the entire scene has the queried state. The prompt uses the same canonical frame as active trials, and the queried state-object cell is training-supported. The same-category candidates share the orthogonal C/O state (O).</x:v>
      </x:c>
      <x:c r="U145" s="11"/>
    </x:row>
    <x:row r="146" ht="51" customHeight="1">
      <x:c r="A146" s="5" t="str">
        <x:v>Not collected</x:v>
      </x:c>
      <x:c r="B146" s="4" t="n">
        <x:v>144</x:v>
      </x:c>
      <x:c r="C146" s="5" t="str">
        <x:v>Place the upside-down brown cup in the bowl.</x:v>
      </x:c>
      <x:c r="D146" s="5" t="str">
        <x:v>brown cup A (O, RU); brown cup B (O, RU); glass spice container B (O, RU); white cup A (C, RU)</x:v>
      </x:c>
      <x:c r="E146" s="4"/>
      <x:c r="F146" s="4" t="str">
        <x:v>127</x:v>
      </x:c>
      <x:c r="G146" s="5" t="str">
        <x:v>The state-object concept is explicitly trained, but training does not contain a no-satisfying-target abstention trajectory.</x:v>
      </x:c>
      <x:c r="H146" s="5" t="str">
        <x:v>NO-OP; no object has state UD, so nothing should be picked up</x:v>
      </x:c>
      <x:c r="I146" s="5"/>
      <x:c r="J146" s="7" t="str">
        <x:v>No valid target / no movement</x:v>
      </x:c>
      <x:c r="K146" s="4" t="str">
        <x:v>SR-NOOP15</x:v>
      </x:c>
      <x:c r="L146" s="4" t="str">
        <x:v>UD</x:v>
      </x:c>
      <x:c r="M146" s="4" t="str">
        <x:v>brown cup</x:v>
      </x:c>
      <x:c r="N146" s="4" t="n">
        <x:v>4</x:v>
      </x:c>
      <x:c r="O146" s="4" t="n">
        <x:v>0</x:v>
      </x:c>
      <x:c r="P146" s="4" t="str">
        <x:v>Empty</x:v>
      </x:c>
      <x:c r="Q146" s="5" t="str">
        <x:v>No satisfying state present; bowl remains empty</x:v>
      </x:c>
      <x:c r="R146" s="4" t="n">
        <x:v>6</x:v>
      </x:c>
      <x:c r="S146" s="5" t="str">
        <x:v>Build the listed no-match scene and confirm the bowl is empty.</x:v>
      </x:c>
      <x:c r="T146" s="5" t="str">
        <x:v>No object in the entire scene has the queried state. The prompt uses the same canonical frame as active trials, and the queried state-object cell is training-supported. The same-category candidates share the orthogonal C/O state (O).</x:v>
      </x:c>
      <x:c r="U146" s="5"/>
    </x:row>
    <x:row r="147" ht="51" customHeight="1">
      <x:c r="A147" s="11" t="str">
        <x:v>Not collected</x:v>
      </x:c>
      <x:c r="B147" s="10" t="n">
        <x:v>145</x:v>
      </x:c>
      <x:c r="C147" s="11" t="str">
        <x:v>Place the closed glass spice container in the bowl.</x:v>
      </x:c>
      <x:c r="D147" s="11" t="str">
        <x:v>glass spice container A (O, RU); glass spice container B (O, RU)</x:v>
      </x:c>
      <x:c r="E147" s="10"/>
      <x:c r="F147" s="10" t="str">
        <x:v>152</x:v>
      </x:c>
      <x:c r="G147" s="11" t="str">
        <x:v>The state-object concept is explicitly trained, but training does not contain a no-satisfying-target abstention trajectory. All objects are upright, matching the context of every explicit open/closed training demonstration.</x:v>
      </x:c>
      <x:c r="H147" s="11" t="str">
        <x:v>NO-OP; no object has state C, so nothing should be picked up</x:v>
      </x:c>
      <x:c r="I147" s="11"/>
      <x:c r="J147" s="7" t="str">
        <x:v>No valid target / no movement</x:v>
      </x:c>
      <x:c r="K147" s="10" t="str">
        <x:v>SR-NOOP16</x:v>
      </x:c>
      <x:c r="L147" s="10" t="str">
        <x:v>C</x:v>
      </x:c>
      <x:c r="M147" s="10" t="str">
        <x:v>glass spice container</x:v>
      </x:c>
      <x:c r="N147" s="10" t="n">
        <x:v>2</x:v>
      </x:c>
      <x:c r="O147" s="10" t="n">
        <x:v>0</x:v>
      </x:c>
      <x:c r="P147" s="10" t="str">
        <x:v>Empty</x:v>
      </x:c>
      <x:c r="Q147" s="11" t="str">
        <x:v>No satisfying state present; bowl remains empty</x:v>
      </x:c>
      <x:c r="R147" s="10" t="n">
        <x:v>6</x:v>
      </x:c>
      <x:c r="S147" s="11" t="str">
        <x:v>Build the listed no-match scene and confirm the bowl is empty.</x:v>
      </x:c>
      <x:c r="T147" s="11" t="str">
        <x:v>No object in the entire scene has the queried state. The prompt uses the same canonical frame as active trials, and the queried state-object cell is training-supported. The orthogonal orientation axis is fixed: every object is RU.</x:v>
      </x:c>
      <x:c r="U147" s="11"/>
    </x:row>
    <x:row r="148" ht="51" customHeight="1">
      <x:c r="A148" s="5" t="str">
        <x:v>Not collected</x:v>
      </x:c>
      <x:c r="B148" s="4" t="n">
        <x:v>146</x:v>
      </x:c>
      <x:c r="C148" s="5" t="str">
        <x:v>Place the open white cup in the bowl.</x:v>
      </x:c>
      <x:c r="D148" s="5" t="str">
        <x:v>white cup A (C, RU); white cup B (C, RU); glass spice container A (C, RU)</x:v>
      </x:c>
      <x:c r="E148" s="4"/>
      <x:c r="F148" s="4" t="str">
        <x:v>2</x:v>
      </x:c>
      <x:c r="G148" s="5" t="str">
        <x:v>The state-object concept is explicitly trained, but training does not contain a no-satisfying-target abstention trajectory. All objects are upright, matching the context of every explicit open/closed training demonstration.</x:v>
      </x:c>
      <x:c r="H148" s="5" t="str">
        <x:v>NO-OP; no object has state O, so nothing should be picked up</x:v>
      </x:c>
      <x:c r="I148" s="5"/>
      <x:c r="J148" s="7" t="str">
        <x:v>No valid target / no movement</x:v>
      </x:c>
      <x:c r="K148" s="4" t="str">
        <x:v>SR-NOOP17</x:v>
      </x:c>
      <x:c r="L148" s="4" t="str">
        <x:v>O</x:v>
      </x:c>
      <x:c r="M148" s="4" t="str">
        <x:v>white cup</x:v>
      </x:c>
      <x:c r="N148" s="4" t="n">
        <x:v>3</x:v>
      </x:c>
      <x:c r="O148" s="4" t="n">
        <x:v>0</x:v>
      </x:c>
      <x:c r="P148" s="4" t="str">
        <x:v>Empty</x:v>
      </x:c>
      <x:c r="Q148" s="5" t="str">
        <x:v>No satisfying state present; bowl remains empty</x:v>
      </x:c>
      <x:c r="R148" s="4" t="n">
        <x:v>6</x:v>
      </x:c>
      <x:c r="S148" s="5" t="str">
        <x:v>Build the listed no-match scene and confirm the bowl is empty.</x:v>
      </x:c>
      <x:c r="T148" s="5" t="str">
        <x:v>No object in the entire scene has the queried state. The prompt uses the same canonical frame as active trials, and the queried state-object cell is training-supported. The orthogonal orientation axis is fixed: every object is RU.</x:v>
      </x:c>
      <x:c r="U148" s="5"/>
    </x:row>
    <x:row r="149" ht="51" customHeight="1">
      <x:c r="A149" s="11" t="str">
        <x:v>Not collected</x:v>
      </x:c>
      <x:c r="B149" s="10" t="n">
        <x:v>147</x:v>
      </x:c>
      <x:c r="C149" s="11" t="str">
        <x:v>Place the upright yellow-white striped cup in the bowl.</x:v>
      </x:c>
      <x:c r="D149" s="11" t="str">
        <x:v>yellow-white striped cup A (C, UD); yellow-white striped cup B (C, UD); white cup B (O, UD); brown cup A (C, UD)</x:v>
      </x:c>
      <x:c r="E149" s="10"/>
      <x:c r="F149" s="10" t="str">
        <x:v>76</x:v>
      </x:c>
      <x:c r="G149" s="11" t="str">
        <x:v>The state-object concept is explicitly trained, but training does not contain a no-satisfying-target abstention trajectory.</x:v>
      </x:c>
      <x:c r="H149" s="11" t="str">
        <x:v>NO-OP; no object has state RU, so nothing should be picked up</x:v>
      </x:c>
      <x:c r="I149" s="11"/>
      <x:c r="J149" s="7" t="str">
        <x:v>No valid target / no movement</x:v>
      </x:c>
      <x:c r="K149" s="10" t="str">
        <x:v>SR-NOOP18</x:v>
      </x:c>
      <x:c r="L149" s="10" t="str">
        <x:v>RU</x:v>
      </x:c>
      <x:c r="M149" s="10" t="str">
        <x:v>yellow-white striped cup</x:v>
      </x:c>
      <x:c r="N149" s="10" t="n">
        <x:v>4</x:v>
      </x:c>
      <x:c r="O149" s="10" t="n">
        <x:v>0</x:v>
      </x:c>
      <x:c r="P149" s="10" t="str">
        <x:v>Empty</x:v>
      </x:c>
      <x:c r="Q149" s="11" t="str">
        <x:v>No satisfying state present; bowl remains empty</x:v>
      </x:c>
      <x:c r="R149" s="10" t="n">
        <x:v>6</x:v>
      </x:c>
      <x:c r="S149" s="11" t="str">
        <x:v>Build the listed no-match scene and confirm the bowl is empty.</x:v>
      </x:c>
      <x:c r="T149" s="11" t="str">
        <x:v>No object in the entire scene has the queried state. The prompt uses the same canonical frame as active trials, and the queried state-object cell is training-supported. The same-category candidates share the orthogonal C/O state (C).</x:v>
      </x:c>
      <x:c r="U149" s="11"/>
    </x:row>
    <x:row r="150" ht="51" customHeight="1">
      <x:c r="A150" s="5" t="str">
        <x:v>Not collected</x:v>
      </x:c>
      <x:c r="B150" s="4" t="n">
        <x:v>148</x:v>
      </x:c>
      <x:c r="C150" s="5" t="str">
        <x:v>Place the upright brown cup in the bowl.</x:v>
      </x:c>
      <x:c r="D150" s="5" t="str">
        <x:v>brown cup A (C, UD); brown cup B (C, UD)</x:v>
      </x:c>
      <x:c r="E150" s="4"/>
      <x:c r="F150" s="4" t="str">
        <x:v>130</x:v>
      </x:c>
      <x:c r="G150" s="5" t="str">
        <x:v>The state-object concept is explicitly trained, but training does not contain a no-satisfying-target abstention trajectory.</x:v>
      </x:c>
      <x:c r="H150" s="5" t="str">
        <x:v>NO-OP; no object has state RU, so nothing should be picked up</x:v>
      </x:c>
      <x:c r="I150" s="5"/>
      <x:c r="J150" s="7" t="str">
        <x:v>No valid target / no movement</x:v>
      </x:c>
      <x:c r="K150" s="4" t="str">
        <x:v>SR-NOOP19</x:v>
      </x:c>
      <x:c r="L150" s="4" t="str">
        <x:v>RU</x:v>
      </x:c>
      <x:c r="M150" s="4" t="str">
        <x:v>brown cup</x:v>
      </x:c>
      <x:c r="N150" s="4" t="n">
        <x:v>2</x:v>
      </x:c>
      <x:c r="O150" s="4" t="n">
        <x:v>0</x:v>
      </x:c>
      <x:c r="P150" s="4" t="str">
        <x:v>Empty</x:v>
      </x:c>
      <x:c r="Q150" s="5" t="str">
        <x:v>No satisfying state present; bowl remains empty</x:v>
      </x:c>
      <x:c r="R150" s="4" t="n">
        <x:v>6</x:v>
      </x:c>
      <x:c r="S150" s="5" t="str">
        <x:v>Build the listed no-match scene and confirm the bowl is empty.</x:v>
      </x:c>
      <x:c r="T150" s="5" t="str">
        <x:v>No object in the entire scene has the queried state. The prompt uses the same canonical frame as active trials, and the queried state-object cell is training-supported. The same-category candidates share the orthogonal C/O state (C).</x:v>
      </x:c>
      <x:c r="U150" s="5"/>
    </x:row>
    <x:row r="151" ht="51" customHeight="1">
      <x:c r="A151" s="11" t="str">
        <x:v>Not collected</x:v>
      </x:c>
      <x:c r="B151" s="10" t="n">
        <x:v>149</x:v>
      </x:c>
      <x:c r="C151" s="11" t="str">
        <x:v>Place the open glass spice container in the bowl.</x:v>
      </x:c>
      <x:c r="D151" s="11" t="str">
        <x:v>glass spice container A (C, RU); glass spice container B (C, RU); brown cup B (C, RU)</x:v>
      </x:c>
      <x:c r="E151" s="10"/>
      <x:c r="F151" s="10" t="str">
        <x:v>154</x:v>
      </x:c>
      <x:c r="G151" s="11" t="str">
        <x:v>The state-object concept is explicitly trained, but training does not contain a no-satisfying-target abstention trajectory. All objects are upright, matching the context of every explicit open/closed training demonstration.</x:v>
      </x:c>
      <x:c r="H151" s="11" t="str">
        <x:v>NO-OP; no object has state O, so nothing should be picked up</x:v>
      </x:c>
      <x:c r="I151" s="11"/>
      <x:c r="J151" s="7" t="str">
        <x:v>No valid target / no movement</x:v>
      </x:c>
      <x:c r="K151" s="10" t="str">
        <x:v>SR-NOOP20</x:v>
      </x:c>
      <x:c r="L151" s="10" t="str">
        <x:v>O</x:v>
      </x:c>
      <x:c r="M151" s="10" t="str">
        <x:v>glass spice container</x:v>
      </x:c>
      <x:c r="N151" s="10" t="n">
        <x:v>3</x:v>
      </x:c>
      <x:c r="O151" s="10" t="n">
        <x:v>0</x:v>
      </x:c>
      <x:c r="P151" s="10" t="str">
        <x:v>Empty</x:v>
      </x:c>
      <x:c r="Q151" s="11" t="str">
        <x:v>No satisfying state present; bowl remains empty</x:v>
      </x:c>
      <x:c r="R151" s="10" t="n">
        <x:v>6</x:v>
      </x:c>
      <x:c r="S151" s="11" t="str">
        <x:v>Build the listed no-match scene and confirm the bowl is empty.</x:v>
      </x:c>
      <x:c r="T151" s="11" t="str">
        <x:v>No object in the entire scene has the queried state. The prompt uses the same canonical frame as active trials, and the queried state-object cell is training-supported. The orthogonal orientation axis is fixed: every object is RU.</x:v>
      </x:c>
      <x:c r="U151" s="11"/>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P131">
    <x:cfRule type="expression" dxfId="5" priority="1">
      <x:formula>$A2="Success"</x:formula>
    </x:cfRule>
  </x:conditionalFormatting>
  <x:conditionalFormatting sqref="A2:P131">
    <x:cfRule type="expression" dxfId="6" priority="2">
      <x:formula>$A2="Failure"</x:formula>
    </x:cfRule>
  </x:conditionalFormatting>
  <x:conditionalFormatting sqref="H2:H131">
    <x:cfRule type="containsText" dxfId="7" priority="3" operator="containsText" text="Concept/compositional transfer">
      <x:formula>NOT(ISERROR(SEARCH(("Concept/compositional transfer"),(H2))))</x:formula>
    </x:cfRule>
  </x:conditionalFormatting>
  <x:conditionalFormatting sqref="H2:H131">
    <x:cfRule type="containsText" dxfId="8" priority="4" operator="containsText" text="Exact-scene opposite-state contrast">
      <x:formula>NOT(ISERROR(SEARCH(("Exact-scene opposite-state contrast"),(H2))))</x:formula>
    </x:cfRule>
  </x:conditionalFormatting>
  <x:conditionalFormatting sqref="H2:H131">
    <x:cfRule type="containsText" dxfId="9" priority="5" operator="containsText" text="Matched manipulation control">
      <x:formula>NOT(ISERROR(SEARCH(("Matched manipulation control"),(H2))))</x:formula>
    </x:cfRule>
  </x:conditionalFormatting>
  <x:conditionalFormatting sqref="H2:H131">
    <x:cfRule type="containsText" dxfId="10" priority="6" operator="containsText" text="Black-cup">
      <x:formula>NOT(ISERROR(SEARCH(("Black-cup"),(H2))))</x:formula>
    </x:cfRule>
  </x:conditionalFormatting>
  <x:conditionalFormatting sqref="H2:H131">
    <x:cfRule type="containsText" dxfId="11" priority="7" operator="containsText" text="Language robustness">
      <x:formula>NOT(ISERROR(SEARCH(("Language robustness"),(H2))))</x:formula>
    </x:cfRule>
  </x:conditionalFormatting>
  <x:conditionalFormatting sqref="A2:U151">
    <x:cfRule type="expression" dxfId="12" priority="8">
      <x:formula>$A2="Success"</x:formula>
    </x:cfRule>
  </x:conditionalFormatting>
  <x:conditionalFormatting sqref="A2:U151">
    <x:cfRule type="expression" dxfId="13" priority="9">
      <x:formula>$A2="Failure"</x:formula>
    </x:cfRule>
  </x:conditionalFormatting>
  <x:dataValidations count="1">
    <x:dataValidation type="list" allowBlank="1" sqref="A2:A151">
      <x:formula1>"Not collected,Success,Failure"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21.1299991607666" customWidth="1"/>
    <x:col min="2" max="2" width="10" customWidth="1"/>
    <x:col min="3" max="3" width="17.25" customWidth="1"/>
    <x:col min="4" max="4" width="15.5" customWidth="1"/>
    <x:col min="5" max="5" width="11.630000114440918" customWidth="1"/>
    <x:col min="6" max="6" width="27.75" customWidth="1"/>
    <x:col min="7" max="7" width="43.380001068115234" customWidth="1"/>
    <x:col min="8" max="8" width="62" customWidth="1"/>
    <x:col min="9" max="26" width="8.630000114440918" customWidth="1"/>
  </x:cols>
  <x:sheetData>
    <x:row r="1" ht="30" customHeight="1">
      <x:c r="A1" s="1" t="s">
        <x:v>21</x:v>
      </x:c>
      <x:c r="B1" s="1" t="s">
        <x:v>22</x:v>
      </x:c>
      <x:c r="C1" s="1" t="s">
        <x:v>23</x:v>
      </x:c>
      <x:c r="D1" s="1" t="s">
        <x:v>24</x:v>
      </x:c>
      <x:c r="E1" s="1" t="s">
        <x:v>25</x:v>
      </x:c>
      <x:c r="F1" s="1" t="s">
        <x:v>26</x:v>
      </x:c>
      <x:c r="G1" s="1" t="s">
        <x:v>27</x:v>
      </x:c>
    </x:row>
    <x:row r="2" ht="39" customHeight="1">
      <x:c r="A2" s="2" t="s">
        <x:v>28</x:v>
      </x:c>
      <x:c r="B2" s="2" t="s">
        <x:v>29</x:v>
      </x:c>
      <x:c r="C2" s="2" t="s">
        <x:v>30</x:v>
      </x:c>
      <x:c r="D2" s="2" t="s">
        <x:v>31</x:v>
      </x:c>
      <x:c r="E2" s="2" t="s">
        <x:v>32</x:v>
      </x:c>
      <x:c r="F2" s="2" t="s">
        <x:v>33</x:v>
      </x:c>
      <x:c r="G2" s="2" t="str">
        <x:v>State-reasoning rows use two same-category candidates. For C/O prompts, every scene object is RU. For UD/RU prompts, the same-category candidates share the same C/O state. Direct-category controls preserve the transfer target but replace its same-category competitor.</x:v>
      </x:c>
    </x:row>
    <x:row r="3" ht="39" customHeight="1">
      <x:c r="A3" s="2" t="s">
        <x:v>34</x:v>
      </x:c>
      <x:c r="B3" s="2" t="s">
        <x:v>29</x:v>
      </x:c>
      <x:c r="C3" s="2" t="s">
        <x:v>30</x:v>
      </x:c>
      <x:c r="D3" s="2" t="s">
        <x:v>35</x:v>
      </x:c>
      <x:c r="E3" s="2" t="s">
        <x:v>36</x:v>
      </x:c>
      <x:c r="F3" s="2" t="s">
        <x:v>33</x:v>
      </x:c>
      <x:c r="G3" s="2" t="str">
        <x:v>State-reasoning rows use two same-category candidates. For C/O prompts, every scene object is RU. For UD/RU prompts, the same-category candidates share the same C/O state. Direct-category controls preserve the transfer target but replace its same-category competitor.</x:v>
      </x:c>
    </x:row>
    <x:row r="4" ht="39" customHeight="1">
      <x:c r="A4" s="2" t="s">
        <x:v>37</x:v>
      </x:c>
      <x:c r="B4" s="2" t="s">
        <x:v>29</x:v>
      </x:c>
      <x:c r="C4" s="2" t="s">
        <x:v>30</x:v>
      </x:c>
      <x:c r="D4" s="2" t="s">
        <x:v>38</x:v>
      </x:c>
      <x:c r="E4" s="2" t="s">
        <x:v>39</x:v>
      </x:c>
      <x:c r="F4" s="2" t="s">
        <x:v>33</x:v>
      </x:c>
      <x:c r="G4" s="2" t="str">
        <x:v>State-reasoning rows use two same-category candidates. For C/O prompts, every scene object is RU. For UD/RU prompts, the same-category candidates share the same C/O state. Direct-category controls preserve the transfer target but replace its same-category competitor.</x:v>
      </x:c>
    </x:row>
    <x:row r="5" ht="39" customHeight="1">
      <x:c r="A5" s="2" t="s">
        <x:v>40</x:v>
      </x:c>
      <x:c r="B5" s="2" t="s">
        <x:v>29</x:v>
      </x:c>
      <x:c r="C5" s="2" t="s">
        <x:v>30</x:v>
      </x:c>
      <x:c r="D5" s="2" t="s">
        <x:v>41</x:v>
      </x:c>
      <x:c r="E5" s="2" t="s">
        <x:v>42</x:v>
      </x:c>
      <x:c r="F5" s="2" t="s">
        <x:v>33</x:v>
      </x:c>
      <x:c r="G5" s="2" t="str">
        <x:v>State-reasoning rows use two same-category candidates. For C/O prompts, every scene object is RU. For UD/RU prompts, the same-category candidates share the same C/O state. Direct-category controls preserve the transfer target but replace its same-category competitor.</x:v>
      </x:c>
    </x:row>
    <x:row r="6" ht="39" customHeight="1">
      <x:c r="A6" s="2" t="s">
        <x:v>43</x:v>
      </x:c>
      <x:c r="B6" s="2" t="s">
        <x:v>29</x:v>
      </x:c>
      <x:c r="C6" s="2" t="s">
        <x:v>44</x:v>
      </x:c>
      <x:c r="D6" s="2" t="s">
        <x:v>45</x:v>
      </x:c>
      <x:c r="E6" s="2" t="s">
        <x:v>46</x:v>
      </x:c>
      <x:c r="F6" s="2" t="s">
        <x:v>47</x:v>
      </x:c>
      <x:c r="G6" s="2" t="str">
        <x:v>Globally unseen. Ten adjacent exact-scene counterfactual pairs; both prompts in a pair require state reasoning and switch the correct black cup.</x:v>
      </x:c>
    </x:row>
    <x:row r="7" ht="55.5" customHeight="1"/>
    <x:row r="8" ht="55.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
  <x:cols>
    <x:col min="1" max="1" width="25.5" customWidth="1"/>
    <x:col min="2" max="2" width="9.5" customWidth="1"/>
    <x:col min="3" max="3" width="16.6299991607666" customWidth="1"/>
    <x:col min="4" max="4" width="15.5" customWidth="1"/>
    <x:col min="5" max="5" width="17.75" customWidth="1"/>
    <x:col min="6" max="6" width="53.380001068115234" customWidth="1"/>
    <x:col min="7" max="26" width="8.630000114440918" customWidth="1"/>
  </x:cols>
  <x:sheetData>
    <x:row r="1" ht="33" customHeight="1">
      <x:c r="A1" s="1" t="s">
        <x:v>48</x:v>
      </x:c>
      <x:c r="B1" s="1" t="s">
        <x:v>39</x:v>
      </x:c>
      <x:c r="C1" s="1" t="s">
        <x:v>36</x:v>
      </x:c>
      <x:c r="D1" s="1" t="s">
        <x:v>32</x:v>
      </x:c>
      <x:c r="E1" s="1" t="s">
        <x:v>42</x:v>
      </x:c>
      <x:c r="F1" s="1" t="s">
        <x:v>49</x:v>
      </x:c>
    </x:row>
    <x:row r="2" ht="33" customHeight="1">
      <x:c r="A2" s="2" t="s">
        <x:v>28</x:v>
      </x:c>
      <x:c r="B2" s="2" t="s">
        <x:v>50</x:v>
      </x:c>
      <x:c r="C2" s="2" t="s">
        <x:v>50</x:v>
      </x:c>
      <x:c r="D2" s="2" t="s">
        <x:v>51</x:v>
      </x:c>
      <x:c r="E2" s="2" t="s">
        <x:v>50</x:v>
      </x:c>
      <x:c r="F2" s="2" t="s">
        <x:v>52</x:v>
      </x:c>
    </x:row>
    <x:row r="3" ht="33" customHeight="1">
      <x:c r="A3" s="2" t="s">
        <x:v>34</x:v>
      </x:c>
      <x:c r="B3" s="2" t="s">
        <x:v>50</x:v>
      </x:c>
      <x:c r="C3" s="2" t="s">
        <x:v>51</x:v>
      </x:c>
      <x:c r="D3" s="2" t="s">
        <x:v>50</x:v>
      </x:c>
      <x:c r="E3" s="2" t="s">
        <x:v>50</x:v>
      </x:c>
      <x:c r="F3" s="2" t="s">
        <x:v>53</x:v>
      </x:c>
    </x:row>
    <x:row r="4" ht="33" customHeight="1">
      <x:c r="A4" s="2" t="s">
        <x:v>37</x:v>
      </x:c>
      <x:c r="B4" s="2" t="s">
        <x:v>51</x:v>
      </x:c>
      <x:c r="C4" s="2" t="s">
        <x:v>50</x:v>
      </x:c>
      <x:c r="D4" s="2" t="s">
        <x:v>50</x:v>
      </x:c>
      <x:c r="E4" s="2" t="s">
        <x:v>50</x:v>
      </x:c>
      <x:c r="F4" s="2" t="s">
        <x:v>54</x:v>
      </x:c>
    </x:row>
    <x:row r="5" ht="33" customHeight="1">
      <x:c r="A5" s="2" t="s">
        <x:v>40</x:v>
      </x:c>
      <x:c r="B5" s="2" t="s">
        <x:v>50</x:v>
      </x:c>
      <x:c r="C5" s="2" t="s">
        <x:v>50</x:v>
      </x:c>
      <x:c r="D5" s="2" t="s">
        <x:v>50</x:v>
      </x:c>
      <x:c r="E5" s="2" t="s">
        <x:v>51</x:v>
      </x:c>
      <x:c r="F5" s="2" t="s">
        <x:v>55</x:v>
      </x:c>
    </x:row>
    <x:row r="6" ht="33" customHeight="1">
      <x:c r="A6" s="2"/>
      <x:c r="B6" s="2"/>
      <x:c r="C6" s="2"/>
      <x:c r="D6" s="2"/>
      <x:c r="E6" s="2"/>
      <x:c r="F6" s="2"/>
    </x:row>
    <x:row r="7" ht="33" customHeight="1">
      <x:c r="A7" s="1" t="s">
        <x:v>56</x:v>
      </x:c>
      <x:c r="B7" s="1" t="s">
        <x:v>57</x:v>
      </x:c>
      <x:c r="C7" s="1" t="s">
        <x:v>58</x:v>
      </x:c>
      <x:c r="D7" s="1" t="s">
        <x:v>59</x:v>
      </x:c>
      <x:c r="E7" s="1" t="s">
        <x:v>60</x:v>
      </x:c>
      <x:c r="F7" s="1" t="s">
        <x:v>61</x:v>
      </x:c>
    </x:row>
    <x:row r="8" ht="33" customHeight="1">
      <x:c r="A8" s="2" t="s">
        <x:v>62</x:v>
      </x:c>
      <x:c r="B8" s="2">
        <x:v>20.0</x:v>
      </x:c>
      <x:c r="C8" s="2" t="s">
        <x:v>44</x:v>
      </x:c>
      <x:c r="D8" s="2" t="s">
        <x:v>63</x:v>
      </x:c>
      <x:c r="E8" s="2" t="s">
        <x:v>64</x:v>
      </x:c>
      <x:c r="F8" s="2" t="str">
        <x:v>Exact manifest cells; five trials per category and per state. Open/closed scenes are entirely upright.</x:v>
      </x:c>
    </x:row>
    <x:row r="9" ht="33" customHeight="1">
      <x:c r="A9" s="2" t="s">
        <x:v>65</x:v>
      </x:c>
      <x:c r="B9" s="2">
        <x:v>50.0</x:v>
      </x:c>
      <x:c r="C9" s="2" t="s">
        <x:v>66</x:v>
      </x:c>
      <x:c r="D9" s="2" t="s">
        <x:v>63</x:v>
      </x:c>
      <x:c r="E9" s="2" t="s">
        <x:v>64</x:v>
      </x:c>
      <x:c r="F9" s="2" t="str">
        <x:v>Primary endpoint: 13/13/12/12 across the four missing cells. The orthogonal state axis is controlled.</x:v>
      </x:c>
    </x:row>
    <x:row r="10" ht="33" customHeight="1">
      <x:c r="A10" s="2" t="s">
        <x:v>67</x:v>
      </x:c>
      <x:c r="B10" s="2">
        <x:v>20.0</x:v>
      </x:c>
      <x:c r="C10" s="2" t="str">
        <x:v>No</x:v>
      </x:c>
      <x:c r="D10" s="2" t="str">
        <x:v>Exactly 1</x:v>
      </x:c>
      <x:c r="E10" s="2" t="str">
        <x:v>One object substituted; count preserved</x:v>
      </x:c>
      <x:c r="F10" s="2" t="str">
        <x:v>Direct-category prompt targets the same physical transfer object and pose; the same-category competitor is replaced. C/O-family controls remain entirely upright.</x:v>
      </x:c>
    </x:row>
    <x:row r="11" ht="33" customHeight="1">
      <x:c r="A11" s="2" t="s">
        <x:v>68</x:v>
      </x:c>
      <x:c r="B11" s="2">
        <x:v>20.0</x:v>
      </x:c>
      <x:c r="C11" s="2" t="str">
        <x:v>10 held-out + 10 direct</x:v>
      </x:c>
      <x:c r="D11" s="2" t="str">
        <x:v>Exactly 1</x:v>
      </x:c>
      <x:c r="E11" s="2" t="str">
        <x:v>Same as referenced transfer/control row</x:v>
      </x:c>
      <x:c r="F11" s="2" t="str">
        <x:v>Ten transfer paraphrases reuse exact two-candidate reasoning scenes; ten direct-control paraphrases reuse exact one-object-substitution control scenes.</x:v>
      </x:c>
    </x:row>
    <x:row r="12" ht="33" customHeight="1">
      <x:c r="A12" s="2" t="s">
        <x:v>69</x:v>
      </x:c>
      <x:c r="B12" s="2">
        <x:v>20.0</x:v>
      </x:c>
      <x:c r="C12" s="2" t="s">
        <x:v>70</x:v>
      </x:c>
      <x:c r="D12" s="2" t="str">
        <x:v>Exactly 1</x:v>
      </x:c>
      <x:c r="E12" s="2" t="str">
        <x:v>2 / 3 / 4</x:v>
      </x:c>
      <x:c r="F12" s="2" t="str">
        <x:v>Ten exact-scene counterfactual pairs. Five C/O pairs are entirely RU; five UD/RU pairs hold the black cups' C/O state fixed.</x:v>
      </x:c>
    </x:row>
    <x:row r="13" ht="33" customHeight="1">
      <x:c r="A13" s="2" t="s">
        <x:v>71</x:v>
      </x:c>
      <x:c r="B13" s="2">
        <x:v>20.0</x:v>
      </x:c>
      <x:c r="C13" s="2" t="s">
        <x:v>44</x:v>
      </x:c>
      <x:c r="D13" s="2" t="s">
        <x:v>72</x:v>
      </x:c>
      <x:c r="E13" s="2" t="s">
        <x:v>64</x:v>
      </x:c>
      <x:c r="F13" s="2" t="str">
        <x:v>Unsatisfiable target-absence diagnostic. C/O scenes are entirely RU; orientation candidates share one C/O state.</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B2:E5">
    <x:cfRule type="containsText" dxfId="0" priority="1" operator="containsText" text="HELD OUT">
      <x:formula>NOT(ISERROR(SEARCH(("HELD OUT"),(B2))))</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2.630000114440918" defaultRowHeight="15"/>
  <x:cols>
    <x:col min="1" max="1" width="24.5" customWidth="1"/>
    <x:col min="2" max="2" width="94.5" customWidth="1"/>
    <x:col min="3" max="26" width="8.630000114440918" customWidth="1"/>
  </x:cols>
  <x:sheetData>
    <x:row r="1" ht="36" customHeight="1">
      <x:c r="A1" s="6" t="s">
        <x:v>73</x:v>
      </x:c>
      <x:c r="B1" s="8"/>
    </x:row>
    <x:row r="2" ht="36" customHeight="1">
      <x:c r="A2" s="2" t="s">
        <x:v>74</x:v>
      </x:c>
      <x:c r="B2" s="2" t="s">
        <x:v>75</x:v>
      </x:c>
    </x:row>
    <x:row r="3" ht="36" customHeight="1">
      <x:c r="A3" s="2" t="s">
        <x:v>76</x:v>
      </x:c>
      <x:c r="B3" s="2" t="str">
        <x:v>C = closed; O = open; UD = upside-down; RU = right-side-up/upright. Every object has one C/O code and one UD/RU code. All explicit open/closed training scenes were entirely upright, so every C/O evaluation scene is entirely RU.</x:v>
      </x:c>
    </x:row>
    <x:row r="4" ht="36" customHeight="1">
      <x:c r="A4" s="2" t="s">
        <x:v>77</x:v>
      </x:c>
      <x:c r="B4" s="2" t="s">
        <x:v>78</x:v>
      </x:c>
    </x:row>
    <x:row r="5" ht="36" customHeight="1">
      <x:c r="A5" s="2" t="s">
        <x:v>79</x:v>
      </x:c>
      <x:c r="B5" s="2" t="str">
        <x:v>Every active state-reasoning trial has exactly two objects from the queried category and exactly one valid state match. For C/O prompts, every object is RU. For UD/RU prompts, the two same-category candidates share the same C/O state. Direct matched controls contain exactly one object from the named category.</x:v>
      </x:c>
    </x:row>
    <x:row r="6" ht="36" customHeight="1">
      <x:c r="A6" s="2" t="s">
        <x:v>80</x:v>
      </x:c>
      <x:c r="B6" s="2" t="s">
        <x:v>81</x:v>
      </x:c>
    </x:row>
    <x:row r="7" ht="36" customHeight="1">
      <x:c r="A7" s="2" t="s">
        <x:v>82</x:v>
      </x:c>
      <x:c r="B7" s="2" t="s">
        <x:v>83</x:v>
      </x:c>
    </x:row>
    <x:row r="8" ht="36" customHeight="1">
      <x:c r="A8" s="2" t="s">
        <x:v>84</x:v>
      </x:c>
      <x:c r="B8" s="2" t="str">
        <x:v>Twenty primary scenes have an adjacent one-object-substitution manipulation control. Preserve the primary target, its state, pose, location, object count, and all unrelated distractors; replace only the other same-category object and use an exact direct-category training prompt.</x:v>
      </x:c>
    </x:row>
    <x:row r="9" ht="36" customHeight="1">
      <x:c r="A9" s="2" t="s">
        <x:v>85</x:v>
      </x:c>
      <x:c r="B9" s="2" t="str">
        <x:v>Ten language rows paraphrase canonical compositional-transfer prompts in the original two-candidate scenes. Ten paraphrase direct matched controls in their modified one-category scenes. Each language row reuses its referenced scene and target exactly; only wording changes.</x:v>
      </x:c>
    </x:row>
    <x:row r="10" ht="36" customHeight="1">
      <x:c r="A10" s="2" t="s">
        <x:v>69</x:v>
      </x:c>
      <x:c r="B10" s="2" t="str">
        <x:v>Use two black cups in every novel-object scene. Collect ten adjacent exact-scene counterfactual pairs: five closed/open pairs and five upside-down/upright pairs. The prompt changes the correct black cup while the scene stays fixed. Each state appears five times, and black cups A and B are each the target ten times.</x:v>
      </x:c>
    </x:row>
    <x:row r="11" ht="36" customHeight="1">
      <x:c r="A11" s="2" t="s">
        <x:v>86</x:v>
      </x:c>
      <x:c r="B11" s="2" t="str">
        <x:v>Because direct-name-only black-cup controls are intentionally omitted, this block cannot separately estimate novel-object recognition/manipulation. It instead tests state sensitivity through exact-scene counterfactual pairs and remains separate from the primary compositional-transfer estimate.</x:v>
      </x:c>
    </x:row>
    <x:row r="12" ht="36" customHeight="1">
      <x:c r="A12" s="2" t="s">
        <x:v>87</x:v>
      </x:c>
      <x:c r="B12" s="2" t="str">
        <x:v>The bowl is empty in all 20 episodes, and no object anywhere in the scene has the queried state. C/O rows use only upright objects. In UD/RU rows, the same-category candidates share one C/O state. Use each trained category five times and each state five times. Success requires doing nothing.</x:v>
      </x:c>
    </x:row>
    <x:row r="13" ht="36" customHeight="1">
      <x:c r="A13" s="2" t="s">
        <x:v>88</x:v>
      </x:c>
      <x:c r="B13" s="2" t="s">
        <x:v>89</x:v>
      </x:c>
    </x:row>
    <x:row r="14" ht="36" customHeight="1">
      <x:c r="A14" s="2" t="s">
        <x:v>90</x:v>
      </x:c>
      <x:c r="B14" s="2" t="s">
        <x:v>91</x:v>
      </x:c>
    </x:row>
    <x:row r="15" ht="36" customHeight="1">
      <x:c r="A15" s="2" t="s">
        <x:v>92</x:v>
      </x:c>
      <x:c r="B15" s="2" t="str">
        <x:v>The in-distribution, primary, novel-object, and no-movement conditions include 2-, 3-, and 4-object scenes. Black-cup pairs use 6, 8, and 6 trials at those counts; reproduce each listed count exactly.</x:v>
      </x:c>
    </x:row>
    <x:row r="16" ht="36" customHeight="1">
      <x:c r="A16" s="2" t="s">
        <x:v>93</x:v>
      </x:c>
      <x:c r="B16" s="2" t="s">
        <x:v>94</x:v>
      </x:c>
    </x:row>
    <x:row r="17" ht="36" customHeight="1">
      <x:c r="A17" s="2" t="s">
        <x:v>95</x:v>
      </x:c>
      <x:c r="B17" s="2" t="str">
        <x:v>Episodes 0–19 are the in-distribution baseline. Transfer/control/language family members remain adjacent. Episodes 110–129 are ten adjacent black-cup counterfactual pairs. Use the same episode order for every model.</x:v>
      </x:c>
    </x:row>
    <x:row r="18" ht="36" customHeight="1">
      <x:c r="A18" s="2" t="s">
        <x:v>96</x:v>
      </x:c>
      <x:c r="B18" s="2" t="str">
        <x:v>For language rows, reuse the referenced scene exactly. For each black-cup pair, reset the moved cup and preserve every object and state; change only the prompt. Across models, recreate episode N as closely as possible.</x:v>
      </x:c>
    </x:row>
    <x:row r="19" ht="36" customHeight="1">
      <x:c r="A19" s="2" t="s">
        <x:v>97</x:v>
      </x:c>
      <x:c r="B19" s="2" t="str">
        <x:v>State-reasoning rows succeed by placing the unique same-category object satisfying the queried state in the bowl. Direct controls succeed by placing the uniquely named category object in the bowl. Competitors and distractors must remain out of the bowl.</x:v>
      </x:c>
    </x:row>
    <x:row r="20" ht="36" customHeight="1">
      <x:c r="A20" s="2" t="s">
        <x:v>98</x:v>
      </x:c>
      <x:c r="B20" s="2" t="s">
        <x:v>99</x:v>
      </x:c>
    </x:row>
    <x:row r="21" ht="36" customHeight="1">
      <x:c r="A21" s="2" t="s">
        <x:v>100</x:v>
      </x:c>
      <x:c r="B21" s="2" t="s">
        <x:v>101</x:v>
      </x:c>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30000114440918" defaultRowHeight="15"/>
  <x:cols>
    <x:col min="1" max="1" width="36.630001068115234" customWidth="1"/>
    <x:col min="2" max="2" width="12.25" customWidth="1"/>
    <x:col min="3" max="4" width="10" customWidth="1"/>
    <x:col min="5" max="5" width="51.130001068115234" customWidth="1"/>
    <x:col min="6" max="26" width="8.630000114440918" customWidth="1"/>
  </x:cols>
  <x:sheetData>
    <x:row r="1" ht="30" customHeight="1">
      <x:c r="A1" s="1" t="s">
        <x:v>102</x:v>
      </x:c>
      <x:c r="B1" s="1" t="s">
        <x:v>103</x:v>
      </x:c>
      <x:c r="C1" s="1" t="s">
        <x:v>104</x:v>
      </x:c>
      <x:c r="D1" s="1" t="s">
        <x:v>0</x:v>
      </x:c>
      <x:c r="E1" s="1" t="s">
        <x:v>27</x:v>
      </x:c>
    </x:row>
    <x:row r="2" ht="30" customHeight="1">
      <x:c r="A2" s="2" t="s">
        <x:v>105</x:v>
      </x:c>
      <x:c r="B2" s="2" t="n">
        <x:f>COUNTA('Evaluation Plan'!B2:B151)</x:f>
        <x:v>150</x:v>
      </x:c>
      <x:c r="C2" s="2">
        <x:v>150.0</x:v>
      </x:c>
      <x:c r="D2" s="2" t="str">
        <x:f t="shared" ref="D2:D64" si="1">IF(B2=C2,"PASS","FAIL")</x:f>
        <x:v>PASS</x:v>
      </x:c>
      <x:c r="E2" s="2" t="s">
        <x:v>106</x:v>
      </x:c>
    </x:row>
    <x:row r="3" ht="30" customHeight="1">
      <x:c r="A3" s="2" t="s">
        <x:v>107</x:v>
      </x:c>
      <x:c r="B3" s="2" t="n">
        <x:f>COUNTA('Evaluation Plan'!F2:F151)</x:f>
        <x:v>150</x:v>
      </x:c>
      <x:c r="C3" s="2">
        <x:v>150.0</x:v>
      </x:c>
      <x:c r="D3" s="2" t="str">
        <x:f t="shared" si="1">IF(B3=C3,"PASS","FAIL")</x:f>
        <x:v>PASS</x:v>
      </x:c>
      <x:c r="E3" s="2" t="s">
        <x:v>108</x:v>
      </x:c>
    </x:row>
    <x:row r="4" ht="30" customHeight="1">
      <x:c r="A4" s="2" t="s">
        <x:v>109</x:v>
      </x:c>
      <x:c r="B4" s="2" t="n">
        <x:f>COUNTIF('Evaluation Plan'!J2:J151,"In-distribution concept baseline")</x:f>
        <x:v>20</x:v>
      </x:c>
      <x:c r="C4" s="2">
        <x:v>20.0</x:v>
      </x:c>
      <x:c r="D4" s="2" t="str">
        <x:f t="shared" si="1">IF(B4=C4,"PASS","FAIL")</x:f>
        <x:v>PASS</x:v>
      </x:c>
      <x:c r="E4" s="2" t="s">
        <x:v>110</x:v>
      </x:c>
    </x:row>
    <x:row r="5" ht="30" customHeight="1">
      <x:c r="A5" s="2" t="s">
        <x:v>111</x:v>
      </x:c>
      <x:c r="B5" s="2" t="n">
        <x:f>COUNTIFS('Evaluation Plan'!J2:J151,"In-distribution concept baseline",'Evaluation Plan'!G2:G151,"Exact manifest episode:*")</x:f>
        <x:v>0</x:v>
      </x:c>
      <x:c r="C5" s="2">
        <x:v>20.0</x:v>
      </x:c>
      <x:c r="D5" s="2" t="str">
        <x:f t="shared" si="1">IF(B5=C5,"PASS","FAIL")</x:f>
        <x:v>FAIL</x:v>
      </x:c>
      <x:c r="E5" s="2" t="s">
        <x:v>112</x:v>
      </x:c>
    </x:row>
    <x:row r="6" ht="30" customHeight="1">
      <x:c r="A6" s="2" t="s">
        <x:v>113</x:v>
      </x:c>
      <x:c r="B6" s="2" t="n">
        <x:f>COUNTIFS('Evaluation Plan'!J2:J151,"In-distribution concept baseline",'Evaluation Plan'!M2:M151,"white cup")</x:f>
        <x:v>5</x:v>
      </x:c>
      <x:c r="C6" s="2">
        <x:v>5.0</x:v>
      </x:c>
      <x:c r="D6" s="2" t="str">
        <x:f t="shared" si="1">IF(B6=C6,"PASS","FAIL")</x:f>
        <x:v>PASS</x:v>
      </x:c>
      <x:c r="E6" s="2" t="s">
        <x:v>114</x:v>
      </x:c>
    </x:row>
    <x:row r="7" ht="30" customHeight="1">
      <x:c r="A7" s="2" t="s">
        <x:v>115</x:v>
      </x:c>
      <x:c r="B7" s="2" t="n">
        <x:f>COUNTIFS('Evaluation Plan'!J2:J151,"In-distribution concept baseline",'Evaluation Plan'!M2:M151,"yellow-white striped cup")</x:f>
        <x:v>5</x:v>
      </x:c>
      <x:c r="C7" s="2">
        <x:v>5.0</x:v>
      </x:c>
      <x:c r="D7" s="2" t="str">
        <x:f t="shared" si="1">IF(B7=C7,"PASS","FAIL")</x:f>
        <x:v>PASS</x:v>
      </x:c>
      <x:c r="E7" s="2" t="s">
        <x:v>114</x:v>
      </x:c>
    </x:row>
    <x:row r="8" ht="30" customHeight="1">
      <x:c r="A8" s="2" t="s">
        <x:v>116</x:v>
      </x:c>
      <x:c r="B8" s="2" t="n">
        <x:f>COUNTIFS('Evaluation Plan'!J2:J151,"In-distribution concept baseline",'Evaluation Plan'!M2:M151,"brown cup")</x:f>
        <x:v>5</x:v>
      </x:c>
      <x:c r="C8" s="2">
        <x:v>5.0</x:v>
      </x:c>
      <x:c r="D8" s="2" t="str">
        <x:f t="shared" si="1">IF(B8=C8,"PASS","FAIL")</x:f>
        <x:v>PASS</x:v>
      </x:c>
      <x:c r="E8" s="2" t="s">
        <x:v>114</x:v>
      </x:c>
    </x:row>
    <x:row r="9" ht="30" customHeight="1">
      <x:c r="A9" s="2" t="s">
        <x:v>117</x:v>
      </x:c>
      <x:c r="B9" s="2" t="n">
        <x:f>COUNTIFS('Evaluation Plan'!J2:J151,"In-distribution concept baseline",'Evaluation Plan'!M2:M151,"glass spice container")</x:f>
        <x:v>5</x:v>
      </x:c>
      <x:c r="C9" s="2">
        <x:v>5.0</x:v>
      </x:c>
      <x:c r="D9" s="2" t="str">
        <x:f t="shared" si="1">IF(B9=C9,"PASS","FAIL")</x:f>
        <x:v>PASS</x:v>
      </x:c>
      <x:c r="E9" s="2" t="s">
        <x:v>114</x:v>
      </x:c>
    </x:row>
    <x:row r="10" ht="30" customHeight="1">
      <x:c r="A10" s="2" t="s">
        <x:v>118</x:v>
      </x:c>
      <x:c r="B10" s="2" t="n">
        <x:f>COUNTIFS('Evaluation Plan'!J2:J151,"In-distribution concept baseline",'Evaluation Plan'!L2:L151,"C")</x:f>
        <x:v>5</x:v>
      </x:c>
      <x:c r="C10" s="2">
        <x:v>5.0</x:v>
      </x:c>
      <x:c r="D10" s="2" t="str">
        <x:f t="shared" si="1">IF(B10=C10,"PASS","FAIL")</x:f>
        <x:v>PASS</x:v>
      </x:c>
      <x:c r="E10" s="2" t="s">
        <x:v>119</x:v>
      </x:c>
    </x:row>
    <x:row r="11" ht="30" customHeight="1">
      <x:c r="A11" s="2" t="s">
        <x:v>120</x:v>
      </x:c>
      <x:c r="B11" s="2" t="n">
        <x:f>COUNTIFS('Evaluation Plan'!J2:J151,"In-distribution concept baseline",'Evaluation Plan'!L2:L151,"O")</x:f>
        <x:v>5</x:v>
      </x:c>
      <x:c r="C11" s="2">
        <x:v>5.0</x:v>
      </x:c>
      <x:c r="D11" s="2" t="str">
        <x:f t="shared" si="1">IF(B11=C11,"PASS","FAIL")</x:f>
        <x:v>PASS</x:v>
      </x:c>
      <x:c r="E11" s="2" t="s">
        <x:v>119</x:v>
      </x:c>
    </x:row>
    <x:row r="12" ht="30" customHeight="1">
      <x:c r="A12" s="2" t="s">
        <x:v>121</x:v>
      </x:c>
      <x:c r="B12" s="2" t="n">
        <x:f>COUNTIFS('Evaluation Plan'!J2:J151,"In-distribution concept baseline",'Evaluation Plan'!L2:L151,"UD")</x:f>
        <x:v>5</x:v>
      </x:c>
      <x:c r="C12" s="2">
        <x:v>5.0</x:v>
      </x:c>
      <x:c r="D12" s="2" t="str">
        <x:f t="shared" si="1">IF(B12=C12,"PASS","FAIL")</x:f>
        <x:v>PASS</x:v>
      </x:c>
      <x:c r="E12" s="2" t="s">
        <x:v>119</x:v>
      </x:c>
    </x:row>
    <x:row r="13" ht="30" customHeight="1">
      <x:c r="A13" s="2" t="s">
        <x:v>122</x:v>
      </x:c>
      <x:c r="B13" s="2" t="n">
        <x:f>COUNTIFS('Evaluation Plan'!J2:J151,"In-distribution concept baseline",'Evaluation Plan'!L2:L151,"RU")</x:f>
        <x:v>5</x:v>
      </x:c>
      <x:c r="C13" s="2">
        <x:v>5.0</x:v>
      </x:c>
      <x:c r="D13" s="2" t="str">
        <x:f t="shared" si="1">IF(B13=C13,"PASS","FAIL")</x:f>
        <x:v>PASS</x:v>
      </x:c>
      <x:c r="E13" s="2" t="s">
        <x:v>119</x:v>
      </x:c>
    </x:row>
    <x:row r="14" ht="30" customHeight="1">
      <x:c r="A14" s="2" t="s">
        <x:v>123</x:v>
      </x:c>
      <x:c r="B14" s="2" t="n">
        <x:f>COUNTIF('Evaluation Plan'!J2:J151,"Concept/compositional transfer")</x:f>
        <x:v>50</x:v>
      </x:c>
      <x:c r="C14" s="2">
        <x:v>50.0</x:v>
      </x:c>
      <x:c r="D14" s="2" t="str">
        <x:f t="shared" si="1">IF(B14=C14,"PASS","FAIL")</x:f>
        <x:v>PASS</x:v>
      </x:c>
      <x:c r="E14" s="2" t="s">
        <x:v>124</x:v>
      </x:c>
    </x:row>
    <x:row r="15" ht="30" customHeight="1">
      <x:c r="A15" s="2" t="s">
        <x:v>125</x:v>
      </x:c>
      <x:c r="B15" s="2" t="n">
        <x:f>COUNTIFS('Evaluation Plan'!J2:J151,"Concept/compositional transfer",'Evaluation Plan'!M2:M151,"white cup",'Evaluation Plan'!L2:L151,"UD")</x:f>
        <x:v>13</x:v>
      </x:c>
      <x:c r="C15" s="2">
        <x:v>13.0</x:v>
      </x:c>
      <x:c r="D15" s="2" t="str">
        <x:f t="shared" si="1">IF(B15=C15,"PASS","FAIL")</x:f>
        <x:v>PASS</x:v>
      </x:c>
      <x:c r="E15" s="2" t="s">
        <x:v>126</x:v>
      </x:c>
    </x:row>
    <x:row r="16" ht="30" customHeight="1">
      <x:c r="A16" s="2" t="s">
        <x:v>127</x:v>
      </x:c>
      <x:c r="B16" s="2" t="n">
        <x:f>COUNTIFS('Evaluation Plan'!J2:J151,"Concept/compositional transfer",'Evaluation Plan'!M2:M151,"yellow-white striped cup",'Evaluation Plan'!L2:L151,"O")</x:f>
        <x:v>13</x:v>
      </x:c>
      <x:c r="C16" s="2">
        <x:v>13.0</x:v>
      </x:c>
      <x:c r="D16" s="2" t="str">
        <x:f t="shared" si="1">IF(B16=C16,"PASS","FAIL")</x:f>
        <x:v>PASS</x:v>
      </x:c>
      <x:c r="E16" s="2" t="s">
        <x:v>126</x:v>
      </x:c>
    </x:row>
    <x:row r="17" ht="30" customHeight="1">
      <x:c r="A17" s="2" t="s">
        <x:v>128</x:v>
      </x:c>
      <x:c r="B17" s="2" t="n">
        <x:f>COUNTIFS('Evaluation Plan'!J2:J151,"Concept/compositional transfer",'Evaluation Plan'!M2:M151,"brown cup",'Evaluation Plan'!L2:L151,"C")</x:f>
        <x:v>12</x:v>
      </x:c>
      <x:c r="C17" s="2">
        <x:v>12.0</x:v>
      </x:c>
      <x:c r="D17" s="2" t="str">
        <x:f t="shared" si="1">IF(B17=C17,"PASS","FAIL")</x:f>
        <x:v>PASS</x:v>
      </x:c>
      <x:c r="E17" s="2" t="s">
        <x:v>126</x:v>
      </x:c>
    </x:row>
    <x:row r="18" ht="30" customHeight="1">
      <x:c r="A18" s="2" t="s">
        <x:v>129</x:v>
      </x:c>
      <x:c r="B18" s="2" t="n">
        <x:f>COUNTIFS('Evaluation Plan'!J2:J151,"Concept/compositional transfer",'Evaluation Plan'!M2:M151,"glass spice container",'Evaluation Plan'!L2:L151,"RU")</x:f>
        <x:v>12</x:v>
      </x:c>
      <x:c r="C18" s="2">
        <x:v>12.0</x:v>
      </x:c>
      <x:c r="D18" s="2" t="str">
        <x:f t="shared" si="1">IF(B18=C18,"PASS","FAIL")</x:f>
        <x:v>PASS</x:v>
      </x:c>
      <x:c r="E18" s="2" t="s">
        <x:v>126</x:v>
      </x:c>
    </x:row>
    <x:row r="19" ht="30" customHeight="1">
      <x:c r="A19" s="2" t="s">
        <x:v>130</x:v>
      </x:c>
      <x:c r="B19" s="2" t="n">
        <x:f>COUNTIFS('Evaluation Plan'!J2:J151,"Language robustness",'Evaluation Plan'!M2:M151,"white cup",'Evaluation Plan'!L2:L151,"UD")</x:f>
        <x:v>3</x:v>
      </x:c>
      <x:c r="C19" s="2">
        <x:v>3.0</x:v>
      </x:c>
      <x:c r="D19" s="2" t="str">
        <x:f t="shared" si="1">IF(B19=C19,"PASS","FAIL")</x:f>
        <x:v>PASS</x:v>
      </x:c>
      <x:c r="E19" s="2" t="s">
        <x:v>131</x:v>
      </x:c>
    </x:row>
    <x:row r="20" ht="30" customHeight="1">
      <x:c r="A20" s="2" t="s">
        <x:v>132</x:v>
      </x:c>
      <x:c r="B20" s="2" t="n">
        <x:f>COUNTIFS('Evaluation Plan'!J2:J151,"Language robustness",'Evaluation Plan'!M2:M151,"yellow-white striped cup",'Evaluation Plan'!L2:L151,"O")</x:f>
        <x:v>3</x:v>
      </x:c>
      <x:c r="C20" s="2">
        <x:v>3.0</x:v>
      </x:c>
      <x:c r="D20" s="2" t="str">
        <x:f t="shared" si="1">IF(B20=C20,"PASS","FAIL")</x:f>
        <x:v>PASS</x:v>
      </x:c>
      <x:c r="E20" s="2" t="s">
        <x:v>131</x:v>
      </x:c>
    </x:row>
    <x:row r="21" ht="30" customHeight="1">
      <x:c r="A21" s="2" t="s">
        <x:v>133</x:v>
      </x:c>
      <x:c r="B21" s="2" t="n">
        <x:f>COUNTIFS('Evaluation Plan'!J2:J151,"Language robustness",'Evaluation Plan'!M2:M151,"brown cup",'Evaluation Plan'!L2:L151,"C")</x:f>
        <x:v>2</x:v>
      </x:c>
      <x:c r="C21" s="2">
        <x:v>2.0</x:v>
      </x:c>
      <x:c r="D21" s="2" t="str">
        <x:f t="shared" si="1">IF(B21=C21,"PASS","FAIL")</x:f>
        <x:v>PASS</x:v>
      </x:c>
      <x:c r="E21" s="2" t="s">
        <x:v>131</x:v>
      </x:c>
    </x:row>
    <x:row r="22" ht="30" customHeight="1">
      <x:c r="A22" s="2" t="s">
        <x:v>134</x:v>
      </x:c>
      <x:c r="B22" s="2" t="n">
        <x:f>COUNTIFS('Evaluation Plan'!J2:J151,"Language robustness",'Evaluation Plan'!M2:M151,"glass spice container",'Evaluation Plan'!L2:L151,"RU")</x:f>
        <x:v>2</x:v>
      </x:c>
      <x:c r="C22" s="2">
        <x:v>2.0</x:v>
      </x:c>
      <x:c r="D22" s="2" t="str">
        <x:f t="shared" si="1">IF(B22=C22,"PASS","FAIL")</x:f>
        <x:v>PASS</x:v>
      </x:c>
      <x:c r="E22" s="2" t="s">
        <x:v>131</x:v>
      </x:c>
    </x:row>
    <x:row r="23" ht="30" customHeight="1">
      <x:c r="A23" s="2" t="s">
        <x:v>135</x:v>
      </x:c>
      <x:c r="B23" s="2" t="n">
        <x:f>COUNTIFS('Evaluation Plan'!M2:M151,"white cup",'Evaluation Plan'!L2:L151,"UD")-13-3</x:f>
        <x:v>0</x:v>
      </x:c>
      <x:c r="C23" s="2">
        <x:v>0.0</x:v>
      </x:c>
      <x:c r="D23" s="2" t="str">
        <x:f t="shared" si="1">IF(B23=C23,"PASS","FAIL")</x:f>
        <x:v>PASS</x:v>
      </x:c>
      <x:c r="E23" s="2" t="s">
        <x:v>136</x:v>
      </x:c>
    </x:row>
    <x:row r="24" ht="30" customHeight="1">
      <x:c r="A24" s="2" t="s">
        <x:v>137</x:v>
      </x:c>
      <x:c r="B24" s="2" t="n">
        <x:f>COUNTIFS('Evaluation Plan'!M2:M151,"yellow-white striped cup",'Evaluation Plan'!L2:L151,"O")-13-3</x:f>
        <x:v>0</x:v>
      </x:c>
      <x:c r="C24" s="2">
        <x:v>0.0</x:v>
      </x:c>
      <x:c r="D24" s="2" t="str">
        <x:f t="shared" si="1">IF(B24=C24,"PASS","FAIL")</x:f>
        <x:v>PASS</x:v>
      </x:c>
      <x:c r="E24" s="2" t="s">
        <x:v>136</x:v>
      </x:c>
    </x:row>
    <x:row r="25" ht="30" customHeight="1">
      <x:c r="A25" s="2" t="s">
        <x:v>138</x:v>
      </x:c>
      <x:c r="B25" s="2" t="n">
        <x:f>COUNTIFS('Evaluation Plan'!M2:M151,"brown cup",'Evaluation Plan'!L2:L151,"C")-12-2</x:f>
        <x:v>0</x:v>
      </x:c>
      <x:c r="C25" s="2">
        <x:v>0.0</x:v>
      </x:c>
      <x:c r="D25" s="2" t="str">
        <x:f t="shared" si="1">IF(B25=C25,"PASS","FAIL")</x:f>
        <x:v>PASS</x:v>
      </x:c>
      <x:c r="E25" s="2" t="s">
        <x:v>136</x:v>
      </x:c>
    </x:row>
    <x:row r="26" ht="30" customHeight="1">
      <x:c r="A26" s="2" t="s">
        <x:v>139</x:v>
      </x:c>
      <x:c r="B26" s="2" t="n">
        <x:f>COUNTIFS('Evaluation Plan'!M2:M151,"glass spice container",'Evaluation Plan'!L2:L151,"RU")-12-2</x:f>
        <x:v>0</x:v>
      </x:c>
      <x:c r="C26" s="2">
        <x:v>0.0</x:v>
      </x:c>
      <x:c r="D26" s="2" t="str">
        <x:f t="shared" si="1">IF(B26=C26,"PASS","FAIL")</x:f>
        <x:v>PASS</x:v>
      </x:c>
      <x:c r="E26" s="2" t="s">
        <x:v>136</x:v>
      </x:c>
    </x:row>
    <x:row r="27" ht="30" customHeight="1">
      <x:c r="A27" s="2" t="s">
        <x:v>140</x:v>
      </x:c>
      <x:c r="B27" s="2" t="n">
        <x:f>COUNTIFS('Evaluation Plan'!J2:J151,"Concept/compositional transfer",'Evaluation Plan'!N2:N151,2)</x:f>
        <x:v>17</x:v>
      </x:c>
      <x:c r="C27" s="2">
        <x:v>17.0</x:v>
      </x:c>
      <x:c r="D27" s="2" t="str">
        <x:f t="shared" si="1">IF(B27=C27,"PASS","FAIL")</x:f>
        <x:v>PASS</x:v>
      </x:c>
      <x:c r="E27" s="2" t="s">
        <x:v>141</x:v>
      </x:c>
    </x:row>
    <x:row r="28" ht="30" customHeight="1">
      <x:c r="A28" s="2" t="s">
        <x:v>142</x:v>
      </x:c>
      <x:c r="B28" s="2" t="n">
        <x:f>COUNTIFS('Evaluation Plan'!J2:J151,"Concept/compositional transfer",'Evaluation Plan'!N2:N151,3)</x:f>
        <x:v>17</x:v>
      </x:c>
      <x:c r="C28" s="2">
        <x:v>17.0</x:v>
      </x:c>
      <x:c r="D28" s="2" t="str">
        <x:f t="shared" si="1">IF(B28=C28,"PASS","FAIL")</x:f>
        <x:v>PASS</x:v>
      </x:c>
      <x:c r="E28" s="2" t="s">
        <x:v>141</x:v>
      </x:c>
    </x:row>
    <x:row r="29" ht="30" customHeight="1">
      <x:c r="A29" s="2" t="s">
        <x:v>143</x:v>
      </x:c>
      <x:c r="B29" s="2" t="n">
        <x:f>COUNTIFS('Evaluation Plan'!J2:J151,"Concept/compositional transfer",'Evaluation Plan'!N2:N151,4)</x:f>
        <x:v>16</x:v>
      </x:c>
      <x:c r="C29" s="2">
        <x:v>16.0</x:v>
      </x:c>
      <x:c r="D29" s="2" t="str">
        <x:f t="shared" si="1">IF(B29=C29,"PASS","FAIL")</x:f>
        <x:v>PASS</x:v>
      </x:c>
      <x:c r="E29" s="2" t="s">
        <x:v>141</x:v>
      </x:c>
    </x:row>
    <x:row r="30" ht="30" customHeight="1">
      <x:c r="A30" s="2" t="s">
        <x:v>144</x:v>
      </x:c>
      <x:c r="B30" s="2" t="n">
        <x:f>COUNTIF('Evaluation Plan'!J2:J151,"Matched manipulation control")</x:f>
        <x:v>20</x:v>
      </x:c>
      <x:c r="C30" s="2">
        <x:v>20.0</x:v>
      </x:c>
      <x:c r="D30" s="2" t="str">
        <x:f t="shared" si="1">IF(B30=C30,"PASS","FAIL")</x:f>
        <x:v>PASS</x:v>
      </x:c>
      <x:c r="E30" s="2" t="str">
        <x:v>One-object-substitution direct-category controls.</x:v>
      </x:c>
    </x:row>
    <x:row r="31" ht="30" customHeight="1">
      <x:c r="A31" s="2" t="s">
        <x:v>145</x:v>
      </x:c>
      <x:c r="B31" s="2" t="n">
        <x:f>COUNTIFS('Evaluation Plan'!J2:J151,"Matched manipulation control",'Evaluation Plan'!M2:M151,"white cup")</x:f>
        <x:v>5</x:v>
      </x:c>
      <x:c r="C31" s="2">
        <x:v>5.0</x:v>
      </x:c>
      <x:c r="D31" s="2" t="str">
        <x:f t="shared" si="1">IF(B31=C31,"PASS","FAIL")</x:f>
        <x:v>PASS</x:v>
      </x:c>
      <x:c r="E31" s="2" t="str">
        <x:v>Five direct-category controls per category; the primary physical target is preserved.</x:v>
      </x:c>
    </x:row>
    <x:row r="32" ht="30" customHeight="1">
      <x:c r="A32" s="2" t="s">
        <x:v>146</x:v>
      </x:c>
      <x:c r="B32" s="2" t="n">
        <x:f>COUNTIFS('Evaluation Plan'!J2:J151,"Matched manipulation control",'Evaluation Plan'!M2:M151,"yellow-white striped cup")</x:f>
        <x:v>5</x:v>
      </x:c>
      <x:c r="C32" s="2">
        <x:v>5.0</x:v>
      </x:c>
      <x:c r="D32" s="2" t="str">
        <x:f t="shared" si="1">IF(B32=C32,"PASS","FAIL")</x:f>
        <x:v>PASS</x:v>
      </x:c>
      <x:c r="E32" s="2" t="str">
        <x:v>Five direct-category controls per category; the primary physical target is preserved.</x:v>
      </x:c>
    </x:row>
    <x:row r="33" ht="30" customHeight="1">
      <x:c r="A33" s="2" t="s">
        <x:v>147</x:v>
      </x:c>
      <x:c r="B33" s="2" t="n">
        <x:f>COUNTIFS('Evaluation Plan'!J2:J151,"Matched manipulation control",'Evaluation Plan'!M2:M151,"brown cup")</x:f>
        <x:v>5</x:v>
      </x:c>
      <x:c r="C33" s="2">
        <x:v>5.0</x:v>
      </x:c>
      <x:c r="D33" s="2" t="str">
        <x:f t="shared" si="1">IF(B33=C33,"PASS","FAIL")</x:f>
        <x:v>PASS</x:v>
      </x:c>
      <x:c r="E33" s="2" t="str">
        <x:v>Five direct-category controls per category; the primary physical target is preserved.</x:v>
      </x:c>
    </x:row>
    <x:row r="34" ht="30" customHeight="1">
      <x:c r="A34" s="2" t="s">
        <x:v>148</x:v>
      </x:c>
      <x:c r="B34" s="2" t="n">
        <x:f>COUNTIFS('Evaluation Plan'!J2:J151,"Matched manipulation control",'Evaluation Plan'!M2:M151,"glass spice container")</x:f>
        <x:v>5</x:v>
      </x:c>
      <x:c r="C34" s="2">
        <x:v>5.0</x:v>
      </x:c>
      <x:c r="D34" s="2" t="str">
        <x:f t="shared" si="1">IF(B34=C34,"PASS","FAIL")</x:f>
        <x:v>PASS</x:v>
      </x:c>
      <x:c r="E34" s="2" t="str">
        <x:v>Five direct-category controls per category; the primary physical target is preserved.</x:v>
      </x:c>
    </x:row>
    <x:row r="35" ht="30" customHeight="1">
      <x:c r="A35" s="2" t="s">
        <x:v>149</x:v>
      </x:c>
      <x:c r="B35" s="2" t="n">
        <x:f>COUNTIF('Evaluation Plan'!J2:J151,"Language robustness")</x:f>
        <x:v>20</x:v>
      </x:c>
      <x:c r="C35" s="2">
        <x:v>20.0</x:v>
      </x:c>
      <x:c r="D35" s="2" t="str">
        <x:f t="shared" si="1">IF(B35=C35,"PASS","FAIL")</x:f>
        <x:v>PASS</x:v>
      </x:c>
      <x:c r="E35" s="2" t="s">
        <x:v>150</x:v>
      </x:c>
    </x:row>
    <x:row r="36" ht="30" customHeight="1">
      <x:c r="A36" s="2" t="s">
        <x:v>151</x:v>
      </x:c>
      <x:c r="B36" s="2" t="n">
        <x:f>COUNTIFS('Evaluation Plan'!J2:J151,"Language robustness",'Evaluation Plan'!Q2:Q151,"Primary compositional-transfer prompt paraphrase")</x:f>
        <x:v>10</x:v>
      </x:c>
      <x:c r="C36" s="2">
        <x:v>10.0</x:v>
      </x:c>
      <x:c r="D36" s="2" t="str">
        <x:f t="shared" si="1">IF(B36=C36,"PASS","FAIL")</x:f>
        <x:v>PASS</x:v>
      </x:c>
      <x:c r="E36" s="2" t="s">
        <x:v>152</x:v>
      </x:c>
    </x:row>
    <x:row r="37" ht="30" customHeight="1">
      <x:c r="A37" s="2" t="str">
        <x:v>Language: direct matched-control paraphrases</x:v>
      </x:c>
      <x:c r="B37" s="2" t="n">
        <x:f>COUNTIFS('Evaluation Plan'!J2:J151,"Language robustness",'Evaluation Plan'!Q2:Q151,"Direct-category matched-control paraphrase")</x:f>
        <x:v>10</x:v>
      </x:c>
      <x:c r="C37" s="2" t="n">
        <x:v>10</x:v>
      </x:c>
      <x:c r="D37" s="2" t="str">
        <x:f t="shared" si="1">IF(B37=C37,"PASS","FAIL")</x:f>
        <x:v>PASS</x:v>
      </x:c>
      <x:c r="E37" s="2" t="str">
        <x:v>Exact modified control scenes; no state word required.</x:v>
      </x:c>
    </x:row>
    <x:row r="38" ht="30" customHeight="1">
      <x:c r="A38" s="2" t="str">
        <x:v>Language transfer state: C</x:v>
      </x:c>
      <x:c r="B38" s="2" t="n">
        <x:f>COUNTIFS('Evaluation Plan'!J2:J151,"Language robustness",'Evaluation Plan'!L2:L151,"C")</x:f>
        <x:v>2</x:v>
      </x:c>
      <x:c r="C38" s="2" t="n">
        <x:v>2</x:v>
      </x:c>
      <x:c r="D38" s="2" t="str">
        <x:f t="shared" si="1">IF(B38=C38,"PASS","FAIL")</x:f>
        <x:v>PASS</x:v>
      </x:c>
      <x:c r="E38" s="2" t="str">
        <x:v>Counts only the ten transfer paraphrases; direct controls use N/A.</x:v>
      </x:c>
    </x:row>
    <x:row r="39" ht="30" customHeight="1">
      <x:c r="A39" s="2" t="str">
        <x:v>Language transfer state: O</x:v>
      </x:c>
      <x:c r="B39" s="2" t="n">
        <x:f>COUNTIFS('Evaluation Plan'!J2:J151,"Language robustness",'Evaluation Plan'!L2:L151,"O")</x:f>
        <x:v>3</x:v>
      </x:c>
      <x:c r="C39" s="2" t="n">
        <x:v>3</x:v>
      </x:c>
      <x:c r="D39" s="2" t="str">
        <x:f t="shared" si="1">IF(B39=C39,"PASS","FAIL")</x:f>
        <x:v>PASS</x:v>
      </x:c>
      <x:c r="E39" s="2" t="str">
        <x:v>Counts only the ten transfer paraphrases; direct controls use N/A.</x:v>
      </x:c>
    </x:row>
    <x:row r="40" ht="30" customHeight="1">
      <x:c r="A40" s="2" t="str">
        <x:v>Language transfer state: UD</x:v>
      </x:c>
      <x:c r="B40" s="2" t="n">
        <x:f>COUNTIFS('Evaluation Plan'!J2:J151,"Language robustness",'Evaluation Plan'!L2:L151,"UD")</x:f>
        <x:v>3</x:v>
      </x:c>
      <x:c r="C40" s="2" t="n">
        <x:v>3</x:v>
      </x:c>
      <x:c r="D40" s="2" t="str">
        <x:f t="shared" si="1">IF(B40=C40,"PASS","FAIL")</x:f>
        <x:v>PASS</x:v>
      </x:c>
      <x:c r="E40" s="2" t="str">
        <x:v>Counts only the ten transfer paraphrases; direct controls use N/A.</x:v>
      </x:c>
    </x:row>
    <x:row r="41" ht="30" customHeight="1">
      <x:c r="A41" s="2" t="str">
        <x:v>Language transfer state: RU</x:v>
      </x:c>
      <x:c r="B41" s="2" t="n">
        <x:f>COUNTIFS('Evaluation Plan'!J2:J151,"Language robustness",'Evaluation Plan'!L2:L151,"RU")</x:f>
        <x:v>2</x:v>
      </x:c>
      <x:c r="C41" s="2" t="n">
        <x:v>2</x:v>
      </x:c>
      <x:c r="D41" s="2" t="str">
        <x:f t="shared" si="1">IF(B41=C41,"PASS","FAIL")</x:f>
        <x:v>PASS</x:v>
      </x:c>
      <x:c r="E41" s="2" t="str">
        <x:v>Counts only the ten transfer paraphrases; direct controls use N/A.</x:v>
      </x:c>
    </x:row>
    <x:row r="42" ht="30" customHeight="1">
      <x:c r="A42" s="2" t="s">
        <x:v>153</x:v>
      </x:c>
      <x:c r="B42" s="2" t="n">
        <x:f>COUNTIF('Evaluation Plan'!J2:J151,"Novel-object state reasoning")</x:f>
        <x:v>20</x:v>
      </x:c>
      <x:c r="C42" s="2">
        <x:v>20.0</x:v>
      </x:c>
      <x:c r="D42" s="2" t="str">
        <x:f t="shared" si="1">IF(B42=C42,"PASS","FAIL")</x:f>
        <x:v>PASS</x:v>
      </x:c>
      <x:c r="E42" s="2" t="str">
        <x:v>Ten exact-scene counterfactual pairs; separate diagnostic.</x:v>
      </x:c>
    </x:row>
    <x:row r="43" ht="30" customHeight="1">
      <x:c r="A43" s="2" t="s">
        <x:v>154</x:v>
      </x:c>
      <x:c r="B43" s="2" t="n">
        <x:f>COUNTIFS('Evaluation Plan'!J2:J151,"Novel-object state reasoning",'Evaluation Plan'!L2:L151,"C")</x:f>
        <x:v>5</x:v>
      </x:c>
      <x:c r="C43" s="2">
        <x:v>5.0</x:v>
      </x:c>
      <x:c r="D43" s="2" t="str">
        <x:f t="shared" si="1">IF(B43=C43,"PASS","FAIL")</x:f>
        <x:v>PASS</x:v>
      </x:c>
      <x:c r="E43" s="2" t="str">
        <x:v>Five per state across the counterfactual pairs.</x:v>
      </x:c>
    </x:row>
    <x:row r="44" ht="30" customHeight="1">
      <x:c r="A44" s="2" t="s">
        <x:v>155</x:v>
      </x:c>
      <x:c r="B44" s="2" t="n">
        <x:f>COUNTIFS('Evaluation Plan'!J2:J151,"Novel-object state reasoning",'Evaluation Plan'!L2:L151,"O")</x:f>
        <x:v>5</x:v>
      </x:c>
      <x:c r="C44" s="2">
        <x:v>5.0</x:v>
      </x:c>
      <x:c r="D44" s="2" t="str">
        <x:f t="shared" si="1">IF(B44=C44,"PASS","FAIL")</x:f>
        <x:v>PASS</x:v>
      </x:c>
      <x:c r="E44" s="2" t="str">
        <x:v>Five per state across the counterfactual pairs.</x:v>
      </x:c>
    </x:row>
    <x:row r="45" ht="30" customHeight="1">
      <x:c r="A45" s="2" t="s">
        <x:v>156</x:v>
      </x:c>
      <x:c r="B45" s="2" t="n">
        <x:f>COUNTIFS('Evaluation Plan'!J2:J151,"Novel-object state reasoning",'Evaluation Plan'!L2:L151,"UD")</x:f>
        <x:v>5</x:v>
      </x:c>
      <x:c r="C45" s="2">
        <x:v>5.0</x:v>
      </x:c>
      <x:c r="D45" s="2" t="str">
        <x:f t="shared" si="1">IF(B45=C45,"PASS","FAIL")</x:f>
        <x:v>PASS</x:v>
      </x:c>
      <x:c r="E45" s="2" t="str">
        <x:v>Five per state across the counterfactual pairs.</x:v>
      </x:c>
    </x:row>
    <x:row r="46" ht="30" customHeight="1">
      <x:c r="A46" s="2" t="s">
        <x:v>157</x:v>
      </x:c>
      <x:c r="B46" s="2" t="n">
        <x:f>COUNTIFS('Evaluation Plan'!J2:J151,"Novel-object state reasoning",'Evaluation Plan'!L2:L151,"RU")</x:f>
        <x:v>5</x:v>
      </x:c>
      <x:c r="C46" s="2">
        <x:v>5.0</x:v>
      </x:c>
      <x:c r="D46" s="2" t="str">
        <x:f t="shared" si="1">IF(B46=C46,"PASS","FAIL")</x:f>
        <x:v>PASS</x:v>
      </x:c>
      <x:c r="E46" s="2" t="str">
        <x:v>Five per state across the counterfactual pairs.</x:v>
      </x:c>
    </x:row>
    <x:row r="47" ht="30" customHeight="1">
      <x:c r="A47" s="2" t="str">
        <x:v>Black-cup object count 2</x:v>
      </x:c>
      <x:c r="B47" s="2" t="n">
        <x:f>COUNTIFS('Evaluation Plan'!J2:J151,"Novel-object state reasoning",'Evaluation Plan'!N2:N151,2)</x:f>
        <x:v>6</x:v>
      </x:c>
      <x:c r="C47" s="2" t="n">
        <x:v>6</x:v>
      </x:c>
      <x:c r="D47" s="2" t="str">
        <x:f t="shared" si="1">IF(B47=C47,"PASS","FAIL")</x:f>
        <x:v>PASS</x:v>
      </x:c>
      <x:c r="E47" s="2" t="str">
        <x:v>Three exact-scene pairs.</x:v>
      </x:c>
    </x:row>
    <x:row r="48" ht="30" customHeight="1">
      <x:c r="A48" s="2" t="str">
        <x:v>Black-cup object count 3</x:v>
      </x:c>
      <x:c r="B48" s="2" t="n">
        <x:f>COUNTIFS('Evaluation Plan'!J2:J151,"Novel-object state reasoning",'Evaluation Plan'!N2:N151,3)</x:f>
        <x:v>8</x:v>
      </x:c>
      <x:c r="C48" s="2" t="n">
        <x:v>8</x:v>
      </x:c>
      <x:c r="D48" s="2" t="str">
        <x:f t="shared" si="1">IF(B48=C48,"PASS","FAIL")</x:f>
        <x:v>PASS</x:v>
      </x:c>
      <x:c r="E48" s="2" t="str">
        <x:v>Four exact-scene pairs.</x:v>
      </x:c>
    </x:row>
    <x:row r="49" ht="30" customHeight="1">
      <x:c r="A49" s="2" t="str">
        <x:v>Black-cup object count 4</x:v>
      </x:c>
      <x:c r="B49" s="2" t="n">
        <x:f>COUNTIFS('Evaluation Plan'!J2:J151,"Novel-object state reasoning",'Evaluation Plan'!N2:N151,4)</x:f>
        <x:v>6</x:v>
      </x:c>
      <x:c r="C49" s="2" t="n">
        <x:v>6</x:v>
      </x:c>
      <x:c r="D49" s="2" t="str">
        <x:f t="shared" si="1">IF(B49=C49,"PASS","FAIL")</x:f>
        <x:v>PASS</x:v>
      </x:c>
      <x:c r="E49" s="2" t="str">
        <x:v>Three exact-scene pairs.</x:v>
      </x:c>
    </x:row>
    <x:row r="50" ht="30" customHeight="1">
      <x:c r="A50" s="2" t="s">
        <x:v>158</x:v>
      </x:c>
      <x:c r="B50" s="2" t="n">
        <x:f>COUNTIF('Evaluation Plan'!J2:J151,"No valid target / no movement")</x:f>
        <x:v>20</x:v>
      </x:c>
      <x:c r="C50" s="2">
        <x:v>20.0</x:v>
      </x:c>
      <x:c r="D50" s="2" t="str">
        <x:f t="shared" si="1">IF(B50=C50,"PASS","FAIL")</x:f>
        <x:v>PASS</x:v>
      </x:c>
      <x:c r="E50" s="2" t="s">
        <x:v>159</x:v>
      </x:c>
    </x:row>
    <x:row r="51" ht="30" customHeight="1">
      <x:c r="A51" s="2" t="s">
        <x:v>160</x:v>
      </x:c>
      <x:c r="B51" s="2" t="n">
        <x:f>COUNTIFS('Evaluation Plan'!J2:J151,"No valid target / no movement",'Evaluation Plan'!M2:M151,"white cup")</x:f>
        <x:v>5</x:v>
      </x:c>
      <x:c r="C51" s="2">
        <x:v>5.0</x:v>
      </x:c>
      <x:c r="D51" s="2" t="str">
        <x:f t="shared" si="1">IF(B51=C51,"PASS","FAIL")</x:f>
        <x:v>PASS</x:v>
      </x:c>
      <x:c r="E51" s="2" t="s">
        <x:v>114</x:v>
      </x:c>
    </x:row>
    <x:row r="52" ht="30" customHeight="1">
      <x:c r="A52" s="2" t="s">
        <x:v>161</x:v>
      </x:c>
      <x:c r="B52" s="2" t="n">
        <x:f>COUNTIFS('Evaluation Plan'!J2:J151,"No valid target / no movement",'Evaluation Plan'!M2:M151,"yellow-white striped cup")</x:f>
        <x:v>5</x:v>
      </x:c>
      <x:c r="C52" s="2">
        <x:v>5.0</x:v>
      </x:c>
      <x:c r="D52" s="2" t="str">
        <x:f t="shared" si="1">IF(B52=C52,"PASS","FAIL")</x:f>
        <x:v>PASS</x:v>
      </x:c>
      <x:c r="E52" s="2" t="s">
        <x:v>114</x:v>
      </x:c>
    </x:row>
    <x:row r="53" ht="30" customHeight="1">
      <x:c r="A53" s="2" t="s">
        <x:v>162</x:v>
      </x:c>
      <x:c r="B53" s="2" t="n">
        <x:f>COUNTIFS('Evaluation Plan'!J2:J151,"No valid target / no movement",'Evaluation Plan'!M2:M151,"brown cup")</x:f>
        <x:v>5</x:v>
      </x:c>
      <x:c r="C53" s="2">
        <x:v>5.0</x:v>
      </x:c>
      <x:c r="D53" s="2" t="str">
        <x:f t="shared" si="1">IF(B53=C53,"PASS","FAIL")</x:f>
        <x:v>PASS</x:v>
      </x:c>
      <x:c r="E53" s="2" t="s">
        <x:v>114</x:v>
      </x:c>
    </x:row>
    <x:row r="54" ht="30" customHeight="1">
      <x:c r="A54" s="2" t="s">
        <x:v>163</x:v>
      </x:c>
      <x:c r="B54" s="2" t="n">
        <x:f>COUNTIFS('Evaluation Plan'!J2:J151,"No valid target / no movement",'Evaluation Plan'!M2:M151,"glass spice container")</x:f>
        <x:v>5</x:v>
      </x:c>
      <x:c r="C54" s="2">
        <x:v>5.0</x:v>
      </x:c>
      <x:c r="D54" s="2" t="str">
        <x:f t="shared" si="1">IF(B54=C54,"PASS","FAIL")</x:f>
        <x:v>PASS</x:v>
      </x:c>
      <x:c r="E54" s="2" t="s">
        <x:v>114</x:v>
      </x:c>
    </x:row>
    <x:row r="55" ht="30" customHeight="1">
      <x:c r="A55" s="2" t="s">
        <x:v>164</x:v>
      </x:c>
      <x:c r="B55" s="2" t="n">
        <x:f>COUNTIFS('Evaluation Plan'!J2:J151,"No valid target / no movement",'Evaluation Plan'!L2:L151,"C")</x:f>
        <x:v>5</x:v>
      </x:c>
      <x:c r="C55" s="2">
        <x:v>5.0</x:v>
      </x:c>
      <x:c r="D55" s="2" t="str">
        <x:f t="shared" si="1">IF(B55=C55,"PASS","FAIL")</x:f>
        <x:v>PASS</x:v>
      </x:c>
      <x:c r="E55" s="2" t="s">
        <x:v>165</x:v>
      </x:c>
    </x:row>
    <x:row r="56" ht="30" customHeight="1">
      <x:c r="A56" s="2" t="s">
        <x:v>166</x:v>
      </x:c>
      <x:c r="B56" s="2" t="n">
        <x:f>COUNTIFS('Evaluation Plan'!J2:J151,"No valid target / no movement",'Evaluation Plan'!L2:L151,"O")</x:f>
        <x:v>5</x:v>
      </x:c>
      <x:c r="C56" s="2">
        <x:v>5.0</x:v>
      </x:c>
      <x:c r="D56" s="2" t="str">
        <x:f t="shared" si="1">IF(B56=C56,"PASS","FAIL")</x:f>
        <x:v>PASS</x:v>
      </x:c>
      <x:c r="E56" s="2" t="s">
        <x:v>165</x:v>
      </x:c>
    </x:row>
    <x:row r="57" ht="30" customHeight="1">
      <x:c r="A57" s="2" t="s">
        <x:v>167</x:v>
      </x:c>
      <x:c r="B57" s="2" t="n">
        <x:f>COUNTIFS('Evaluation Plan'!J2:J151,"No valid target / no movement",'Evaluation Plan'!L2:L151,"UD")</x:f>
        <x:v>5</x:v>
      </x:c>
      <x:c r="C57" s="2">
        <x:v>5.0</x:v>
      </x:c>
      <x:c r="D57" s="2" t="str">
        <x:f t="shared" si="1">IF(B57=C57,"PASS","FAIL")</x:f>
        <x:v>PASS</x:v>
      </x:c>
      <x:c r="E57" s="2" t="s">
        <x:v>165</x:v>
      </x:c>
    </x:row>
    <x:row r="58" ht="30" customHeight="1">
      <x:c r="A58" s="2" t="s">
        <x:v>168</x:v>
      </x:c>
      <x:c r="B58" s="2" t="n">
        <x:f>COUNTIFS('Evaluation Plan'!J2:J151,"No valid target / no movement",'Evaluation Plan'!L2:L151,"RU")</x:f>
        <x:v>5</x:v>
      </x:c>
      <x:c r="C58" s="2">
        <x:v>5.0</x:v>
      </x:c>
      <x:c r="D58" s="2" t="str">
        <x:f t="shared" si="1">IF(B58=C58,"PASS","FAIL")</x:f>
        <x:v>PASS</x:v>
      </x:c>
      <x:c r="E58" s="2" t="s">
        <x:v>165</x:v>
      </x:c>
    </x:row>
    <x:row r="59" ht="30" customHeight="1">
      <x:c r="A59" s="2" t="s">
        <x:v>169</x:v>
      </x:c>
      <x:c r="B59" s="2" t="n">
        <x:f>COUNTIFS('Evaluation Plan'!J2:J151,"No valid target / no movement",'Evaluation Plan'!O2:O151,0)</x:f>
        <x:v>20</x:v>
      </x:c>
      <x:c r="C59" s="2">
        <x:v>20.0</x:v>
      </x:c>
      <x:c r="D59" s="2" t="str">
        <x:f t="shared" si="1">IF(B59=C59,"PASS","FAIL")</x:f>
        <x:v>PASS</x:v>
      </x:c>
      <x:c r="E59" s="2" t="s">
        <x:v>170</x:v>
      </x:c>
    </x:row>
    <x:row r="60" ht="30" customHeight="1">
      <x:c r="A60" s="2" t="s">
        <x:v>171</x:v>
      </x:c>
      <x:c r="B60" s="2" t="n">
        <x:f>COUNTIFS('Evaluation Plan'!J2:J151,"No valid target / no movement",'Evaluation Plan'!P2:P151,"Empty")</x:f>
        <x:v>20</x:v>
      </x:c>
      <x:c r="C60" s="2">
        <x:v>20.0</x:v>
      </x:c>
      <x:c r="D60" s="2" t="str">
        <x:f t="shared" si="1">IF(B60=C60,"PASS","FAIL")</x:f>
        <x:v>PASS</x:v>
      </x:c>
      <x:c r="E60" s="2" t="s">
        <x:v>172</x:v>
      </x:c>
    </x:row>
    <x:row r="61" ht="30" customHeight="1">
      <x:c r="A61" s="2" t="s">
        <x:v>173</x:v>
      </x:c>
      <x:c r="B61" s="2" t="n">
        <x:f>COUNTIFS('Evaluation Plan'!J2:J151,"No valid target / no movement",'Evaluation Plan'!N2:N151,2)</x:f>
        <x:v>7</x:v>
      </x:c>
      <x:c r="C61" s="2">
        <x:v>7.0</x:v>
      </x:c>
      <x:c r="D61" s="2" t="str">
        <x:f t="shared" si="1">IF(B61=C61,"PASS","FAIL")</x:f>
        <x:v>PASS</x:v>
      </x:c>
      <x:c r="E61" s="2" t="s">
        <x:v>141</x:v>
      </x:c>
    </x:row>
    <x:row r="62" ht="30" customHeight="1">
      <x:c r="A62" s="2" t="s">
        <x:v>174</x:v>
      </x:c>
      <x:c r="B62" s="2" t="n">
        <x:f>COUNTIFS('Evaluation Plan'!J2:J151,"No valid target / no movement",'Evaluation Plan'!N2:N151,3)</x:f>
        <x:v>7</x:v>
      </x:c>
      <x:c r="C62" s="2">
        <x:v>7.0</x:v>
      </x:c>
      <x:c r="D62" s="2" t="str">
        <x:f t="shared" si="1">IF(B62=C62,"PASS","FAIL")</x:f>
        <x:v>PASS</x:v>
      </x:c>
      <x:c r="E62" s="2" t="s">
        <x:v>141</x:v>
      </x:c>
    </x:row>
    <x:row r="63" ht="30" customHeight="1">
      <x:c r="A63" s="2" t="s">
        <x:v>175</x:v>
      </x:c>
      <x:c r="B63" s="2" t="n">
        <x:f>COUNTIFS('Evaluation Plan'!J2:J151,"No valid target / no movement",'Evaluation Plan'!N2:N151,4)</x:f>
        <x:v>6</x:v>
      </x:c>
      <x:c r="C63" s="2">
        <x:v>6.0</x:v>
      </x:c>
      <x:c r="D63" s="2" t="str">
        <x:f t="shared" si="1">IF(B63=C63,"PASS","FAIL")</x:f>
        <x:v>PASS</x:v>
      </x:c>
      <x:c r="E63" s="2" t="s">
        <x:v>141</x:v>
      </x:c>
    </x:row>
    <x:row r="64" ht="30" customHeight="1">
      <x:c r="A64" s="2" t="s">
        <x:v>176</x:v>
      </x:c>
      <x:c r="B64" s="2" t="n">
        <x:f>COUNTIFS('Evaluation Plan'!J2:J151,"&lt;&gt;No valid target / no movement",'Evaluation Plan'!O2:O151,1)</x:f>
        <x:v>130</x:v>
      </x:c>
      <x:c r="C64" s="2">
        <x:v>130.0</x:v>
      </x:c>
      <x:c r="D64" s="2" t="str">
        <x:f t="shared" si="1">IF(B64=C64,"PASS","FAIL")</x:f>
        <x:v>PASS</x:v>
      </x:c>
      <x:c r="E64" s="2" t="s">
        <x:v>177</x:v>
      </x:c>
    </x:row>
    <x:row r="65" ht="15.75" customHeight="1">
      <x:c r="A65" t="str">
        <x:v>Matched controls with queried state N/A</x:v>
      </x:c>
      <x:c r="B65" t="n">
        <x:f>COUNTIFS('Evaluation Plan'!J2:J151,"Matched manipulation control",'Evaluation Plan'!L2:L151,"N/A")</x:f>
        <x:v>20</x:v>
      </x:c>
      <x:c r="C65" t="n">
        <x:v>20</x:v>
      </x:c>
      <x:c r="D65" t="str">
        <x:f>IF(B65=C65,"PASS","FAIL")</x:f>
        <x:v>PASS</x:v>
      </x:c>
      <x:c r="E65" t="str">
        <x:v>Every matched control removes state selection.</x:v>
      </x:c>
    </x:row>
    <x:row r="66" ht="15.75" customHeight="1">
      <x:c r="A66" t="str">
        <x:v>Matched controls with one valid category target</x:v>
      </x:c>
      <x:c r="B66" t="n">
        <x:f>COUNTIFS('Evaluation Plan'!J2:J151,"Matched manipulation control",'Evaluation Plan'!O2:O151,1)</x:f>
        <x:v>20</x:v>
      </x:c>
      <x:c r="C66" t="n">
        <x:v>20</x:v>
      </x:c>
      <x:c r="D66" t="str">
        <x:f>IF(B66=C66,"PASS","FAIL")</x:f>
        <x:v>PASS</x:v>
      </x:c>
      <x:c r="E66" t="str">
        <x:v>The direct category is unique in every control scene.</x:v>
      </x:c>
    </x:row>
    <x:row r="67" ht="15.75" customHeight="1">
      <x:c r="A67" t="str">
        <x:v>Matched controls with substitution subtype</x:v>
      </x:c>
      <x:c r="B67" t="n">
        <x:f>COUNTIFS('Evaluation Plan'!J2:J151,"Matched manipulation control",'Evaluation Plan'!Q2:Q151,"One-object-substitution direct-category control")</x:f>
        <x:v>20</x:v>
      </x:c>
      <x:c r="C67" t="n">
        <x:v>20</x:v>
      </x:c>
      <x:c r="D67" t="str">
        <x:f>IF(B67=C67,"PASS","FAIL")</x:f>
        <x:v>PASS</x:v>
      </x:c>
      <x:c r="E67" t="str">
        <x:v>All 20 controls use the revised design.</x:v>
      </x:c>
    </x:row>
    <x:row r="68" ht="15.75" customHeight="1">
      <x:c r="A68" t="str">
        <x:v>Language direct controls with queried state N/A</x:v>
      </x:c>
      <x:c r="B68" t="n">
        <x:f>COUNTIFS('Evaluation Plan'!J2:J151,"Language robustness",'Evaluation Plan'!Q2:Q151,"Direct-category matched-control paraphrase",'Evaluation Plan'!L2:L151,"N/A")</x:f>
        <x:v>10</x:v>
      </x:c>
      <x:c r="C68" t="n">
        <x:v>10</x:v>
      </x:c>
      <x:c r="D68" t="str">
        <x:f>IF(B68=C68,"PASS","FAIL")</x:f>
        <x:v>PASS</x:v>
      </x:c>
      <x:c r="E68" t="str">
        <x:v>All ten matched-control paraphrases remain state-free.</x:v>
      </x:c>
    </x:row>
    <x:row r="69" ht="15.75" customHeight="1">
      <x:c r="A69" t="str">
        <x:v>Open/closed rows containing any UD object</x:v>
      </x:c>
      <x:c r="B69" t="n">
        <x:f>COUNTIFS('Evaluation Plan'!L2:L151,"C",'Evaluation Plan'!D2:D151,"*UD*")+COUNTIFS('Evaluation Plan'!L2:L151,"O",'Evaluation Plan'!D2:D151,"*UD*")</x:f>
        <x:v>0</x:v>
      </x:c>
      <x:c r="C69" t="n">
        <x:v>0</x:v>
      </x:c>
      <x:c r="D69" t="str">
        <x:f>IF(B69=C69,"PASS","FAIL")</x:f>
        <x:v>PASS</x:v>
      </x:c>
      <x:c r="E69" t="str">
        <x:v>Every C/O scene is entirely upright, matching all explicit C/O training demonstrations.</x:v>
      </x:c>
    </x:row>
    <x:row r="70" ht="15.75" customHeight="1">
      <x:c r="A70" t="str">
        <x:v>Black-cup counterfactual second rows with references</x:v>
      </x:c>
      <x:c r="B70" t="n">
        <x:f>COUNTIFS('Evaluation Plan'!J2:J151,"Novel-object state reasoning",'Evaluation Plan'!E2:E151,"&lt;&gt;")</x:f>
        <x:v>10</x:v>
      </x:c>
      <x:c r="C70" t="n">
        <x:v>10</x:v>
      </x:c>
      <x:c r="D70" t="str">
        <x:f>IF(B70=C70,"PASS","FAIL")</x:f>
        <x:v>PASS</x:v>
      </x:c>
      <x:c r="E70" t="str">
        <x:v>The second row of each exact-scene pair references the first.</x:v>
      </x:c>
    </x:row>
    <x:row r="71" ht="15.75" customHeight="1">
      <x:c r="A71" t="str">
        <x:v>Black cup A targets</x:v>
      </x:c>
      <x:c r="B71" t="n">
        <x:f>COUNTIFS('Evaluation Plan'!J2:J151,"Novel-object state reasoning",'Evaluation Plan'!H2:H151,"black cup A")</x:f>
        <x:v>10</x:v>
      </x:c>
      <x:c r="C71" t="n">
        <x:v>10</x:v>
      </x:c>
      <x:c r="D71" t="str">
        <x:f>IF(B71=C71,"PASS","FAIL")</x:f>
        <x:v>PASS</x:v>
      </x:c>
      <x:c r="E71" t="str">
        <x:v>Target identity is balanced.</x:v>
      </x:c>
    </x:row>
    <x:row r="72" ht="15.75" customHeight="1">
      <x:c r="A72" t="str">
        <x:v>Black cup B targets</x:v>
      </x:c>
      <x:c r="B72" t="n">
        <x:f>COUNTIFS('Evaluation Plan'!J2:J151,"Novel-object state reasoning",'Evaluation Plan'!H2:H151,"black cup B")</x:f>
        <x:v>10</x:v>
      </x:c>
      <x:c r="C72" t="n">
        <x:v>10</x:v>
      </x:c>
      <x:c r="D72" t="str">
        <x:f>IF(B72=C72,"PASS","FAIL")</x:f>
        <x:v>PASS</x:v>
      </x:c>
      <x:c r="E72" t="str">
        <x:v>Target identity is balanced.</x:v>
      </x:c>
    </x:row>
    <x:row r="73" ht="15.75" customHeight="1">
      <x:c r="A73" t="str">
        <x:v>No-valid-target C/O rows containing any UD object</x:v>
      </x:c>
      <x:c r="B73" t="n">
        <x:f>COUNTIFS('Evaluation Plan'!J2:J151,"No valid target / no movement",'Evaluation Plan'!L2:L151,"C",'Evaluation Plan'!D2:D151,"*UD*")+COUNTIFS('Evaluation Plan'!J2:J151,"No valid target / no movement",'Evaluation Plan'!L2:L151,"O",'Evaluation Plan'!D2:D151,"*UD*")</x:f>
        <x:v>0</x:v>
      </x:c>
      <x:c r="C73" t="n">
        <x:v>0</x:v>
      </x:c>
      <x:c r="D73" t="str">
        <x:f>IF(B73=C73,"PASS","FAIL")</x:f>
        <x:v>PASS</x:v>
      </x:c>
      <x:c r="E73" t="str">
        <x:v>No-op C/O trials follow the same upright context as active C/O trials.</x:v>
      </x:c>
    </x:row>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D2:D32">
    <x:cfRule type="containsText" dxfId="1" priority="1" operator="containsText" text="PASS">
      <x:formula>NOT(ISERROR(SEARCH(("PASS"),(D2))))</x:formula>
    </x:cfRule>
  </x:conditionalFormatting>
  <x:conditionalFormatting sqref="D2:D32">
    <x:cfRule type="containsText" dxfId="2" priority="2" operator="containsText" text="CHECK">
      <x:formula>NOT(ISERROR(SEARCH(("CHECK"),(D2))))</x:formula>
    </x:cfRule>
  </x:conditionalFormatting>
  <x:conditionalFormatting sqref="D2:D64">
    <x:cfRule type="containsText" dxfId="3" priority="3" operator="containsText" text="PASS">
      <x:formula>NOT(ISERROR(SEARCH(("PASS"),(D2))))</x:formula>
    </x:cfRule>
  </x:conditionalFormatting>
  <x:conditionalFormatting sqref="D2:D64">
    <x:cfRule type="containsText" dxfId="4" priority="4" operator="containsText" text="FAIL">
      <x:formula>NOT(ISERROR(SEARCH(("FAIL"),(D2))))</x:formula>
    </x:cfRule>
  </x:conditionalFormatting>
  <x:pageMargins left="0.7" right="0.7" top="0.75" bottom="0.75" header="0.3" footer="0.3"/>
  <x:tableParts count="1">
    <x:tablePart xmlns:r="http://schemas.openxmlformats.org/officeDocument/2006/relationships" r:id="Rb9829d50ba4a48bb"/>
  </x:tableParts>
</x:worksheet>
</file>

<file path=xl/worksheets/sheet6.xml><?xml version="1.0" encoding="utf-8"?>
<x:worksheet xmlns:x="http://schemas.openxmlformats.org/spreadsheetml/2006/main">
  <x:sheetViews>
    <x:sheetView showGridLines="0" workbookViewId="0"/>
  </x:sheetViews>
  <x:sheetFormatPr defaultColWidth="12.630000114440918" defaultRowHeight="15"/>
  <x:cols>
    <x:col min="1" max="1" width="11.630000114440918" customWidth="1"/>
    <x:col min="2" max="2" width="6.630000114440918" customWidth="1"/>
    <x:col min="3" max="3" width="30" customWidth="1"/>
    <x:col min="4" max="4" width="48.880001068115234" customWidth="1"/>
    <x:col min="5" max="5" width="9.5" customWidth="1"/>
    <x:col min="6" max="6" width="12.75" customWidth="1"/>
    <x:col min="7" max="7" width="40" customWidth="1"/>
    <x:col min="8" max="8" width="25.5" customWidth="1"/>
    <x:col min="9" max="9" width="28.8799991607666" customWidth="1"/>
    <x:col min="10" max="10" width="23.8799991607666" customWidth="1"/>
    <x:col min="11" max="11" width="10.5" customWidth="1"/>
    <x:col min="12" max="12" width="8.880000114440918" customWidth="1"/>
    <x:col min="13" max="13" width="20" customWidth="1"/>
    <x:col min="14" max="14" width="8.380000114440918" customWidth="1"/>
    <x:col min="15" max="15" width="10" customWidth="1"/>
    <x:col min="16" max="16" width="8.880000114440918" customWidth="1"/>
    <x:col min="17" max="17" width="30.5" customWidth="1"/>
    <x:col min="18" max="18" width="9.5" customWidth="1"/>
    <x:col min="19" max="19" width="27.75" customWidth="1"/>
    <x:col min="20" max="20" width="36.630001068115234" customWidth="1"/>
    <x:col min="21" max="21" width="20.5" customWidth="1"/>
    <x:col min="22" max="26" width="8.63000011444091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row>
    <x:row r="2" ht="51" customHeight="1">
      <x:c r="A2" s="3" t="s">
        <x:v>178</x:v>
      </x:c>
      <x:c r="B2" s="4" t="n">
        <x:f>'Evaluation Plan'!B2</x:f>
        <x:v>0</x:v>
      </x:c>
      <x:c r="C2" s="5" t="str">
        <x:f>'Evaluation Plan'!C2</x:f>
        <x:v>Put the open white cup in the bowl.</x:v>
      </x:c>
      <x:c r="D2" s="5" t="str">
        <x:f>'Evaluation Plan'!D2</x:f>
        <x:v>white cup A (O, RU); white cup B (C, RU); glass spice container A (O, RU); yellow-white striped cup B (O, RU)</x:v>
      </x:c>
      <x:c r="E2" s="4" t="n">
        <x:f>'Evaluation Plan'!E2</x:f>
        <x:v>0</x:v>
      </x:c>
      <x:c r="F2" s="4" t="str">
        <x:f>'Evaluation Plan'!F2</x:f>
        <x:v>2</x:v>
      </x:c>
      <x:c r="G2" s="5" t="str">
        <x:f>'Evaluation Plan'!G2</x:f>
        <x:v>Exact manifest episode: trained state-object cell, prompt, same-category candidate structure, and object membership match; physical layout is manually recreated. All objects are upright, matching the context of every explicit open/closed training demonstration.</x:v>
      </x:c>
      <x:c r="H2" s="5" t="str">
        <x:f>'Evaluation Plan'!H2</x:f>
        <x:v>white cup A</x:v>
      </x:c>
      <x:c r="I2" s="5"/>
      <x:c r="J2" s="7" t="str">
        <x:f>'Evaluation Plan'!J2</x:f>
        <x:v>In-distribution concept baseline</x:v>
      </x:c>
      <x:c r="K2" s="4" t="str">
        <x:f>'Evaluation Plan'!K2</x:f>
        <x:v>SR-ID01</x:v>
      </x:c>
      <x:c r="L2" s="4" t="str">
        <x:f>'Evaluation Plan'!L2</x:f>
        <x:v>O</x:v>
      </x:c>
      <x:c r="M2" s="4" t="str">
        <x:f>'Evaluation Plan'!M2</x:f>
        <x:v>white cup</x:v>
      </x:c>
      <x:c r="N2" s="4" t="n">
        <x:f>'Evaluation Plan'!N2</x:f>
        <x:v>4</x:v>
      </x:c>
      <x:c r="O2" s="4" t="n">
        <x:f>'Evaluation Plan'!O2</x:f>
        <x:v>1</x:v>
      </x:c>
      <x:c r="P2" s="4" t="str">
        <x:f>'Evaluation Plan'!P2</x:f>
        <x:v>Empty</x:v>
      </x:c>
      <x:c r="Q2" s="5" t="str">
        <x:f>'Evaluation Plan'!Q2</x:f>
        <x:v>Exact training-supported state-object baseline</x:v>
      </x:c>
      <x:c r="R2" s="4" t="n">
        <x:f>'Evaluation Plan'!R2</x:f>
        <x:v>1</x:v>
      </x:c>
      <x:c r="S2" s="5" t="str">
        <x:f>'Evaluation Plan'!S2</x:f>
        <x:v>Recreate the listed manifest scene with the bowl empty.</x:v>
      </x:c>
      <x:c r="T2" s="5" t="str">
        <x:f>'Evaluation Plan'!T2</x:f>
        <x:v>The queried state-object combination and same-category discrimination structure are explicitly represented in training. The orthogonal orientation axis is fixed: every object is RU.</x:v>
      </x:c>
      <x:c r="U2" s="5" t="n">
        <x:f>'Evaluation Plan'!U2</x:f>
        <x:v>0</x:v>
      </x:c>
    </x:row>
    <x:row r="3" ht="51" customHeight="1">
      <x:c r="A3" s="9" t="s">
        <x:v>178</x:v>
      </x:c>
      <x:c r="B3" s="10" t="n">
        <x:f>'Evaluation Plan'!B3</x:f>
        <x:v>1</x:v>
      </x:c>
      <x:c r="C3" s="11" t="str">
        <x:f>'Evaluation Plan'!C3</x:f>
        <x:v>Put the upright white cup in the bowl.</x:v>
      </x:c>
      <x:c r="D3" s="11" t="str">
        <x:f>'Evaluation Plan'!D3</x:f>
        <x:v>white cup A (O, RU); white cup B (O, UD)</x:v>
      </x:c>
      <x:c r="E3" s="10" t="n">
        <x:f>'Evaluation Plan'!E3</x:f>
        <x:v>0</x:v>
      </x:c>
      <x:c r="F3" s="10" t="str">
        <x:f>'Evaluation Plan'!F3</x:f>
        <x:v>26</x:v>
      </x:c>
      <x:c r="G3" s="11" t="str">
        <x:f>'Evaluation Plan'!G3</x:f>
        <x:v>Exact manifest episode: trained state-object cell, prompt, same-category candidate structure, and object membership match; physical layout is manually recreated.</x:v>
      </x:c>
      <x:c r="H3" s="11" t="str">
        <x:f>'Evaluation Plan'!H3</x:f>
        <x:v>white cup A</x:v>
      </x:c>
      <x:c r="I3" s="11"/>
      <x:c r="J3" s="7" t="str">
        <x:f>'Evaluation Plan'!J3</x:f>
        <x:v>In-distribution concept baseline</x:v>
      </x:c>
      <x:c r="K3" s="10" t="str">
        <x:f>'Evaluation Plan'!K3</x:f>
        <x:v>SR-ID02</x:v>
      </x:c>
      <x:c r="L3" s="10" t="str">
        <x:f>'Evaluation Plan'!L3</x:f>
        <x:v>RU</x:v>
      </x:c>
      <x:c r="M3" s="10" t="str">
        <x:f>'Evaluation Plan'!M3</x:f>
        <x:v>white cup</x:v>
      </x:c>
      <x:c r="N3" s="10" t="n">
        <x:f>'Evaluation Plan'!N3</x:f>
        <x:v>2</x:v>
      </x:c>
      <x:c r="O3" s="10" t="n">
        <x:f>'Evaluation Plan'!O3</x:f>
        <x:v>1</x:v>
      </x:c>
      <x:c r="P3" s="10" t="str">
        <x:f>'Evaluation Plan'!P3</x:f>
        <x:v>Empty</x:v>
      </x:c>
      <x:c r="Q3" s="11" t="str">
        <x:f>'Evaluation Plan'!Q3</x:f>
        <x:v>Exact training-supported state-object baseline</x:v>
      </x:c>
      <x:c r="R3" s="10" t="n">
        <x:f>'Evaluation Plan'!R3</x:f>
        <x:v>1</x:v>
      </x:c>
      <x:c r="S3" s="11" t="str">
        <x:f>'Evaluation Plan'!S3</x:f>
        <x:v>Recreate the listed manifest scene with the bowl empty.</x:v>
      </x:c>
      <x:c r="T3" s="11" t="str">
        <x:f>'Evaluation Plan'!T3</x:f>
        <x:v>The queried state-object combination and same-category discrimination structure are explicitly represented in training. The same-category candidates share the orthogonal C/O state (O).</x:v>
      </x:c>
      <x:c r="U3" s="11" t="n">
        <x:f>'Evaluation Plan'!U3</x:f>
        <x:v>0</x:v>
      </x:c>
    </x:row>
    <x:row r="4" ht="51" customHeight="1">
      <x:c r="A4" s="3" t="s">
        <x:v>178</x:v>
      </x:c>
      <x:c r="B4" s="4" t="n">
        <x:f>'Evaluation Plan'!B4</x:f>
        <x:v>2</x:v>
      </x:c>
      <x:c r="C4" s="5" t="str">
        <x:f>'Evaluation Plan'!C4</x:f>
        <x:v>Move the closed yellow-white striped cup into the bowl.</x:v>
      </x:c>
      <x:c r="D4" s="5" t="str">
        <x:f>'Evaluation Plan'!D4</x:f>
        <x:v>yellow-white striped cup B (C, RU); yellow-white striped cup A (O, RU); white cup A (C, RU)</x:v>
      </x:c>
      <x:c r="E4" s="4" t="n">
        <x:f>'Evaluation Plan'!E4</x:f>
        <x:v>0</x:v>
      </x:c>
      <x:c r="F4" s="4" t="str">
        <x:f>'Evaluation Plan'!F4</x:f>
        <x:v>51</x:v>
      </x:c>
      <x:c r="G4" s="5" t="str">
        <x:f>'Evaluation Plan'!G4</x:f>
        <x:v>Exact manifest episode: trained state-object cell, prompt, same-category candidate structure, and object membership match; physical layout is manually recreated. All objects are upright, matching the context of every explicit open/closed training demonstration.</x:v>
      </x:c>
      <x:c r="H4" s="5" t="str">
        <x:f>'Evaluation Plan'!H4</x:f>
        <x:v>yellow-white striped cup B</x:v>
      </x:c>
      <x:c r="I4" s="5"/>
      <x:c r="J4" s="7" t="str">
        <x:f>'Evaluation Plan'!J4</x:f>
        <x:v>In-distribution concept baseline</x:v>
      </x:c>
      <x:c r="K4" s="4" t="str">
        <x:f>'Evaluation Plan'!K4</x:f>
        <x:v>SR-ID03</x:v>
      </x:c>
      <x:c r="L4" s="4" t="str">
        <x:f>'Evaluation Plan'!L4</x:f>
        <x:v>C</x:v>
      </x:c>
      <x:c r="M4" s="4" t="str">
        <x:f>'Evaluation Plan'!M4</x:f>
        <x:v>yellow-white striped cup</x:v>
      </x:c>
      <x:c r="N4" s="4" t="n">
        <x:f>'Evaluation Plan'!N4</x:f>
        <x:v>3</x:v>
      </x:c>
      <x:c r="O4" s="4" t="n">
        <x:f>'Evaluation Plan'!O4</x:f>
        <x:v>1</x:v>
      </x:c>
      <x:c r="P4" s="4" t="str">
        <x:f>'Evaluation Plan'!P4</x:f>
        <x:v>Empty</x:v>
      </x:c>
      <x:c r="Q4" s="5" t="str">
        <x:f>'Evaluation Plan'!Q4</x:f>
        <x:v>Exact training-supported state-object baseline</x:v>
      </x:c>
      <x:c r="R4" s="4" t="n">
        <x:f>'Evaluation Plan'!R4</x:f>
        <x:v>1</x:v>
      </x:c>
      <x:c r="S4" s="5" t="str">
        <x:f>'Evaluation Plan'!S4</x:f>
        <x:v>Recreate the listed manifest scene with the bowl empty.</x:v>
      </x:c>
      <x:c r="T4" s="5" t="str">
        <x:f>'Evaluation Plan'!T4</x:f>
        <x:v>The queried state-object combination and same-category discrimination structure are explicitly represented in training. The orthogonal orientation axis is fixed: every object is RU.</x:v>
      </x:c>
      <x:c r="U4" s="5" t="n">
        <x:f>'Evaluation Plan'!U4</x:f>
        <x:v>0</x:v>
      </x:c>
    </x:row>
    <x:row r="5" ht="51" customHeight="1">
      <x:c r="A5" s="9" t="s">
        <x:v>178</x:v>
      </x:c>
      <x:c r="B5" s="10" t="n">
        <x:f>'Evaluation Plan'!B5</x:f>
        <x:v>3</x:v>
      </x:c>
      <x:c r="C5" s="11" t="str">
        <x:f>'Evaluation Plan'!C5</x:f>
        <x:v>Move the upside-down yellow-white striped cup into the bowl.</x:v>
      </x:c>
      <x:c r="D5" s="11" t="str">
        <x:f>'Evaluation Plan'!D5</x:f>
        <x:v>yellow-white striped cup B (O, UD); yellow-white striped cup A (O, RU); brown cup B (C, RU); glass spice container A (O, RU)</x:v>
      </x:c>
      <x:c r="E5" s="10" t="n">
        <x:f>'Evaluation Plan'!E5</x:f>
        <x:v>0</x:v>
      </x:c>
      <x:c r="F5" s="10" t="str">
        <x:f>'Evaluation Plan'!F5</x:f>
        <x:v>78</x:v>
      </x:c>
      <x:c r="G5" s="11" t="str">
        <x:f>'Evaluation Plan'!G5</x:f>
        <x:v>Exact manifest episode: trained state-object cell, prompt, same-category candidate structure, and object membership match; physical layout is manually recreated.</x:v>
      </x:c>
      <x:c r="H5" s="11" t="str">
        <x:f>'Evaluation Plan'!H5</x:f>
        <x:v>yellow-white striped cup B</x:v>
      </x:c>
      <x:c r="I5" s="11"/>
      <x:c r="J5" s="7" t="str">
        <x:f>'Evaluation Plan'!J5</x:f>
        <x:v>In-distribution concept baseline</x:v>
      </x:c>
      <x:c r="K5" s="10" t="str">
        <x:f>'Evaluation Plan'!K5</x:f>
        <x:v>SR-ID04</x:v>
      </x:c>
      <x:c r="L5" s="10" t="str">
        <x:f>'Evaluation Plan'!L5</x:f>
        <x:v>UD</x:v>
      </x:c>
      <x:c r="M5" s="10" t="str">
        <x:f>'Evaluation Plan'!M5</x:f>
        <x:v>yellow-white striped cup</x:v>
      </x:c>
      <x:c r="N5" s="10" t="n">
        <x:f>'Evaluation Plan'!N5</x:f>
        <x:v>4</x:v>
      </x:c>
      <x:c r="O5" s="10" t="n">
        <x:f>'Evaluation Plan'!O5</x:f>
        <x:v>1</x:v>
      </x:c>
      <x:c r="P5" s="10" t="str">
        <x:f>'Evaluation Plan'!P5</x:f>
        <x:v>Empty</x:v>
      </x:c>
      <x:c r="Q5" s="11" t="str">
        <x:f>'Evaluation Plan'!Q5</x:f>
        <x:v>Exact training-supported state-object baseline</x:v>
      </x:c>
      <x:c r="R5" s="10" t="n">
        <x:f>'Evaluation Plan'!R5</x:f>
        <x:v>1</x:v>
      </x:c>
      <x:c r="S5" s="11" t="str">
        <x:f>'Evaluation Plan'!S5</x:f>
        <x:v>Recreate the listed manifest scene with the bowl empty.</x:v>
      </x:c>
      <x:c r="T5" s="11" t="str">
        <x:f>'Evaluation Plan'!T5</x:f>
        <x:v>The queried state-object combination and same-category discrimination structure are explicitly represented in training. The same-category candidates share the orthogonal C/O state (O).</x:v>
      </x:c>
      <x:c r="U5" s="11" t="n">
        <x:f>'Evaluation Plan'!U5</x:f>
        <x:v>0</x:v>
      </x:c>
    </x:row>
    <x:row r="6" ht="51" customHeight="1">
      <x:c r="A6" s="3" t="s">
        <x:v>178</x:v>
      </x:c>
      <x:c r="B6" s="4" t="n">
        <x:f>'Evaluation Plan'!B6</x:f>
        <x:v>4</x:v>
      </x:c>
      <x:c r="C6" s="5" t="str">
        <x:f>'Evaluation Plan'!C6</x:f>
        <x:v>Put the open brown cup in the bowl.</x:v>
      </x:c>
      <x:c r="D6" s="5" t="str">
        <x:f>'Evaluation Plan'!D6</x:f>
        <x:v>brown cup B (O, RU); brown cup A (C, RU); glass spice container A (O, RU)</x:v>
      </x:c>
      <x:c r="E6" s="4" t="n">
        <x:f>'Evaluation Plan'!E6</x:f>
        <x:v>0</x:v>
      </x:c>
      <x:c r="F6" s="4" t="str">
        <x:f>'Evaluation Plan'!F6</x:f>
        <x:v>104</x:v>
      </x:c>
      <x:c r="G6" s="5" t="str">
        <x:f>'Evaluation Plan'!G6</x:f>
        <x:v>Exact manifest episode: trained state-object cell, prompt, same-category candidate structure, and object membership match; physical layout is manually recreated. All objects are upright, matching the context of every explicit open/closed training demonstration.</x:v>
      </x:c>
      <x:c r="H6" s="5" t="str">
        <x:f>'Evaluation Plan'!H6</x:f>
        <x:v>brown cup B</x:v>
      </x:c>
      <x:c r="I6" s="5"/>
      <x:c r="J6" s="7" t="str">
        <x:f>'Evaluation Plan'!J6</x:f>
        <x:v>In-distribution concept baseline</x:v>
      </x:c>
      <x:c r="K6" s="4" t="str">
        <x:f>'Evaluation Plan'!K6</x:f>
        <x:v>SR-ID05</x:v>
      </x:c>
      <x:c r="L6" s="4" t="str">
        <x:f>'Evaluation Plan'!L6</x:f>
        <x:v>O</x:v>
      </x:c>
      <x:c r="M6" s="4" t="str">
        <x:f>'Evaluation Plan'!M6</x:f>
        <x:v>brown cup</x:v>
      </x:c>
      <x:c r="N6" s="4" t="n">
        <x:f>'Evaluation Plan'!N6</x:f>
        <x:v>3</x:v>
      </x:c>
      <x:c r="O6" s="4" t="n">
        <x:f>'Evaluation Plan'!O6</x:f>
        <x:v>1</x:v>
      </x:c>
      <x:c r="P6" s="4" t="str">
        <x:f>'Evaluation Plan'!P6</x:f>
        <x:v>Empty</x:v>
      </x:c>
      <x:c r="Q6" s="5" t="str">
        <x:f>'Evaluation Plan'!Q6</x:f>
        <x:v>Exact training-supported state-object baseline</x:v>
      </x:c>
      <x:c r="R6" s="4" t="n">
        <x:f>'Evaluation Plan'!R6</x:f>
        <x:v>1</x:v>
      </x:c>
      <x:c r="S6" s="5" t="str">
        <x:f>'Evaluation Plan'!S6</x:f>
        <x:v>Recreate the listed manifest scene with the bowl empty.</x:v>
      </x:c>
      <x:c r="T6" s="5" t="str">
        <x:f>'Evaluation Plan'!T6</x:f>
        <x:v>The queried state-object combination and same-category discrimination structure are explicitly represented in training. The orthogonal orientation axis is fixed: every object is RU.</x:v>
      </x:c>
      <x:c r="U6" s="5" t="n">
        <x:f>'Evaluation Plan'!U6</x:f>
        <x:v>0</x:v>
      </x:c>
    </x:row>
    <x:row r="7" ht="51" customHeight="1">
      <x:c r="A7" s="9" t="s">
        <x:v>179</x:v>
      </x:c>
      <x:c r="B7" s="10" t="n">
        <x:f>'Evaluation Plan'!B7</x:f>
        <x:v>5</x:v>
      </x:c>
      <x:c r="C7" s="11" t="str">
        <x:f>'Evaluation Plan'!C7</x:f>
        <x:v>Put the upside-down brown cup in the bowl.</x:v>
      </x:c>
      <x:c r="D7" s="11" t="str">
        <x:f>'Evaluation Plan'!D7</x:f>
        <x:v>brown cup A (O, UD); brown cup B (O, RU)</x:v>
      </x:c>
      <x:c r="E7" s="10" t="n">
        <x:f>'Evaluation Plan'!E7</x:f>
        <x:v>0</x:v>
      </x:c>
      <x:c r="F7" s="10" t="str">
        <x:f>'Evaluation Plan'!F7</x:f>
        <x:v>125</x:v>
      </x:c>
      <x:c r="G7" s="11" t="str">
        <x:f>'Evaluation Plan'!G7</x:f>
        <x:v>Exact manifest episode: trained state-object cell, prompt, same-category candidate structure, and object membership match; physical layout is manually recreated.</x:v>
      </x:c>
      <x:c r="H7" s="11" t="str">
        <x:f>'Evaluation Plan'!H7</x:f>
        <x:v>brown cup A</x:v>
      </x:c>
      <x:c r="I7" s="11"/>
      <x:c r="J7" s="7" t="str">
        <x:f>'Evaluation Plan'!J7</x:f>
        <x:v>In-distribution concept baseline</x:v>
      </x:c>
      <x:c r="K7" s="10" t="str">
        <x:f>'Evaluation Plan'!K7</x:f>
        <x:v>SR-ID06</x:v>
      </x:c>
      <x:c r="L7" s="10" t="str">
        <x:f>'Evaluation Plan'!L7</x:f>
        <x:v>UD</x:v>
      </x:c>
      <x:c r="M7" s="10" t="str">
        <x:f>'Evaluation Plan'!M7</x:f>
        <x:v>brown cup</x:v>
      </x:c>
      <x:c r="N7" s="10" t="n">
        <x:f>'Evaluation Plan'!N7</x:f>
        <x:v>2</x:v>
      </x:c>
      <x:c r="O7" s="10" t="n">
        <x:f>'Evaluation Plan'!O7</x:f>
        <x:v>1</x:v>
      </x:c>
      <x:c r="P7" s="10" t="str">
        <x:f>'Evaluation Plan'!P7</x:f>
        <x:v>Empty</x:v>
      </x:c>
      <x:c r="Q7" s="11" t="str">
        <x:f>'Evaluation Plan'!Q7</x:f>
        <x:v>Exact training-supported state-object baseline</x:v>
      </x:c>
      <x:c r="R7" s="10" t="n">
        <x:f>'Evaluation Plan'!R7</x:f>
        <x:v>1</x:v>
      </x:c>
      <x:c r="S7" s="11" t="str">
        <x:f>'Evaluation Plan'!S7</x:f>
        <x:v>Recreate the listed manifest scene with the bowl empty.</x:v>
      </x:c>
      <x:c r="T7" s="11" t="str">
        <x:f>'Evaluation Plan'!T7</x:f>
        <x:v>The queried state-object combination and same-category discrimination structure are explicitly represented in training. The same-category candidates share the orthogonal C/O state (O).</x:v>
      </x:c>
      <x:c r="U7" s="11" t="n">
        <x:f>'Evaluation Plan'!U7</x:f>
        <x:v>0</x:v>
      </x:c>
    </x:row>
    <x:row r="8" ht="51" customHeight="1">
      <x:c r="A8" s="3" t="s">
        <x:v>179</x:v>
      </x:c>
      <x:c r="B8" s="4" t="n">
        <x:f>'Evaluation Plan'!B8</x:f>
        <x:v>6</x:v>
      </x:c>
      <x:c r="C8" s="5" t="str">
        <x:f>'Evaluation Plan'!C8</x:f>
        <x:v>Put the upright brown cup in the bowl.</x:v>
      </x:c>
      <x:c r="D8" s="5" t="str">
        <x:f>'Evaluation Plan'!D8</x:f>
        <x:v>brown cup B (C, RU); brown cup A (C, UD)</x:v>
      </x:c>
      <x:c r="E8" s="4" t="n">
        <x:f>'Evaluation Plan'!E8</x:f>
        <x:v>0</x:v>
      </x:c>
      <x:c r="F8" s="4" t="str">
        <x:f>'Evaluation Plan'!F8</x:f>
        <x:v>134</x:v>
      </x:c>
      <x:c r="G8" s="5" t="str">
        <x:f>'Evaluation Plan'!G8</x:f>
        <x:v>Exact manifest episode: trained state-object cell, prompt, same-category candidate structure, and object membership match; physical layout is manually recreated.</x:v>
      </x:c>
      <x:c r="H8" s="5" t="str">
        <x:f>'Evaluation Plan'!H8</x:f>
        <x:v>brown cup B</x:v>
      </x:c>
      <x:c r="I8" s="5"/>
      <x:c r="J8" s="7" t="str">
        <x:f>'Evaluation Plan'!J8</x:f>
        <x:v>In-distribution concept baseline</x:v>
      </x:c>
      <x:c r="K8" s="4" t="str">
        <x:f>'Evaluation Plan'!K8</x:f>
        <x:v>SR-ID07</x:v>
      </x:c>
      <x:c r="L8" s="4" t="str">
        <x:f>'Evaluation Plan'!L8</x:f>
        <x:v>RU</x:v>
      </x:c>
      <x:c r="M8" s="4" t="str">
        <x:f>'Evaluation Plan'!M8</x:f>
        <x:v>brown cup</x:v>
      </x:c>
      <x:c r="N8" s="4" t="n">
        <x:f>'Evaluation Plan'!N8</x:f>
        <x:v>2</x:v>
      </x:c>
      <x:c r="O8" s="4" t="n">
        <x:f>'Evaluation Plan'!O8</x:f>
        <x:v>1</x:v>
      </x:c>
      <x:c r="P8" s="4" t="str">
        <x:f>'Evaluation Plan'!P8</x:f>
        <x:v>Empty</x:v>
      </x:c>
      <x:c r="Q8" s="5" t="str">
        <x:f>'Evaluation Plan'!Q8</x:f>
        <x:v>Exact training-supported state-object baseline</x:v>
      </x:c>
      <x:c r="R8" s="4" t="n">
        <x:f>'Evaluation Plan'!R8</x:f>
        <x:v>1</x:v>
      </x:c>
      <x:c r="S8" s="5" t="str">
        <x:f>'Evaluation Plan'!S8</x:f>
        <x:v>Recreate the listed manifest scene with the bowl empty.</x:v>
      </x:c>
      <x:c r="T8" s="5" t="str">
        <x:f>'Evaluation Plan'!T8</x:f>
        <x:v>The queried state-object combination and same-category discrimination structure are explicitly represented in training. The same-category candidates share the orthogonal C/O state (C).</x:v>
      </x:c>
      <x:c r="U8" s="5" t="n">
        <x:f>'Evaluation Plan'!U8</x:f>
        <x:v>0</x:v>
      </x:c>
    </x:row>
    <x:row r="9" ht="51" customHeight="1">
      <x:c r="A9" s="9" t="s">
        <x:v>179</x:v>
      </x:c>
      <x:c r="B9" s="10" t="n">
        <x:f>'Evaluation Plan'!B9</x:f>
        <x:v>7</x:v>
      </x:c>
      <x:c r="C9" s="11" t="str">
        <x:f>'Evaluation Plan'!C9</x:f>
        <x:v>Place the closed glass spice container in the bowl.</x:v>
      </x:c>
      <x:c r="D9" s="11" t="str">
        <x:f>'Evaluation Plan'!D9</x:f>
        <x:v>glass spice container A (C, RU); glass spice container B (O, RU); yellow-white striped cup A (C, RU)</x:v>
      </x:c>
      <x:c r="E9" s="10" t="n">
        <x:f>'Evaluation Plan'!E9</x:f>
        <x:v>0</x:v>
      </x:c>
      <x:c r="F9" s="10" t="str">
        <x:f>'Evaluation Plan'!F9</x:f>
        <x:v>151</x:v>
      </x:c>
      <x:c r="G9" s="11" t="str">
        <x:f>'Evaluation Plan'!G9</x:f>
        <x:v>Exact manifest episode: trained state-object cell, prompt, same-category candidate structure, and object membership match; physical layout is manually recreated. All objects are upright, matching the context of every explicit open/closed training demonstration.</x:v>
      </x:c>
      <x:c r="H9" s="11" t="str">
        <x:f>'Evaluation Plan'!H9</x:f>
        <x:v>glass spice container A</x:v>
      </x:c>
      <x:c r="I9" s="11"/>
      <x:c r="J9" s="7" t="str">
        <x:f>'Evaluation Plan'!J9</x:f>
        <x:v>In-distribution concept baseline</x:v>
      </x:c>
      <x:c r="K9" s="10" t="str">
        <x:f>'Evaluation Plan'!K9</x:f>
        <x:v>SR-ID08</x:v>
      </x:c>
      <x:c r="L9" s="10" t="str">
        <x:f>'Evaluation Plan'!L9</x:f>
        <x:v>C</x:v>
      </x:c>
      <x:c r="M9" s="10" t="str">
        <x:f>'Evaluation Plan'!M9</x:f>
        <x:v>glass spice container</x:v>
      </x:c>
      <x:c r="N9" s="10" t="n">
        <x:f>'Evaluation Plan'!N9</x:f>
        <x:v>3</x:v>
      </x:c>
      <x:c r="O9" s="10" t="n">
        <x:f>'Evaluation Plan'!O9</x:f>
        <x:v>1</x:v>
      </x:c>
      <x:c r="P9" s="10" t="str">
        <x:f>'Evaluation Plan'!P9</x:f>
        <x:v>Empty</x:v>
      </x:c>
      <x:c r="Q9" s="11" t="str">
        <x:f>'Evaluation Plan'!Q9</x:f>
        <x:v>Exact training-supported state-object baseline</x:v>
      </x:c>
      <x:c r="R9" s="10" t="n">
        <x:f>'Evaluation Plan'!R9</x:f>
        <x:v>1</x:v>
      </x:c>
      <x:c r="S9" s="11" t="str">
        <x:f>'Evaluation Plan'!S9</x:f>
        <x:v>Recreate the listed manifest scene with the bowl empty.</x:v>
      </x:c>
      <x:c r="T9" s="11" t="str">
        <x:f>'Evaluation Plan'!T9</x:f>
        <x:v>The queried state-object combination and same-category discrimination structure are explicitly represented in training. The orthogonal orientation axis is fixed: every object is RU.</x:v>
      </x:c>
      <x:c r="U9" s="11" t="n">
        <x:f>'Evaluation Plan'!U9</x:f>
        <x:v>0</x:v>
      </x:c>
    </x:row>
    <x:row r="10" ht="51" customHeight="1">
      <x:c r="A10" s="3" t="s">
        <x:v>178</x:v>
      </x:c>
      <x:c r="B10" s="4" t="n">
        <x:f>'Evaluation Plan'!B10</x:f>
        <x:v>8</x:v>
      </x:c>
      <x:c r="C10" s="5" t="str">
        <x:f>'Evaluation Plan'!C10</x:f>
        <x:v>Move the open glass spice container into the bowl.</x:v>
      </x:c>
      <x:c r="D10" s="5" t="str">
        <x:f>'Evaluation Plan'!D10</x:f>
        <x:v>glass spice container B (O, RU); glass spice container A (C, RU); white cup B (O, RU)</x:v>
      </x:c>
      <x:c r="E10" s="4" t="n">
        <x:f>'Evaluation Plan'!E10</x:f>
        <x:v>0</x:v>
      </x:c>
      <x:c r="F10" s="4" t="str">
        <x:f>'Evaluation Plan'!F10</x:f>
        <x:v>156</x:v>
      </x:c>
      <x:c r="G10" s="5" t="str">
        <x:f>'Evaluation Plan'!G10</x:f>
        <x:v>Exact manifest episode: trained state-object cell, prompt, same-category candidate structure, and object membership match; physical layout is manually recreated. All objects are upright, matching the context of every explicit open/closed training demonstration.</x:v>
      </x:c>
      <x:c r="H10" s="5" t="str">
        <x:f>'Evaluation Plan'!H10</x:f>
        <x:v>glass spice container B</x:v>
      </x:c>
      <x:c r="I10" s="5"/>
      <x:c r="J10" s="7" t="str">
        <x:f>'Evaluation Plan'!J10</x:f>
        <x:v>In-distribution concept baseline</x:v>
      </x:c>
      <x:c r="K10" s="4" t="str">
        <x:f>'Evaluation Plan'!K10</x:f>
        <x:v>SR-ID09</x:v>
      </x:c>
      <x:c r="L10" s="4" t="str">
        <x:f>'Evaluation Plan'!L10</x:f>
        <x:v>O</x:v>
      </x:c>
      <x:c r="M10" s="4" t="str">
        <x:f>'Evaluation Plan'!M10</x:f>
        <x:v>glass spice container</x:v>
      </x:c>
      <x:c r="N10" s="4" t="n">
        <x:f>'Evaluation Plan'!N10</x:f>
        <x:v>3</x:v>
      </x:c>
      <x:c r="O10" s="4" t="n">
        <x:f>'Evaluation Plan'!O10</x:f>
        <x:v>1</x:v>
      </x:c>
      <x:c r="P10" s="4" t="str">
        <x:f>'Evaluation Plan'!P10</x:f>
        <x:v>Empty</x:v>
      </x:c>
      <x:c r="Q10" s="5" t="str">
        <x:f>'Evaluation Plan'!Q10</x:f>
        <x:v>Exact training-supported state-object baseline</x:v>
      </x:c>
      <x:c r="R10" s="4" t="n">
        <x:f>'Evaluation Plan'!R10</x:f>
        <x:v>1</x:v>
      </x:c>
      <x:c r="S10" s="5" t="str">
        <x:f>'Evaluation Plan'!S10</x:f>
        <x:v>Recreate the listed manifest scene with the bowl empty.</x:v>
      </x:c>
      <x:c r="T10" s="5" t="str">
        <x:f>'Evaluation Plan'!T10</x:f>
        <x:v>The queried state-object combination and same-category discrimination structure are explicitly represented in training. The orthogonal orientation axis is fixed: every object is RU.</x:v>
      </x:c>
      <x:c r="U10" s="5" t="n">
        <x:f>'Evaluation Plan'!U10</x:f>
        <x:v>0</x:v>
      </x:c>
    </x:row>
    <x:row r="11" ht="51" customHeight="1">
      <x:c r="A11" s="9" t="s">
        <x:v>178</x:v>
      </x:c>
      <x:c r="B11" s="10" t="n">
        <x:f>'Evaluation Plan'!B11</x:f>
        <x:v>9</x:v>
      </x:c>
      <x:c r="C11" s="11" t="str">
        <x:f>'Evaluation Plan'!C11</x:f>
        <x:v>Put the upside-down glass spice container in the bowl.</x:v>
      </x:c>
      <x:c r="D11" s="11" t="str">
        <x:f>'Evaluation Plan'!D11</x:f>
        <x:v>glass spice container B (C, UD); glass spice container A (C, RU)</x:v>
      </x:c>
      <x:c r="E11" s="10" t="n">
        <x:f>'Evaluation Plan'!E11</x:f>
        <x:v>0</x:v>
      </x:c>
      <x:c r="F11" s="10" t="str">
        <x:f>'Evaluation Plan'!F11</x:f>
        <x:v>176</x:v>
      </x:c>
      <x:c r="G11" s="11" t="str">
        <x:f>'Evaluation Plan'!G11</x:f>
        <x:v>Exact manifest episode: trained state-object cell, prompt, same-category candidate structure, and object membership match; physical layout is manually recreated.</x:v>
      </x:c>
      <x:c r="H11" s="11" t="str">
        <x:f>'Evaluation Plan'!H11</x:f>
        <x:v>glass spice container B</x:v>
      </x:c>
      <x:c r="I11" s="11"/>
      <x:c r="J11" s="7" t="str">
        <x:f>'Evaluation Plan'!J11</x:f>
        <x:v>In-distribution concept baseline</x:v>
      </x:c>
      <x:c r="K11" s="10" t="str">
        <x:f>'Evaluation Plan'!K11</x:f>
        <x:v>SR-ID10</x:v>
      </x:c>
      <x:c r="L11" s="10" t="str">
        <x:f>'Evaluation Plan'!L11</x:f>
        <x:v>UD</x:v>
      </x:c>
      <x:c r="M11" s="10" t="str">
        <x:f>'Evaluation Plan'!M11</x:f>
        <x:v>glass spice container</x:v>
      </x:c>
      <x:c r="N11" s="10" t="n">
        <x:f>'Evaluation Plan'!N11</x:f>
        <x:v>2</x:v>
      </x:c>
      <x:c r="O11" s="10" t="n">
        <x:f>'Evaluation Plan'!O11</x:f>
        <x:v>1</x:v>
      </x:c>
      <x:c r="P11" s="10" t="str">
        <x:f>'Evaluation Plan'!P11</x:f>
        <x:v>Empty</x:v>
      </x:c>
      <x:c r="Q11" s="11" t="str">
        <x:f>'Evaluation Plan'!Q11</x:f>
        <x:v>Exact training-supported state-object baseline</x:v>
      </x:c>
      <x:c r="R11" s="10" t="n">
        <x:f>'Evaluation Plan'!R11</x:f>
        <x:v>1</x:v>
      </x:c>
      <x:c r="S11" s="11" t="str">
        <x:f>'Evaluation Plan'!S11</x:f>
        <x:v>Recreate the listed manifest scene with the bowl empty.</x:v>
      </x:c>
      <x:c r="T11" s="11" t="str">
        <x:f>'Evaluation Plan'!T11</x:f>
        <x:v>The queried state-object combination and same-category discrimination structure are explicitly represented in training. The same-category candidates share the orthogonal C/O state (C).</x:v>
      </x:c>
      <x:c r="U11" s="11" t="n">
        <x:f>'Evaluation Plan'!U11</x:f>
        <x:v>0</x:v>
      </x:c>
    </x:row>
    <x:row r="12" ht="51" customHeight="1">
      <x:c r="A12" s="3" t="s">
        <x:v>178</x:v>
      </x:c>
      <x:c r="B12" s="4" t="n">
        <x:f>'Evaluation Plan'!B12</x:f>
        <x:v>10</x:v>
      </x:c>
      <x:c r="C12" s="5" t="str">
        <x:f>'Evaluation Plan'!C12</x:f>
        <x:v>Move the closed white cup into the bowl.</x:v>
      </x:c>
      <x:c r="D12" s="5" t="str">
        <x:f>'Evaluation Plan'!D12</x:f>
        <x:v>white cup B (C, RU); white cup A (O, RU); yellow-white striped cup A (C, RU); brown cup B (C, RU)</x:v>
      </x:c>
      <x:c r="E12" s="4" t="n">
        <x:f>'Evaluation Plan'!E12</x:f>
        <x:v>0</x:v>
      </x:c>
      <x:c r="F12" s="4" t="str">
        <x:f>'Evaluation Plan'!F12</x:f>
        <x:v>0</x:v>
      </x:c>
      <x:c r="G12" s="5" t="str">
        <x:f>'Evaluation Plan'!G12</x:f>
        <x:v>Exact manifest episode: trained state-object cell, prompt, same-category candidate structure, and object membership match; physical layout is manually recreated. All objects are upright, matching the context of every explicit open/closed training demonstration.</x:v>
      </x:c>
      <x:c r="H12" s="5" t="str">
        <x:f>'Evaluation Plan'!H12</x:f>
        <x:v>white cup B</x:v>
      </x:c>
      <x:c r="I12" s="5"/>
      <x:c r="J12" s="7" t="str">
        <x:f>'Evaluation Plan'!J12</x:f>
        <x:v>In-distribution concept baseline</x:v>
      </x:c>
      <x:c r="K12" s="4" t="str">
        <x:f>'Evaluation Plan'!K12</x:f>
        <x:v>SR-ID11</x:v>
      </x:c>
      <x:c r="L12" s="4" t="str">
        <x:f>'Evaluation Plan'!L12</x:f>
        <x:v>C</x:v>
      </x:c>
      <x:c r="M12" s="4" t="str">
        <x:f>'Evaluation Plan'!M12</x:f>
        <x:v>white cup</x:v>
      </x:c>
      <x:c r="N12" s="4" t="n">
        <x:f>'Evaluation Plan'!N12</x:f>
        <x:v>4</x:v>
      </x:c>
      <x:c r="O12" s="4" t="n">
        <x:f>'Evaluation Plan'!O12</x:f>
        <x:v>1</x:v>
      </x:c>
      <x:c r="P12" s="4" t="str">
        <x:f>'Evaluation Plan'!P12</x:f>
        <x:v>Empty</x:v>
      </x:c>
      <x:c r="Q12" s="5" t="str">
        <x:f>'Evaluation Plan'!Q12</x:f>
        <x:v>Exact training-supported state-object baseline</x:v>
      </x:c>
      <x:c r="R12" s="4" t="n">
        <x:f>'Evaluation Plan'!R12</x:f>
        <x:v>1</x:v>
      </x:c>
      <x:c r="S12" s="5" t="str">
        <x:f>'Evaluation Plan'!S12</x:f>
        <x:v>Recreate the listed manifest scene with the bowl empty.</x:v>
      </x:c>
      <x:c r="T12" s="5" t="str">
        <x:f>'Evaluation Plan'!T12</x:f>
        <x:v>The queried state-object combination and same-category discrimination structure are explicitly represented in training. The orthogonal orientation axis is fixed: every object is RU.</x:v>
      </x:c>
      <x:c r="U12" s="5" t="n">
        <x:f>'Evaluation Plan'!U12</x:f>
        <x:v>0</x:v>
      </x:c>
    </x:row>
    <x:row r="13" ht="51" customHeight="1">
      <x:c r="A13" s="9" t="s">
        <x:v>178</x:v>
      </x:c>
      <x:c r="B13" s="10" t="n">
        <x:f>'Evaluation Plan'!B13</x:f>
        <x:v>11</x:v>
      </x:c>
      <x:c r="C13" s="11" t="str">
        <x:f>'Evaluation Plan'!C13</x:f>
        <x:v>Place the closed white cup in the bowl.</x:v>
      </x:c>
      <x:c r="D13" s="11" t="str">
        <x:f>'Evaluation Plan'!D13</x:f>
        <x:v>white cup A (C, RU); white cup B (O, RU); brown cup B (O, RU)</x:v>
      </x:c>
      <x:c r="E13" s="10" t="n">
        <x:f>'Evaluation Plan'!E13</x:f>
        <x:v>0</x:v>
      </x:c>
      <x:c r="F13" s="10" t="str">
        <x:f>'Evaluation Plan'!F13</x:f>
        <x:v>7</x:v>
      </x:c>
      <x:c r="G13" s="11" t="str">
        <x:f>'Evaluation Plan'!G13</x:f>
        <x:v>Exact manifest episode: trained state-object cell, prompt, same-category candidate structure, and object membership match; physical layout is manually recreated. All objects are upright, matching the context of every explicit open/closed training demonstration.</x:v>
      </x:c>
      <x:c r="H13" s="11" t="str">
        <x:f>'Evaluation Plan'!H13</x:f>
        <x:v>white cup A</x:v>
      </x:c>
      <x:c r="I13" s="11"/>
      <x:c r="J13" s="7" t="str">
        <x:f>'Evaluation Plan'!J13</x:f>
        <x:v>In-distribution concept baseline</x:v>
      </x:c>
      <x:c r="K13" s="10" t="str">
        <x:f>'Evaluation Plan'!K13</x:f>
        <x:v>SR-ID12</x:v>
      </x:c>
      <x:c r="L13" s="10" t="str">
        <x:f>'Evaluation Plan'!L13</x:f>
        <x:v>C</x:v>
      </x:c>
      <x:c r="M13" s="10" t="str">
        <x:f>'Evaluation Plan'!M13</x:f>
        <x:v>white cup</x:v>
      </x:c>
      <x:c r="N13" s="10" t="n">
        <x:f>'Evaluation Plan'!N13</x:f>
        <x:v>3</x:v>
      </x:c>
      <x:c r="O13" s="10" t="n">
        <x:f>'Evaluation Plan'!O13</x:f>
        <x:v>1</x:v>
      </x:c>
      <x:c r="P13" s="10" t="str">
        <x:f>'Evaluation Plan'!P13</x:f>
        <x:v>Empty</x:v>
      </x:c>
      <x:c r="Q13" s="11" t="str">
        <x:f>'Evaluation Plan'!Q13</x:f>
        <x:v>Exact training-supported state-object baseline</x:v>
      </x:c>
      <x:c r="R13" s="10" t="n">
        <x:f>'Evaluation Plan'!R13</x:f>
        <x:v>1</x:v>
      </x:c>
      <x:c r="S13" s="11" t="str">
        <x:f>'Evaluation Plan'!S13</x:f>
        <x:v>Recreate the listed manifest scene with the bowl empty.</x:v>
      </x:c>
      <x:c r="T13" s="11" t="str">
        <x:f>'Evaluation Plan'!T13</x:f>
        <x:v>The queried state-object combination and same-category discrimination structure are explicitly represented in training. The orthogonal orientation axis is fixed: every object is RU.</x:v>
      </x:c>
      <x:c r="U13" s="11" t="n">
        <x:f>'Evaluation Plan'!U13</x:f>
        <x:v>0</x:v>
      </x:c>
    </x:row>
    <x:row r="14" ht="51" customHeight="1">
      <x:c r="A14" s="3" t="s">
        <x:v>178</x:v>
      </x:c>
      <x:c r="B14" s="4" t="n">
        <x:f>'Evaluation Plan'!B14</x:f>
        <x:v>12</x:v>
      </x:c>
      <x:c r="C14" s="5" t="str">
        <x:f>'Evaluation Plan'!C14</x:f>
        <x:v>Put the open white cup in the bowl.</x:v>
      </x:c>
      <x:c r="D14" s="5" t="str">
        <x:f>'Evaluation Plan'!D14</x:f>
        <x:v>white cup B (O, RU); white cup A (C, RU); glass spice container B (O, RU)</x:v>
      </x:c>
      <x:c r="E14" s="4" t="n">
        <x:f>'Evaluation Plan'!E14</x:f>
        <x:v>0</x:v>
      </x:c>
      <x:c r="F14" s="4" t="str">
        <x:f>'Evaluation Plan'!F14</x:f>
        <x:v>17</x:v>
      </x:c>
      <x:c r="G14" s="5" t="str">
        <x:f>'Evaluation Plan'!G14</x:f>
        <x:v>Exact manifest episode: trained state-object cell, prompt, same-category candidate structure, and object membership match; physical layout is manually recreated. All objects are upright, matching the context of every explicit open/closed training demonstration.</x:v>
      </x:c>
      <x:c r="H14" s="5" t="str">
        <x:f>'Evaluation Plan'!H14</x:f>
        <x:v>white cup B</x:v>
      </x:c>
      <x:c r="I14" s="5"/>
      <x:c r="J14" s="7" t="str">
        <x:f>'Evaluation Plan'!J14</x:f>
        <x:v>In-distribution concept baseline</x:v>
      </x:c>
      <x:c r="K14" s="4" t="str">
        <x:f>'Evaluation Plan'!K14</x:f>
        <x:v>SR-ID13</x:v>
      </x:c>
      <x:c r="L14" s="4" t="str">
        <x:f>'Evaluation Plan'!L14</x:f>
        <x:v>O</x:v>
      </x:c>
      <x:c r="M14" s="4" t="str">
        <x:f>'Evaluation Plan'!M14</x:f>
        <x:v>white cup</x:v>
      </x:c>
      <x:c r="N14" s="4" t="n">
        <x:f>'Evaluation Plan'!N14</x:f>
        <x:v>3</x:v>
      </x:c>
      <x:c r="O14" s="4" t="n">
        <x:f>'Evaluation Plan'!O14</x:f>
        <x:v>1</x:v>
      </x:c>
      <x:c r="P14" s="4" t="str">
        <x:f>'Evaluation Plan'!P14</x:f>
        <x:v>Empty</x:v>
      </x:c>
      <x:c r="Q14" s="5" t="str">
        <x:f>'Evaluation Plan'!Q14</x:f>
        <x:v>Exact training-supported state-object baseline</x:v>
      </x:c>
      <x:c r="R14" s="4" t="n">
        <x:f>'Evaluation Plan'!R14</x:f>
        <x:v>1</x:v>
      </x:c>
      <x:c r="S14" s="5" t="str">
        <x:f>'Evaluation Plan'!S14</x:f>
        <x:v>Recreate the listed manifest scene with the bowl empty.</x:v>
      </x:c>
      <x:c r="T14" s="5" t="str">
        <x:f>'Evaluation Plan'!T14</x:f>
        <x:v>The queried state-object combination and same-category discrimination structure are explicitly represented in training. The orthogonal orientation axis is fixed: every object is RU.</x:v>
      </x:c>
      <x:c r="U14" s="5" t="n">
        <x:f>'Evaluation Plan'!U14</x:f>
        <x:v>0</x:v>
      </x:c>
    </x:row>
    <x:row r="15" ht="51" customHeight="1">
      <x:c r="A15" s="9" t="s">
        <x:v>179</x:v>
      </x:c>
      <x:c r="B15" s="10" t="n">
        <x:f>'Evaluation Plan'!B15</x:f>
        <x:v>13</x:v>
      </x:c>
      <x:c r="C15" s="11" t="str">
        <x:f>'Evaluation Plan'!C15</x:f>
        <x:v>Place the upside-down yellow-white striped cup in the bowl.</x:v>
      </x:c>
      <x:c r="D15" s="11" t="str">
        <x:f>'Evaluation Plan'!D15</x:f>
        <x:v>yellow-white striped cup A (O, UD); yellow-white striped cup B (O, RU)</x:v>
      </x:c>
      <x:c r="E15" s="10" t="n">
        <x:f>'Evaluation Plan'!E15</x:f>
        <x:v>0</x:v>
      </x:c>
      <x:c r="F15" s="10" t="str">
        <x:f>'Evaluation Plan'!F15</x:f>
        <x:v>88</x:v>
      </x:c>
      <x:c r="G15" s="11" t="str">
        <x:f>'Evaluation Plan'!G15</x:f>
        <x:v>Exact manifest episode: trained state-object cell, prompt, same-category candidate structure, and object membership match; physical layout is manually recreated.</x:v>
      </x:c>
      <x:c r="H15" s="11" t="str">
        <x:f>'Evaluation Plan'!H15</x:f>
        <x:v>yellow-white striped cup A</x:v>
      </x:c>
      <x:c r="I15" s="11"/>
      <x:c r="J15" s="7" t="str">
        <x:f>'Evaluation Plan'!J15</x:f>
        <x:v>In-distribution concept baseline</x:v>
      </x:c>
      <x:c r="K15" s="10" t="str">
        <x:f>'Evaluation Plan'!K15</x:f>
        <x:v>SR-ID14</x:v>
      </x:c>
      <x:c r="L15" s="10" t="str">
        <x:f>'Evaluation Plan'!L15</x:f>
        <x:v>UD</x:v>
      </x:c>
      <x:c r="M15" s="10" t="str">
        <x:f>'Evaluation Plan'!M15</x:f>
        <x:v>yellow-white striped cup</x:v>
      </x:c>
      <x:c r="N15" s="10" t="n">
        <x:f>'Evaluation Plan'!N15</x:f>
        <x:v>2</x:v>
      </x:c>
      <x:c r="O15" s="10" t="n">
        <x:f>'Evaluation Plan'!O15</x:f>
        <x:v>1</x:v>
      </x:c>
      <x:c r="P15" s="10" t="str">
        <x:f>'Evaluation Plan'!P15</x:f>
        <x:v>Empty</x:v>
      </x:c>
      <x:c r="Q15" s="11" t="str">
        <x:f>'Evaluation Plan'!Q15</x:f>
        <x:v>Exact training-supported state-object baseline</x:v>
      </x:c>
      <x:c r="R15" s="10" t="n">
        <x:f>'Evaluation Plan'!R15</x:f>
        <x:v>1</x:v>
      </x:c>
      <x:c r="S15" s="11" t="str">
        <x:f>'Evaluation Plan'!S15</x:f>
        <x:v>Recreate the listed manifest scene with the bowl empty.</x:v>
      </x:c>
      <x:c r="T15" s="11" t="str">
        <x:f>'Evaluation Plan'!T15</x:f>
        <x:v>The queried state-object combination and same-category discrimination structure are explicitly represented in training. The same-category candidates share the orthogonal C/O state (O).</x:v>
      </x:c>
      <x:c r="U15" s="11" t="n">
        <x:f>'Evaluation Plan'!U15</x:f>
        <x:v>0</x:v>
      </x:c>
    </x:row>
    <x:row r="16" ht="51" customHeight="1">
      <x:c r="A16" s="3" t="s">
        <x:v>178</x:v>
      </x:c>
      <x:c r="B16" s="4" t="n">
        <x:f>'Evaluation Plan'!B16</x:f>
        <x:v>14</x:v>
      </x:c>
      <x:c r="C16" s="5" t="str">
        <x:f>'Evaluation Plan'!C16</x:f>
        <x:v>Move the upright yellow-white striped cup into the bowl.</x:v>
      </x:c>
      <x:c r="D16" s="5" t="str">
        <x:f>'Evaluation Plan'!D16</x:f>
        <x:v>yellow-white striped cup A (O, RU); yellow-white striped cup B (O, UD); glass spice container A (O, RU); white cup B (C, UD)</x:v>
      </x:c>
      <x:c r="E16" s="4" t="n">
        <x:f>'Evaluation Plan'!E16</x:f>
        <x:v>0</x:v>
      </x:c>
      <x:c r="F16" s="4" t="str">
        <x:f>'Evaluation Plan'!F16</x:f>
        <x:v>75</x:v>
      </x:c>
      <x:c r="G16" s="5" t="str">
        <x:f>'Evaluation Plan'!G16</x:f>
        <x:v>Exact manifest episode: trained state-object cell, prompt, same-category candidate structure, and object membership match; physical layout is manually recreated.</x:v>
      </x:c>
      <x:c r="H16" s="5" t="str">
        <x:f>'Evaluation Plan'!H16</x:f>
        <x:v>yellow-white striped cup A</x:v>
      </x:c>
      <x:c r="I16" s="5"/>
      <x:c r="J16" s="7" t="str">
        <x:f>'Evaluation Plan'!J16</x:f>
        <x:v>In-distribution concept baseline</x:v>
      </x:c>
      <x:c r="K16" s="4" t="str">
        <x:f>'Evaluation Plan'!K16</x:f>
        <x:v>SR-ID15</x:v>
      </x:c>
      <x:c r="L16" s="4" t="str">
        <x:f>'Evaluation Plan'!L16</x:f>
        <x:v>RU</x:v>
      </x:c>
      <x:c r="M16" s="4" t="str">
        <x:f>'Evaluation Plan'!M16</x:f>
        <x:v>yellow-white striped cup</x:v>
      </x:c>
      <x:c r="N16" s="4" t="n">
        <x:f>'Evaluation Plan'!N16</x:f>
        <x:v>4</x:v>
      </x:c>
      <x:c r="O16" s="4" t="n">
        <x:f>'Evaluation Plan'!O16</x:f>
        <x:v>1</x:v>
      </x:c>
      <x:c r="P16" s="4" t="str">
        <x:f>'Evaluation Plan'!P16</x:f>
        <x:v>Empty</x:v>
      </x:c>
      <x:c r="Q16" s="5" t="str">
        <x:f>'Evaluation Plan'!Q16</x:f>
        <x:v>Exact training-supported state-object baseline</x:v>
      </x:c>
      <x:c r="R16" s="4" t="n">
        <x:f>'Evaluation Plan'!R16</x:f>
        <x:v>1</x:v>
      </x:c>
      <x:c r="S16" s="5" t="str">
        <x:f>'Evaluation Plan'!S16</x:f>
        <x:v>Recreate the listed manifest scene with the bowl empty.</x:v>
      </x:c>
      <x:c r="T16" s="5" t="str">
        <x:f>'Evaluation Plan'!T16</x:f>
        <x:v>The queried state-object combination and same-category discrimination structure are explicitly represented in training. The same-category candidates share the orthogonal C/O state (O).</x:v>
      </x:c>
      <x:c r="U16" s="5" t="n">
        <x:f>'Evaluation Plan'!U16</x:f>
        <x:v>0</x:v>
      </x:c>
    </x:row>
    <x:row r="17" ht="51" customHeight="1">
      <x:c r="A17" s="9" t="s">
        <x:v>178</x:v>
      </x:c>
      <x:c r="B17" s="10" t="n">
        <x:f>'Evaluation Plan'!B17</x:f>
        <x:v>15</x:v>
      </x:c>
      <x:c r="C17" s="11" t="str">
        <x:f>'Evaluation Plan'!C17</x:f>
        <x:v>Put the upright yellow-white striped cup in the bowl.</x:v>
      </x:c>
      <x:c r="D17" s="11" t="str">
        <x:f>'Evaluation Plan'!D17</x:f>
        <x:v>yellow-white striped cup B (C, RU); yellow-white striped cup A (C, UD)</x:v>
      </x:c>
      <x:c r="E17" s="10" t="n">
        <x:f>'Evaluation Plan'!E17</x:f>
        <x:v>0</x:v>
      </x:c>
      <x:c r="F17" s="10" t="str">
        <x:f>'Evaluation Plan'!F17</x:f>
        <x:v>80</x:v>
      </x:c>
      <x:c r="G17" s="11" t="str">
        <x:f>'Evaluation Plan'!G17</x:f>
        <x:v>Exact manifest episode: trained state-object cell, prompt, same-category candidate structure, and object membership match; physical layout is manually recreated.</x:v>
      </x:c>
      <x:c r="H17" s="11" t="str">
        <x:f>'Evaluation Plan'!H17</x:f>
        <x:v>yellow-white striped cup B</x:v>
      </x:c>
      <x:c r="I17" s="11"/>
      <x:c r="J17" s="7" t="str">
        <x:f>'Evaluation Plan'!J17</x:f>
        <x:v>In-distribution concept baseline</x:v>
      </x:c>
      <x:c r="K17" s="10" t="str">
        <x:f>'Evaluation Plan'!K17</x:f>
        <x:v>SR-ID16</x:v>
      </x:c>
      <x:c r="L17" s="10" t="str">
        <x:f>'Evaluation Plan'!L17</x:f>
        <x:v>RU</x:v>
      </x:c>
      <x:c r="M17" s="10" t="str">
        <x:f>'Evaluation Plan'!M17</x:f>
        <x:v>yellow-white striped cup</x:v>
      </x:c>
      <x:c r="N17" s="10" t="n">
        <x:f>'Evaluation Plan'!N17</x:f>
        <x:v>2</x:v>
      </x:c>
      <x:c r="O17" s="10" t="n">
        <x:f>'Evaluation Plan'!O17</x:f>
        <x:v>1</x:v>
      </x:c>
      <x:c r="P17" s="10" t="str">
        <x:f>'Evaluation Plan'!P17</x:f>
        <x:v>Empty</x:v>
      </x:c>
      <x:c r="Q17" s="11" t="str">
        <x:f>'Evaluation Plan'!Q17</x:f>
        <x:v>Exact training-supported state-object baseline</x:v>
      </x:c>
      <x:c r="R17" s="10" t="n">
        <x:f>'Evaluation Plan'!R17</x:f>
        <x:v>1</x:v>
      </x:c>
      <x:c r="S17" s="11" t="str">
        <x:f>'Evaluation Plan'!S17</x:f>
        <x:v>Recreate the listed manifest scene with the bowl empty.</x:v>
      </x:c>
      <x:c r="T17" s="11" t="str">
        <x:f>'Evaluation Plan'!T17</x:f>
        <x:v>The queried state-object combination and same-category discrimination structure are explicitly represented in training. The same-category candidates share the orthogonal C/O state (C).</x:v>
      </x:c>
      <x:c r="U17" s="11" t="n">
        <x:f>'Evaluation Plan'!U17</x:f>
        <x:v>0</x:v>
      </x:c>
    </x:row>
    <x:row r="18" ht="51" customHeight="1">
      <x:c r="A18" s="3" t="s">
        <x:v>178</x:v>
      </x:c>
      <x:c r="B18" s="4" t="n">
        <x:f>'Evaluation Plan'!B18</x:f>
        <x:v>16</x:v>
      </x:c>
      <x:c r="C18" s="5" t="str">
        <x:f>'Evaluation Plan'!C18</x:f>
        <x:v>Move the upside-down brown cup into the bowl.</x:v>
      </x:c>
      <x:c r="D18" s="5" t="str">
        <x:f>'Evaluation Plan'!D18</x:f>
        <x:v>brown cup A (C, UD); brown cup B (C, RU); yellow-white striped cup B (C, UD); glass spice container A (O, RU)</x:v>
      </x:c>
      <x:c r="E18" s="4" t="n">
        <x:f>'Evaluation Plan'!E18</x:f>
        <x:v>0</x:v>
      </x:c>
      <x:c r="F18" s="4" t="str">
        <x:f>'Evaluation Plan'!F18</x:f>
        <x:v>135</x:v>
      </x:c>
      <x:c r="G18" s="5" t="str">
        <x:f>'Evaluation Plan'!G18</x:f>
        <x:v>Exact manifest episode: trained state-object cell, prompt, same-category candidate structure, and object membership match; physical layout is manually recreated.</x:v>
      </x:c>
      <x:c r="H18" s="5" t="str">
        <x:f>'Evaluation Plan'!H18</x:f>
        <x:v>brown cup A</x:v>
      </x:c>
      <x:c r="I18" s="5"/>
      <x:c r="J18" s="7" t="str">
        <x:f>'Evaluation Plan'!J18</x:f>
        <x:v>In-distribution concept baseline</x:v>
      </x:c>
      <x:c r="K18" s="4" t="str">
        <x:f>'Evaluation Plan'!K18</x:f>
        <x:v>SR-ID17</x:v>
      </x:c>
      <x:c r="L18" s="4" t="str">
        <x:f>'Evaluation Plan'!L18</x:f>
        <x:v>UD</x:v>
      </x:c>
      <x:c r="M18" s="4" t="str">
        <x:f>'Evaluation Plan'!M18</x:f>
        <x:v>brown cup</x:v>
      </x:c>
      <x:c r="N18" s="4" t="n">
        <x:f>'Evaluation Plan'!N18</x:f>
        <x:v>4</x:v>
      </x:c>
      <x:c r="O18" s="4" t="n">
        <x:f>'Evaluation Plan'!O18</x:f>
        <x:v>1</x:v>
      </x:c>
      <x:c r="P18" s="4" t="str">
        <x:f>'Evaluation Plan'!P18</x:f>
        <x:v>Empty</x:v>
      </x:c>
      <x:c r="Q18" s="5" t="str">
        <x:f>'Evaluation Plan'!Q18</x:f>
        <x:v>Exact training-supported state-object baseline</x:v>
      </x:c>
      <x:c r="R18" s="4" t="n">
        <x:f>'Evaluation Plan'!R18</x:f>
        <x:v>1</x:v>
      </x:c>
      <x:c r="S18" s="5" t="str">
        <x:f>'Evaluation Plan'!S18</x:f>
        <x:v>Recreate the listed manifest scene with the bowl empty.</x:v>
      </x:c>
      <x:c r="T18" s="5" t="str">
        <x:f>'Evaluation Plan'!T18</x:f>
        <x:v>The queried state-object combination and same-category discrimination structure are explicitly represented in training. The same-category candidates share the orthogonal C/O state (C).</x:v>
      </x:c>
      <x:c r="U18" s="5" t="n">
        <x:f>'Evaluation Plan'!U18</x:f>
        <x:v>0</x:v>
      </x:c>
    </x:row>
    <x:row r="19" ht="51" customHeight="1">
      <x:c r="A19" s="9" t="s">
        <x:v>178</x:v>
      </x:c>
      <x:c r="B19" s="10" t="n">
        <x:f>'Evaluation Plan'!B19</x:f>
        <x:v>17</x:v>
      </x:c>
      <x:c r="C19" s="11" t="str">
        <x:f>'Evaluation Plan'!C19</x:f>
        <x:v>Place the upright brown cup in the bowl.</x:v>
      </x:c>
      <x:c r="D19" s="11" t="str">
        <x:f>'Evaluation Plan'!D19</x:f>
        <x:v>brown cup A (C, RU); brown cup B (C, UD); glass spice container B (C, UD)</x:v>
      </x:c>
      <x:c r="E19" s="10" t="n">
        <x:f>'Evaluation Plan'!E19</x:f>
        <x:v>0</x:v>
      </x:c>
      <x:c r="F19" s="10" t="str">
        <x:f>'Evaluation Plan'!F19</x:f>
        <x:v>139</x:v>
      </x:c>
      <x:c r="G19" s="11" t="str">
        <x:f>'Evaluation Plan'!G19</x:f>
        <x:v>Exact manifest episode: trained state-object cell, prompt, same-category candidate structure, and object membership match; physical layout is manually recreated.</x:v>
      </x:c>
      <x:c r="H19" s="11" t="str">
        <x:f>'Evaluation Plan'!H19</x:f>
        <x:v>brown cup A</x:v>
      </x:c>
      <x:c r="I19" s="11"/>
      <x:c r="J19" s="7" t="str">
        <x:f>'Evaluation Plan'!J19</x:f>
        <x:v>In-distribution concept baseline</x:v>
      </x:c>
      <x:c r="K19" s="10" t="str">
        <x:f>'Evaluation Plan'!K19</x:f>
        <x:v>SR-ID18</x:v>
      </x:c>
      <x:c r="L19" s="10" t="str">
        <x:f>'Evaluation Plan'!L19</x:f>
        <x:v>RU</x:v>
      </x:c>
      <x:c r="M19" s="10" t="str">
        <x:f>'Evaluation Plan'!M19</x:f>
        <x:v>brown cup</x:v>
      </x:c>
      <x:c r="N19" s="10" t="n">
        <x:f>'Evaluation Plan'!N19</x:f>
        <x:v>3</x:v>
      </x:c>
      <x:c r="O19" s="10" t="n">
        <x:f>'Evaluation Plan'!O19</x:f>
        <x:v>1</x:v>
      </x:c>
      <x:c r="P19" s="10" t="str">
        <x:f>'Evaluation Plan'!P19</x:f>
        <x:v>Empty</x:v>
      </x:c>
      <x:c r="Q19" s="11" t="str">
        <x:f>'Evaluation Plan'!Q19</x:f>
        <x:v>Exact training-supported state-object baseline</x:v>
      </x:c>
      <x:c r="R19" s="10" t="n">
        <x:f>'Evaluation Plan'!R19</x:f>
        <x:v>1</x:v>
      </x:c>
      <x:c r="S19" s="11" t="str">
        <x:f>'Evaluation Plan'!S19</x:f>
        <x:v>Recreate the listed manifest scene with the bowl empty.</x:v>
      </x:c>
      <x:c r="T19" s="11" t="str">
        <x:f>'Evaluation Plan'!T19</x:f>
        <x:v>The queried state-object combination and same-category discrimination structure are explicitly represented in training. The same-category candidates share the orthogonal C/O state (C).</x:v>
      </x:c>
      <x:c r="U19" s="11" t="n">
        <x:f>'Evaluation Plan'!U19</x:f>
        <x:v>0</x:v>
      </x:c>
    </x:row>
    <x:row r="20" ht="51" customHeight="1">
      <x:c r="A20" s="3" t="s">
        <x:v>178</x:v>
      </x:c>
      <x:c r="B20" s="4" t="n">
        <x:f>'Evaluation Plan'!B20</x:f>
        <x:v>18</x:v>
      </x:c>
      <x:c r="C20" s="5" t="str">
        <x:f>'Evaluation Plan'!C20</x:f>
        <x:v>Put the closed glass spice container in the bowl.</x:v>
      </x:c>
      <x:c r="D20" s="5" t="str">
        <x:f>'Evaluation Plan'!D20</x:f>
        <x:v>glass spice container A (C, RU); glass spice container B (O, RU); brown cup A (C, RU); white cup B (O, RU)</x:v>
      </x:c>
      <x:c r="E20" s="4" t="n">
        <x:f>'Evaluation Plan'!E20</x:f>
        <x:v>0</x:v>
      </x:c>
      <x:c r="F20" s="4" t="str">
        <x:f>'Evaluation Plan'!F20</x:f>
        <x:v>155</x:v>
      </x:c>
      <x:c r="G20" s="5" t="str">
        <x:f>'Evaluation Plan'!G20</x:f>
        <x:v>Exact manifest episode: trained state-object cell, prompt, same-category candidate structure, and object membership match; physical layout is manually recreated. All objects are upright, matching the context of every explicit open/closed training demonstration.</x:v>
      </x:c>
      <x:c r="H20" s="5" t="str">
        <x:f>'Evaluation Plan'!H20</x:f>
        <x:v>glass spice container A</x:v>
      </x:c>
      <x:c r="I20" s="5"/>
      <x:c r="J20" s="7" t="str">
        <x:f>'Evaluation Plan'!J20</x:f>
        <x:v>In-distribution concept baseline</x:v>
      </x:c>
      <x:c r="K20" s="4" t="str">
        <x:f>'Evaluation Plan'!K20</x:f>
        <x:v>SR-ID19</x:v>
      </x:c>
      <x:c r="L20" s="4" t="str">
        <x:f>'Evaluation Plan'!L20</x:f>
        <x:v>C</x:v>
      </x:c>
      <x:c r="M20" s="4" t="str">
        <x:f>'Evaluation Plan'!M20</x:f>
        <x:v>glass spice container</x:v>
      </x:c>
      <x:c r="N20" s="4" t="n">
        <x:f>'Evaluation Plan'!N20</x:f>
        <x:v>4</x:v>
      </x:c>
      <x:c r="O20" s="4" t="n">
        <x:f>'Evaluation Plan'!O20</x:f>
        <x:v>1</x:v>
      </x:c>
      <x:c r="P20" s="4" t="str">
        <x:f>'Evaluation Plan'!P20</x:f>
        <x:v>Empty</x:v>
      </x:c>
      <x:c r="Q20" s="5" t="str">
        <x:f>'Evaluation Plan'!Q20</x:f>
        <x:v>Exact training-supported state-object baseline</x:v>
      </x:c>
      <x:c r="R20" s="4" t="n">
        <x:f>'Evaluation Plan'!R20</x:f>
        <x:v>1</x:v>
      </x:c>
      <x:c r="S20" s="5" t="str">
        <x:f>'Evaluation Plan'!S20</x:f>
        <x:v>Recreate the listed manifest scene with the bowl empty.</x:v>
      </x:c>
      <x:c r="T20" s="5" t="str">
        <x:f>'Evaluation Plan'!T20</x:f>
        <x:v>The queried state-object combination and same-category discrimination structure are explicitly represented in training. The orthogonal orientation axis is fixed: every object is RU.</x:v>
      </x:c>
      <x:c r="U20" s="5" t="n">
        <x:f>'Evaluation Plan'!U20</x:f>
        <x:v>0</x:v>
      </x:c>
    </x:row>
    <x:row r="21" ht="51" customHeight="1">
      <x:c r="A21" s="9" t="s">
        <x:v>178</x:v>
      </x:c>
      <x:c r="B21" s="10" t="n">
        <x:f>'Evaluation Plan'!B21</x:f>
        <x:v>19</x:v>
      </x:c>
      <x:c r="C21" s="11" t="str">
        <x:f>'Evaluation Plan'!C21</x:f>
        <x:v>Move the open glass spice container into the bowl.</x:v>
      </x:c>
      <x:c r="D21" s="11" t="str">
        <x:f>'Evaluation Plan'!D21</x:f>
        <x:v>glass spice container B (O, RU); glass spice container A (C, RU); white cup B (O, RU); yellow-white striped cup A (O, RU)</x:v>
      </x:c>
      <x:c r="E21" s="10" t="n">
        <x:f>'Evaluation Plan'!E21</x:f>
        <x:v>0</x:v>
      </x:c>
      <x:c r="F21" s="10" t="str">
        <x:f>'Evaluation Plan'!F21</x:f>
        <x:v>162</x:v>
      </x:c>
      <x:c r="G21" s="11" t="str">
        <x:f>'Evaluation Plan'!G21</x:f>
        <x:v>Exact manifest episode: trained state-object cell, prompt, same-category candidate structure, and object membership match; physical layout is manually recreated. All objects are upright, matching the context of every explicit open/closed training demonstration.</x:v>
      </x:c>
      <x:c r="H21" s="11" t="str">
        <x:f>'Evaluation Plan'!H21</x:f>
        <x:v>glass spice container B</x:v>
      </x:c>
      <x:c r="I21" s="11"/>
      <x:c r="J21" s="7" t="str">
        <x:f>'Evaluation Plan'!J21</x:f>
        <x:v>In-distribution concept baseline</x:v>
      </x:c>
      <x:c r="K21" s="10" t="str">
        <x:f>'Evaluation Plan'!K21</x:f>
        <x:v>SR-ID20</x:v>
      </x:c>
      <x:c r="L21" s="10" t="str">
        <x:f>'Evaluation Plan'!L21</x:f>
        <x:v>O</x:v>
      </x:c>
      <x:c r="M21" s="10" t="str">
        <x:f>'Evaluation Plan'!M21</x:f>
        <x:v>glass spice container</x:v>
      </x:c>
      <x:c r="N21" s="10" t="n">
        <x:f>'Evaluation Plan'!N21</x:f>
        <x:v>4</x:v>
      </x:c>
      <x:c r="O21" s="10" t="n">
        <x:f>'Evaluation Plan'!O21</x:f>
        <x:v>1</x:v>
      </x:c>
      <x:c r="P21" s="10" t="str">
        <x:f>'Evaluation Plan'!P21</x:f>
        <x:v>Empty</x:v>
      </x:c>
      <x:c r="Q21" s="11" t="str">
        <x:f>'Evaluation Plan'!Q21</x:f>
        <x:v>Exact training-supported state-object baseline</x:v>
      </x:c>
      <x:c r="R21" s="10" t="n">
        <x:f>'Evaluation Plan'!R21</x:f>
        <x:v>1</x:v>
      </x:c>
      <x:c r="S21" s="11" t="str">
        <x:f>'Evaluation Plan'!S21</x:f>
        <x:v>Recreate the listed manifest scene with the bowl empty.</x:v>
      </x:c>
      <x:c r="T21" s="11" t="str">
        <x:f>'Evaluation Plan'!T21</x:f>
        <x:v>The queried state-object combination and same-category discrimination structure are explicitly represented in training. The orthogonal orientation axis is fixed: every object is RU.</x:v>
      </x:c>
      <x:c r="U21" s="11" t="n">
        <x:f>'Evaluation Plan'!U21</x:f>
        <x:v>0</x:v>
      </x:c>
    </x:row>
    <x:row r="22" ht="51" customHeight="1">
      <x:c r="A22" s="3" t="s">
        <x:v>179</x:v>
      </x:c>
      <x:c r="B22" s="4" t="n">
        <x:f>'Evaluation Plan'!B22</x:f>
        <x:v>20</x:v>
      </x:c>
      <x:c r="C22" s="5" t="str">
        <x:f>'Evaluation Plan'!C22</x:f>
        <x:v>Place the upside-down white cup in the bowl.</x:v>
      </x:c>
      <x:c r="D22" s="5" t="str">
        <x:f>'Evaluation Plan'!D22</x:f>
        <x:v>white cup A (C, UD); white cup B (C, RU)</x:v>
      </x:c>
      <x:c r="E22" s="4" t="n">
        <x:f>'Evaluation Plan'!E22</x:f>
        <x:v>0</x:v>
      </x:c>
      <x:c r="F22" s="4" t="str">
        <x:f>'Evaluation Plan'!F22</x:f>
        <x:v>35</x:v>
      </x:c>
      <x:c r="G22" s="5" t="str">
        <x:f>'Evaluation Plan'!G22</x:f>
        <x:v>Physical-state and manipulation-trajectory reference under a direct category prompt; the evaluated state word × object-category cell is intentionally absent from training.</x:v>
      </x:c>
      <x:c r="H22" s="5" t="str">
        <x:f>'Evaluation Plan'!H22</x:f>
        <x:v>white cup A</x:v>
      </x:c>
      <x:c r="I22" s="3" t="s">
        <x:v>180</x:v>
      </x:c>
      <x:c r="J22" s="12" t="str">
        <x:f>'Evaluation Plan'!J22</x:f>
        <x:v>Concept/compositional transfer</x:v>
      </x:c>
      <x:c r="K22" s="4" t="str">
        <x:f>'Evaluation Plan'!K22</x:f>
        <x:v>SR-CT01</x:v>
      </x:c>
      <x:c r="L22" s="4" t="str">
        <x:f>'Evaluation Plan'!L22</x:f>
        <x:v>UD</x:v>
      </x:c>
      <x:c r="M22" s="4" t="str">
        <x:f>'Evaluation Plan'!M22</x:f>
        <x:v>white cup</x:v>
      </x:c>
      <x:c r="N22" s="4" t="n">
        <x:f>'Evaluation Plan'!N22</x:f>
        <x:v>2</x:v>
      </x:c>
      <x:c r="O22" s="4" t="n">
        <x:f>'Evaluation Plan'!O22</x:f>
        <x:v>1</x:v>
      </x:c>
      <x:c r="P22" s="4" t="str">
        <x:f>'Evaluation Plan'!P22</x:f>
        <x:v>Empty</x:v>
      </x:c>
      <x:c r="Q22" s="5" t="str">
        <x:f>'Evaluation Plan'!Q22</x:f>
        <x:v>Primary held-out state-object composition</x:v>
      </x:c>
      <x:c r="R22" s="4" t="n">
        <x:f>'Evaluation Plan'!R22</x:f>
        <x:v>2</x:v>
      </x:c>
      <x:c r="S22" s="5" t="str">
        <x:f>'Evaluation Plan'!S22</x:f>
        <x:v>Build the listed same-category discrimination scene with the bowl empty.</x:v>
      </x:c>
      <x:c r="T22" s="5" t="str">
        <x:f>'Evaluation Plan'!T22</x:f>
        <x:v>Two same-category candidates share the non-queried state axis; only the held-out state word identifies the target. The same-category candidates share the orthogonal C/O state (C).</x:v>
      </x:c>
      <x:c r="U22" s="5" t="n">
        <x:f>'Evaluation Plan'!U22</x:f>
        <x:v>0</x:v>
      </x:c>
    </x:row>
    <x:row r="23" ht="51" customHeight="1">
      <x:c r="A23" s="13" t="s">
        <x:v>181</x:v>
      </x:c>
      <x:c r="B23" s="14" t="n">
        <x:f>'Evaluation Plan'!B23</x:f>
        <x:v>21</x:v>
      </x:c>
      <x:c r="C23" s="13" t="str">
        <x:f>'Evaluation Plan'!C23</x:f>
        <x:v>Put a white cup in the bowl.</x:v>
      </x:c>
      <x:c r="D23" s="13" t="str">
        <x:f>'Evaluation Plan'!D23</x:f>
        <x:v>white cup A (C, UD); yellow-white striped cup A (C, RU)</x:v>
      </x:c>
      <x:c r="E23" s="14" t="n">
        <x:f>'Evaluation Plan'!E23</x:f>
        <x:v>20</x:v>
      </x:c>
      <x:c r="F23" s="14" t="n">
        <x:f>'Evaluation Plan'!F23</x:f>
        <x:v>35</x:v>
      </x:c>
      <x:c r="G23" s="13" t="str">
        <x:f>'Evaluation Plan'!G23</x:f>
        <x:v>Exact direct-category manipulation prompt from training episode 35. The transfer target, state, and pose are preserved; only the competing white cup is replaced by yellow-white striped cup A.</x:v>
      </x:c>
      <x:c r="H23" s="13" t="str">
        <x:f>'Evaluation Plan'!H23</x:f>
        <x:v>white cup A</x:v>
      </x:c>
      <x:c r="I23" s="13"/>
      <x:c r="J23" s="15" t="str">
        <x:f>'Evaluation Plan'!J23</x:f>
        <x:v>Matched manipulation control</x:v>
      </x:c>
      <x:c r="K23" s="14" t="str">
        <x:f>'Evaluation Plan'!K23</x:f>
        <x:v>SR-CT01</x:v>
      </x:c>
      <x:c r="L23" s="14" t="str">
        <x:f>'Evaluation Plan'!L23</x:f>
        <x:v>N/A</x:v>
      </x:c>
      <x:c r="M23" s="14" t="str">
        <x:f>'Evaluation Plan'!M23</x:f>
        <x:v>white cup</x:v>
      </x:c>
      <x:c r="N23" s="14" t="n">
        <x:f>'Evaluation Plan'!N23</x:f>
        <x:v>2</x:v>
      </x:c>
      <x:c r="O23" s="14" t="n">
        <x:f>'Evaluation Plan'!O23</x:f>
        <x:v>1</x:v>
      </x:c>
      <x:c r="P23" s="14" t="str">
        <x:f>'Evaluation Plan'!P23</x:f>
        <x:v>Empty</x:v>
      </x:c>
      <x:c r="Q23" s="13" t="str">
        <x:f>'Evaluation Plan'!Q23</x:f>
        <x:v>One-object-substitution direct-category control</x:v>
      </x:c>
      <x:c r="R23" s="14" t="n">
        <x:f>'Evaluation Plan'!R23</x:f>
        <x:v>2</x:v>
      </x:c>
      <x:c r="S23" s="13" t="str">
        <x:f>'Evaluation Plan'!S23</x:f>
        <x:v>Reset white cup A to its transfer pose. Replace white cup B with yellow-white striped cup A in the same location and use the states listed in this row; preserve all other objects.</x:v>
      </x:c>
      <x:c r="T23" s="13" t="str">
        <x:f>'Evaluation Plan'!T23</x:f>
        <x:v>Pure recognition/manipulation control: the prompt uniquely names the only object from the target category, while the physical target remains identical to the transfer row.</x:v>
      </x:c>
      <x:c r="U23" s="13" t="n">
        <x:f>'Evaluation Plan'!U23</x:f>
        <x:v>0</x:v>
      </x:c>
    </x:row>
    <x:row r="24" ht="51" customHeight="1">
      <x:c r="A24" s="16" t="s">
        <x:v>181</x:v>
      </x:c>
      <x:c r="B24" s="17" t="n">
        <x:f>'Evaluation Plan'!B24</x:f>
        <x:v>22</x:v>
      </x:c>
      <x:c r="C24" s="16" t="str">
        <x:f>'Evaluation Plan'!C24</x:f>
        <x:v>Move the inverted white cup into the bowl.</x:v>
      </x:c>
      <x:c r="D24" s="16" t="str">
        <x:f>'Evaluation Plan'!D24</x:f>
        <x:v>white cup A (C, UD); white cup B (C, RU)</x:v>
      </x:c>
      <x:c r="E24" s="17" t="n">
        <x:f>'Evaluation Plan'!E24</x:f>
        <x:v>20</x:v>
      </x:c>
      <x:c r="F24" s="17" t="str">
        <x:f>'Evaluation Plan'!F24</x:f>
        <x:v>35</x:v>
      </x:c>
      <x:c r="G24" s="16" t="str">
        <x:f>'Evaluation Plan'!G24</x:f>
        <x:v>The canonical transfer scene and masked trajectory reference are unchanged; only the evaluation wording is paraphrased. This remains a language diagnostic and is not pooled into the primary 50.</x:v>
      </x:c>
      <x:c r="H24" s="16" t="str">
        <x:f>'Evaluation Plan'!H24</x:f>
        <x:v>white cup A</x:v>
      </x:c>
      <x:c r="I24" s="16"/>
      <x:c r="J24" s="18" t="str">
        <x:f>'Evaluation Plan'!J24</x:f>
        <x:v>Language robustness</x:v>
      </x:c>
      <x:c r="K24" s="17" t="str">
        <x:f>'Evaluation Plan'!K24</x:f>
        <x:v>SR-CT01</x:v>
      </x:c>
      <x:c r="L24" s="17" t="str">
        <x:f>'Evaluation Plan'!L24</x:f>
        <x:v>UD</x:v>
      </x:c>
      <x:c r="M24" s="17" t="str">
        <x:f>'Evaluation Plan'!M24</x:f>
        <x:v>white cup</x:v>
      </x:c>
      <x:c r="N24" s="17" t="n">
        <x:f>'Evaluation Plan'!N24</x:f>
        <x:v>2</x:v>
      </x:c>
      <x:c r="O24" s="17" t="n">
        <x:f>'Evaluation Plan'!O24</x:f>
        <x:v>1</x:v>
      </x:c>
      <x:c r="P24" s="17" t="str">
        <x:f>'Evaluation Plan'!P24</x:f>
        <x:v>Empty</x:v>
      </x:c>
      <x:c r="Q24" s="16" t="str">
        <x:f>'Evaluation Plan'!Q24</x:f>
        <x:v>Primary compositional-transfer prompt paraphrase</x:v>
      </x:c>
      <x:c r="R24" s="17" t="n">
        <x:f>'Evaluation Plan'!R24</x:f>
        <x:v>2</x:v>
      </x:c>
      <x:c r="S24" s="16" t="str">
        <x:f>'Evaluation Plan'!S24</x:f>
        <x:v>Reset the moved object exactly; preserve every object and state; change only the prompt wording.</x:v>
      </x:c>
      <x:c r="T24" s="16" t="str">
        <x:f>'Evaluation Plan'!T24</x:f>
        <x:v>Exact-scene paraphrase of one of the 50 canonical compositional-transfer trials. The same-category candidates share the orthogonal C/O state (C). The scene is an exact copy of the referenced canonical row.</x:v>
      </x:c>
      <x:c r="U24" s="16" t="n">
        <x:f>'Evaluation Plan'!U24</x:f>
        <x:v>0</x:v>
      </x:c>
    </x:row>
    <x:row r="25" ht="51" customHeight="1">
      <x:c r="A25" s="13" t="s">
        <x:v>181</x:v>
      </x:c>
      <x:c r="B25" s="14" t="n">
        <x:f>'Evaluation Plan'!B25</x:f>
        <x:v>23</x:v>
      </x:c>
      <x:c r="C25" s="13" t="str">
        <x:f>'Evaluation Plan'!C25</x:f>
        <x:v>Transfer the white cup from the table into the bowl.</x:v>
      </x:c>
      <x:c r="D25" s="13" t="str">
        <x:f>'Evaluation Plan'!D25</x:f>
        <x:v>white cup A (C, UD); yellow-white striped cup A (C, RU)</x:v>
      </x:c>
      <x:c r="E25" s="14" t="n">
        <x:f>'Evaluation Plan'!E25</x:f>
        <x:v>21</x:v>
      </x:c>
      <x:c r="F25" s="14" t="n">
        <x:f>'Evaluation Plan'!F25</x:f>
        <x:v>35</x:v>
      </x:c>
      <x:c r="G25" s="13" t="str">
        <x:f>'Evaluation Plan'!G25</x:f>
        <x:v>Paraphrase of the direct-category matched control grounded by training episode 35. The modified control scene and physical target are unchanged.</x:v>
      </x:c>
      <x:c r="H25" s="13" t="str">
        <x:f>'Evaluation Plan'!H25</x:f>
        <x:v>white cup A</x:v>
      </x:c>
      <x:c r="I25" s="13"/>
      <x:c r="J25" s="18" t="str">
        <x:f>'Evaluation Plan'!J25</x:f>
        <x:v>Language robustness</x:v>
      </x:c>
      <x:c r="K25" s="14" t="str">
        <x:f>'Evaluation Plan'!K25</x:f>
        <x:v>SR-CT01</x:v>
      </x:c>
      <x:c r="L25" s="14" t="str">
        <x:f>'Evaluation Plan'!L25</x:f>
        <x:v>N/A</x:v>
      </x:c>
      <x:c r="M25" s="14" t="str">
        <x:f>'Evaluation Plan'!M25</x:f>
        <x:v>white cup</x:v>
      </x:c>
      <x:c r="N25" s="14" t="n">
        <x:f>'Evaluation Plan'!N25</x:f>
        <x:v>2</x:v>
      </x:c>
      <x:c r="O25" s="14" t="n">
        <x:f>'Evaluation Plan'!O25</x:f>
        <x:v>1</x:v>
      </x:c>
      <x:c r="P25" s="14" t="str">
        <x:f>'Evaluation Plan'!P25</x:f>
        <x:v>Empty</x:v>
      </x:c>
      <x:c r="Q25" s="13" t="str">
        <x:f>'Evaluation Plan'!Q25</x:f>
        <x:v>Direct-category matched-control paraphrase</x:v>
      </x:c>
      <x:c r="R25" s="14" t="n">
        <x:f>'Evaluation Plan'!R25</x:f>
        <x:v>2</x:v>
      </x:c>
      <x:c r="S25" s="13" t="str">
        <x:f>'Evaluation Plan'!S25</x:f>
        <x:v>Reset the target to its marked pose; preserve the exact modified control scene and change only the direct instruction wording.</x:v>
      </x:c>
      <x:c r="T25" s="13" t="str">
        <x:f>'Evaluation Plan'!T25</x:f>
        <x:v>Language diagnostic for the pure manipulation control; no state word or state-based selection is required. The scene is an exact copy of the referenced canonical row.</x:v>
      </x:c>
      <x:c r="U25" s="13" t="n">
        <x:f>'Evaluation Plan'!U25</x:f>
        <x:v>0</x:v>
      </x:c>
    </x:row>
    <x:row r="26" ht="51" customHeight="1">
      <x:c r="A26" s="5" t="s">
        <x:v>181</x:v>
      </x:c>
      <x:c r="B26" s="4" t="n">
        <x:f>'Evaluation Plan'!B26</x:f>
        <x:v>24</x:v>
      </x:c>
      <x:c r="C26" s="5" t="str">
        <x:f>'Evaluation Plan'!C26</x:f>
        <x:v>Place the open yellow-white striped cup in the bowl.</x:v>
      </x:c>
      <x:c r="D26" s="5" t="str">
        <x:f>'Evaluation Plan'!D26</x:f>
        <x:v>yellow-white striped cup B (O, RU); yellow-white striped cup A (C, RU); brown cup B (O, RU)</x:v>
      </x:c>
      <x:c r="E26" s="4" t="n">
        <x:f>'Evaluation Plan'!E26</x:f>
        <x:v>0</x:v>
      </x:c>
      <x:c r="F26" s="4" t="str">
        <x:f>'Evaluation Plan'!F26</x:f>
        <x:v>64</x:v>
      </x:c>
      <x:c r="G26" s="5" t="str">
        <x:f>'Evaluation Plan'!G26</x:f>
        <x:v>Physical-state and manipulation-trajectory reference under a direct category prompt; the evaluated state word × object-category cell is intentionally absent from training. All objects are upright, matching the context of every explicit open/closed training demonstration.</x:v>
      </x:c>
      <x:c r="H26" s="5" t="str">
        <x:f>'Evaluation Plan'!H26</x:f>
        <x:v>yellow-white striped cup B</x:v>
      </x:c>
      <x:c r="I26" s="5"/>
      <x:c r="J26" s="12" t="str">
        <x:f>'Evaluation Plan'!J26</x:f>
        <x:v>Concept/compositional transfer</x:v>
      </x:c>
      <x:c r="K26" s="4" t="str">
        <x:f>'Evaluation Plan'!K26</x:f>
        <x:v>SR-CT02</x:v>
      </x:c>
      <x:c r="L26" s="4" t="str">
        <x:f>'Evaluation Plan'!L26</x:f>
        <x:v>O</x:v>
      </x:c>
      <x:c r="M26" s="4" t="str">
        <x:f>'Evaluation Plan'!M26</x:f>
        <x:v>yellow-white striped cup</x:v>
      </x:c>
      <x:c r="N26" s="4" t="n">
        <x:f>'Evaluation Plan'!N26</x:f>
        <x:v>3</x:v>
      </x:c>
      <x:c r="O26" s="4" t="n">
        <x:f>'Evaluation Plan'!O26</x:f>
        <x:v>1</x:v>
      </x:c>
      <x:c r="P26" s="4" t="str">
        <x:f>'Evaluation Plan'!P26</x:f>
        <x:v>Empty</x:v>
      </x:c>
      <x:c r="Q26" s="5" t="str">
        <x:f>'Evaluation Plan'!Q26</x:f>
        <x:v>Primary held-out state-object composition</x:v>
      </x:c>
      <x:c r="R26" s="4" t="n">
        <x:f>'Evaluation Plan'!R26</x:f>
        <x:v>2</x:v>
      </x:c>
      <x:c r="S26" s="5" t="str">
        <x:f>'Evaluation Plan'!S26</x:f>
        <x:v>Build the listed same-category discrimination scene with the bowl empty.</x:v>
      </x:c>
      <x:c r="T26" s="5" t="str">
        <x:f>'Evaluation Plan'!T26</x:f>
        <x:v>Two same-category candidates share the non-queried state axis; only the held-out state word identifies the target. The orthogonal orientation axis is fixed: every object is RU.</x:v>
      </x:c>
      <x:c r="U26" s="5" t="n">
        <x:f>'Evaluation Plan'!U26</x:f>
        <x:v>0</x:v>
      </x:c>
    </x:row>
    <x:row r="27" ht="51" customHeight="1">
      <x:c r="A27" s="13" t="s">
        <x:v>181</x:v>
      </x:c>
      <x:c r="B27" s="14" t="n">
        <x:f>'Evaluation Plan'!B27</x:f>
        <x:v>25</x:v>
      </x:c>
      <x:c r="C27" s="13" t="str">
        <x:f>'Evaluation Plan'!C27</x:f>
        <x:v>Place a yellow-white striped cup in the bowl.</x:v>
      </x:c>
      <x:c r="D27" s="13" t="str">
        <x:f>'Evaluation Plan'!D27</x:f>
        <x:v>yellow-white striped cup B (O, RU); glass spice container B (C, RU); brown cup B (O, RU)</x:v>
      </x:c>
      <x:c r="E27" s="14" t="n">
        <x:f>'Evaluation Plan'!E27</x:f>
        <x:v>24</x:v>
      </x:c>
      <x:c r="F27" s="14" t="n">
        <x:f>'Evaluation Plan'!F27</x:f>
        <x:v>64</x:v>
      </x:c>
      <x:c r="G27" s="13" t="str">
        <x:f>'Evaluation Plan'!G27</x:f>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H27" s="13" t="str">
        <x:f>'Evaluation Plan'!H27</x:f>
        <x:v>yellow-white striped cup B</x:v>
      </x:c>
      <x:c r="I27" s="13"/>
      <x:c r="J27" s="15" t="str">
        <x:f>'Evaluation Plan'!J27</x:f>
        <x:v>Matched manipulation control</x:v>
      </x:c>
      <x:c r="K27" s="14" t="str">
        <x:f>'Evaluation Plan'!K27</x:f>
        <x:v>SR-CT02</x:v>
      </x:c>
      <x:c r="L27" s="14" t="str">
        <x:f>'Evaluation Plan'!L27</x:f>
        <x:v>N/A</x:v>
      </x:c>
      <x:c r="M27" s="14" t="str">
        <x:f>'Evaluation Plan'!M27</x:f>
        <x:v>yellow-white striped cup</x:v>
      </x:c>
      <x:c r="N27" s="14" t="n">
        <x:f>'Evaluation Plan'!N27</x:f>
        <x:v>3</x:v>
      </x:c>
      <x:c r="O27" s="14" t="n">
        <x:f>'Evaluation Plan'!O27</x:f>
        <x:v>1</x:v>
      </x:c>
      <x:c r="P27" s="14" t="str">
        <x:f>'Evaluation Plan'!P27</x:f>
        <x:v>Empty</x:v>
      </x:c>
      <x:c r="Q27" s="13" t="str">
        <x:f>'Evaluation Plan'!Q27</x:f>
        <x:v>One-object-substitution direct-category control</x:v>
      </x:c>
      <x:c r="R27" s="14" t="n">
        <x:f>'Evaluation Plan'!R27</x:f>
        <x:v>2</x:v>
      </x:c>
      <x:c r="S27" s="13" t="str">
        <x:f>'Evaluation Plan'!S27</x:f>
        <x:v>Reset yellow-white striped cup B to its transfer pose. Replace yellow-white striped cup A with glass spice container B in the same location and use the states listed in this row; preserve all other objects.</x:v>
      </x:c>
      <x:c r="T27" s="13" t="str">
        <x:f>'Evaluation Plan'!T27</x:f>
        <x:v>Pure recognition/manipulation control: the prompt uniquely names the only object from the target category, while the physical target remains identical to the transfer row. Every object is RU.</x:v>
      </x:c>
      <x:c r="U27" s="13" t="n">
        <x:f>'Evaluation Plan'!U27</x:f>
        <x:v>0</x:v>
      </x:c>
    </x:row>
    <x:row r="28" ht="51" customHeight="1">
      <x:c r="A28" s="16" t="s">
        <x:v>181</x:v>
      </x:c>
      <x:c r="B28" s="17" t="n">
        <x:f>'Evaluation Plan'!B28</x:f>
        <x:v>26</x:v>
      </x:c>
      <x:c r="C28" s="16" t="str">
        <x:f>'Evaluation Plan'!C28</x:f>
        <x:v>Move the yellow-white striped cup whose opening is uncovered into the bowl.</x:v>
      </x:c>
      <x:c r="D28" s="16" t="str">
        <x:f>'Evaluation Plan'!D28</x:f>
        <x:v>yellow-white striped cup B (O, RU); yellow-white striped cup A (C, RU); brown cup B (O, RU)</x:v>
      </x:c>
      <x:c r="E28" s="17" t="n">
        <x:f>'Evaluation Plan'!E28</x:f>
        <x:v>24</x:v>
      </x:c>
      <x:c r="F28" s="17" t="str">
        <x:f>'Evaluation Plan'!F28</x:f>
        <x:v>64</x:v>
      </x:c>
      <x:c r="G28" s="16" t="str">
        <x:f>'Evaluation Plan'!G28</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28" s="16" t="str">
        <x:f>'Evaluation Plan'!H28</x:f>
        <x:v>yellow-white striped cup B</x:v>
      </x:c>
      <x:c r="I28" s="16"/>
      <x:c r="J28" s="18" t="str">
        <x:f>'Evaluation Plan'!J28</x:f>
        <x:v>Language robustness</x:v>
      </x:c>
      <x:c r="K28" s="17" t="str">
        <x:f>'Evaluation Plan'!K28</x:f>
        <x:v>SR-CT02</x:v>
      </x:c>
      <x:c r="L28" s="17" t="str">
        <x:f>'Evaluation Plan'!L28</x:f>
        <x:v>O</x:v>
      </x:c>
      <x:c r="M28" s="17" t="str">
        <x:f>'Evaluation Plan'!M28</x:f>
        <x:v>yellow-white striped cup</x:v>
      </x:c>
      <x:c r="N28" s="17" t="n">
        <x:f>'Evaluation Plan'!N28</x:f>
        <x:v>3</x:v>
      </x:c>
      <x:c r="O28" s="17" t="n">
        <x:f>'Evaluation Plan'!O28</x:f>
        <x:v>1</x:v>
      </x:c>
      <x:c r="P28" s="17" t="str">
        <x:f>'Evaluation Plan'!P28</x:f>
        <x:v>Empty</x:v>
      </x:c>
      <x:c r="Q28" s="16" t="str">
        <x:f>'Evaluation Plan'!Q28</x:f>
        <x:v>Primary compositional-transfer prompt paraphrase</x:v>
      </x:c>
      <x:c r="R28" s="17" t="n">
        <x:f>'Evaluation Plan'!R28</x:f>
        <x:v>2</x:v>
      </x:c>
      <x:c r="S28" s="16" t="str">
        <x:f>'Evaluation Plan'!S28</x:f>
        <x:v>Reset the moved object exactly; preserve every object and state; change only the prompt wording.</x:v>
      </x:c>
      <x:c r="T28" s="16" t="str">
        <x:f>'Evaluation Plan'!T28</x:f>
        <x:v>Exact-scene paraphrase of one of the 50 canonical compositional-transfer trials. The orthogonal orientation axis is fixed: every object is RU. The scene is an exact copy of the referenced canonical row.</x:v>
      </x:c>
      <x:c r="U28" s="16" t="n">
        <x:f>'Evaluation Plan'!U28</x:f>
        <x:v>0</x:v>
      </x:c>
    </x:row>
    <x:row r="29" ht="51" customHeight="1">
      <x:c r="A29" s="13" t="s">
        <x:v>181</x:v>
      </x:c>
      <x:c r="B29" s="14" t="n">
        <x:f>'Evaluation Plan'!B29</x:f>
        <x:v>27</x:v>
      </x:c>
      <x:c r="C29" s="13" t="str">
        <x:f>'Evaluation Plan'!C29</x:f>
        <x:v>Lift the yellow-white striped cup and set it inside the bowl.</x:v>
      </x:c>
      <x:c r="D29" s="13" t="str">
        <x:f>'Evaluation Plan'!D29</x:f>
        <x:v>yellow-white striped cup B (O, RU); glass spice container B (C, RU); brown cup B (O, RU)</x:v>
      </x:c>
      <x:c r="E29" s="14" t="n">
        <x:f>'Evaluation Plan'!E29</x:f>
        <x:v>25</x:v>
      </x:c>
      <x:c r="F29" s="14" t="n">
        <x:f>'Evaluation Plan'!F29</x:f>
        <x:v>64</x:v>
      </x:c>
      <x:c r="G29" s="13" t="str">
        <x:f>'Evaluation Plan'!G29</x:f>
        <x:v>Paraphrase of the direct-category matched control grounded by training episode 64. The modified control scene and physical target are unchanged.</x:v>
      </x:c>
      <x:c r="H29" s="13" t="str">
        <x:f>'Evaluation Plan'!H29</x:f>
        <x:v>yellow-white striped cup B</x:v>
      </x:c>
      <x:c r="I29" s="13"/>
      <x:c r="J29" s="18" t="str">
        <x:f>'Evaluation Plan'!J29</x:f>
        <x:v>Language robustness</x:v>
      </x:c>
      <x:c r="K29" s="14" t="str">
        <x:f>'Evaluation Plan'!K29</x:f>
        <x:v>SR-CT02</x:v>
      </x:c>
      <x:c r="L29" s="14" t="str">
        <x:f>'Evaluation Plan'!L29</x:f>
        <x:v>N/A</x:v>
      </x:c>
      <x:c r="M29" s="14" t="str">
        <x:f>'Evaluation Plan'!M29</x:f>
        <x:v>yellow-white striped cup</x:v>
      </x:c>
      <x:c r="N29" s="14" t="n">
        <x:f>'Evaluation Plan'!N29</x:f>
        <x:v>3</x:v>
      </x:c>
      <x:c r="O29" s="14" t="n">
        <x:f>'Evaluation Plan'!O29</x:f>
        <x:v>1</x:v>
      </x:c>
      <x:c r="P29" s="14" t="str">
        <x:f>'Evaluation Plan'!P29</x:f>
        <x:v>Empty</x:v>
      </x:c>
      <x:c r="Q29" s="13" t="str">
        <x:f>'Evaluation Plan'!Q29</x:f>
        <x:v>Direct-category matched-control paraphrase</x:v>
      </x:c>
      <x:c r="R29" s="14" t="n">
        <x:f>'Evaluation Plan'!R29</x:f>
        <x:v>2</x:v>
      </x:c>
      <x:c r="S29" s="13" t="str">
        <x:f>'Evaluation Plan'!S29</x:f>
        <x:v>Reset the target to its marked pose; preserve the exact modified control scene and change only the direct instruction wording.</x:v>
      </x:c>
      <x:c r="T29" s="13" t="str">
        <x:f>'Evaluation Plan'!T29</x:f>
        <x:v>Language diagnostic for the pure manipulation control; no state word or state-based selection is required. The scene is an exact copy of the referenced canonical row.</x:v>
      </x:c>
      <x:c r="U29" s="13" t="n">
        <x:f>'Evaluation Plan'!U29</x:f>
        <x:v>0</x:v>
      </x:c>
    </x:row>
    <x:row r="30" ht="51" customHeight="1">
      <x:c r="A30" s="5" t="s">
        <x:v>181</x:v>
      </x:c>
      <x:c r="B30" s="4" t="n">
        <x:f>'Evaluation Plan'!B30</x:f>
        <x:v>28</x:v>
      </x:c>
      <x:c r="C30" s="5" t="str">
        <x:f>'Evaluation Plan'!C30</x:f>
        <x:v>Place the closed brown cup in the bowl.</x:v>
      </x:c>
      <x:c r="D30" s="5" t="str">
        <x:f>'Evaluation Plan'!D30</x:f>
        <x:v>brown cup A (C, RU); brown cup B (O, RU); glass spice container A (C, RU); white cup B (O, RU)</x:v>
      </x:c>
      <x:c r="E30" s="4" t="n">
        <x:f>'Evaluation Plan'!E30</x:f>
        <x:v>0</x:v>
      </x:c>
      <x:c r="F30" s="4" t="str">
        <x:f>'Evaluation Plan'!F30</x:f>
        <x:v>100</x:v>
      </x:c>
      <x:c r="G30" s="5" t="str">
        <x:f>'Evaluation Plan'!G30</x:f>
        <x:v>Physical-state and manipulation-trajectory reference under a direct category prompt; the evaluated state word × object-category cell is intentionally absent from training. All objects are upright, matching the context of every explicit open/closed training demonstration.</x:v>
      </x:c>
      <x:c r="H30" s="5" t="str">
        <x:f>'Evaluation Plan'!H30</x:f>
        <x:v>brown cup A</x:v>
      </x:c>
      <x:c r="I30" s="5"/>
      <x:c r="J30" s="12" t="str">
        <x:f>'Evaluation Plan'!J30</x:f>
        <x:v>Concept/compositional transfer</x:v>
      </x:c>
      <x:c r="K30" s="4" t="str">
        <x:f>'Evaluation Plan'!K30</x:f>
        <x:v>SR-CT03</x:v>
      </x:c>
      <x:c r="L30" s="4" t="str">
        <x:f>'Evaluation Plan'!L30</x:f>
        <x:v>C</x:v>
      </x:c>
      <x:c r="M30" s="4" t="str">
        <x:f>'Evaluation Plan'!M30</x:f>
        <x:v>brown cup</x:v>
      </x:c>
      <x:c r="N30" s="4" t="n">
        <x:f>'Evaluation Plan'!N30</x:f>
        <x:v>4</x:v>
      </x:c>
      <x:c r="O30" s="4" t="n">
        <x:f>'Evaluation Plan'!O30</x:f>
        <x:v>1</x:v>
      </x:c>
      <x:c r="P30" s="4" t="str">
        <x:f>'Evaluation Plan'!P30</x:f>
        <x:v>Empty</x:v>
      </x:c>
      <x:c r="Q30" s="5" t="str">
        <x:f>'Evaluation Plan'!Q30</x:f>
        <x:v>Primary held-out state-object composition</x:v>
      </x:c>
      <x:c r="R30" s="4" t="n">
        <x:f>'Evaluation Plan'!R30</x:f>
        <x:v>2</x:v>
      </x:c>
      <x:c r="S30" s="5" t="str">
        <x:f>'Evaluation Plan'!S30</x:f>
        <x:v>Build the listed same-category discrimination scene with the bowl empty.</x:v>
      </x:c>
      <x:c r="T30" s="5" t="str">
        <x:f>'Evaluation Plan'!T30</x:f>
        <x:v>Two same-category candidates share the non-queried state axis; only the held-out state word identifies the target. The orthogonal orientation axis is fixed: every object is RU.</x:v>
      </x:c>
      <x:c r="U30" s="5" t="n">
        <x:f>'Evaluation Plan'!U30</x:f>
        <x:v>0</x:v>
      </x:c>
    </x:row>
    <x:row r="31" ht="51" customHeight="1">
      <x:c r="A31" s="13" t="s">
        <x:v>181</x:v>
      </x:c>
      <x:c r="B31" s="14" t="n">
        <x:f>'Evaluation Plan'!B31</x:f>
        <x:v>29</x:v>
      </x:c>
      <x:c r="C31" s="13" t="str">
        <x:f>'Evaluation Plan'!C31</x:f>
        <x:v>Place a brown cup in the bowl.</x:v>
      </x:c>
      <x:c r="D31" s="13" t="str">
        <x:f>'Evaluation Plan'!D31</x:f>
        <x:v>brown cup A (C, RU); yellow-white striped cup A (O, RU); glass spice container A (C, RU); white cup B (O, RU)</x:v>
      </x:c>
      <x:c r="E31" s="14" t="n">
        <x:f>'Evaluation Plan'!E31</x:f>
        <x:v>28</x:v>
      </x:c>
      <x:c r="F31" s="14" t="n">
        <x:f>'Evaluation Plan'!F31</x:f>
        <x:v>100</x:v>
      </x:c>
      <x:c r="G31" s="13" t="str">
        <x:f>'Evaluation Plan'!G31</x:f>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H31" s="13" t="str">
        <x:f>'Evaluation Plan'!H31</x:f>
        <x:v>brown cup A</x:v>
      </x:c>
      <x:c r="I31" s="13"/>
      <x:c r="J31" s="15" t="str">
        <x:f>'Evaluation Plan'!J31</x:f>
        <x:v>Matched manipulation control</x:v>
      </x:c>
      <x:c r="K31" s="14" t="str">
        <x:f>'Evaluation Plan'!K31</x:f>
        <x:v>SR-CT03</x:v>
      </x:c>
      <x:c r="L31" s="14" t="str">
        <x:f>'Evaluation Plan'!L31</x:f>
        <x:v>N/A</x:v>
      </x:c>
      <x:c r="M31" s="14" t="str">
        <x:f>'Evaluation Plan'!M31</x:f>
        <x:v>brown cup</x:v>
      </x:c>
      <x:c r="N31" s="14" t="n">
        <x:f>'Evaluation Plan'!N31</x:f>
        <x:v>4</x:v>
      </x:c>
      <x:c r="O31" s="14" t="n">
        <x:f>'Evaluation Plan'!O31</x:f>
        <x:v>1</x:v>
      </x:c>
      <x:c r="P31" s="14" t="str">
        <x:f>'Evaluation Plan'!P31</x:f>
        <x:v>Empty</x:v>
      </x:c>
      <x:c r="Q31" s="13" t="str">
        <x:f>'Evaluation Plan'!Q31</x:f>
        <x:v>One-object-substitution direct-category control</x:v>
      </x:c>
      <x:c r="R31" s="14" t="n">
        <x:f>'Evaluation Plan'!R31</x:f>
        <x:v>2</x:v>
      </x:c>
      <x:c r="S31" s="13" t="str">
        <x:f>'Evaluation Plan'!S31</x:f>
        <x:v>Reset brown cup A to its transfer pose. Replace brown cup B with yellow-white striped cup A in the same location and use the states listed in this row; preserve all other objects.</x:v>
      </x:c>
      <x:c r="T31" s="13" t="str">
        <x:f>'Evaluation Plan'!T31</x:f>
        <x:v>Pure recognition/manipulation control: the prompt uniquely names the only object from the target category, while the physical target remains identical to the transfer row. Every object is RU.</x:v>
      </x:c>
      <x:c r="U31" s="13" t="n">
        <x:f>'Evaluation Plan'!U31</x:f>
        <x:v>0</x:v>
      </x:c>
    </x:row>
    <x:row r="32" ht="51" customHeight="1">
      <x:c r="A32" s="16" t="s">
        <x:v>181</x:v>
      </x:c>
      <x:c r="B32" s="17" t="n">
        <x:f>'Evaluation Plan'!B32</x:f>
        <x:v>30</x:v>
      </x:c>
      <x:c r="C32" s="16" t="str">
        <x:f>'Evaluation Plan'!C32</x:f>
        <x:v>Move the brown cup whose opening is covered into the bowl.</x:v>
      </x:c>
      <x:c r="D32" s="16" t="str">
        <x:f>'Evaluation Plan'!D32</x:f>
        <x:v>brown cup A (C, RU); brown cup B (O, RU); glass spice container A (C, RU); white cup B (O, RU)</x:v>
      </x:c>
      <x:c r="E32" s="17" t="n">
        <x:f>'Evaluation Plan'!E32</x:f>
        <x:v>28</x:v>
      </x:c>
      <x:c r="F32" s="17" t="str">
        <x:f>'Evaluation Plan'!F32</x:f>
        <x:v>100</x:v>
      </x:c>
      <x:c r="G32" s="16" t="str">
        <x:f>'Evaluation Plan'!G32</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32" s="16" t="str">
        <x:f>'Evaluation Plan'!H32</x:f>
        <x:v>brown cup A</x:v>
      </x:c>
      <x:c r="I32" s="16"/>
      <x:c r="J32" s="18" t="str">
        <x:f>'Evaluation Plan'!J32</x:f>
        <x:v>Language robustness</x:v>
      </x:c>
      <x:c r="K32" s="17" t="str">
        <x:f>'Evaluation Plan'!K32</x:f>
        <x:v>SR-CT03</x:v>
      </x:c>
      <x:c r="L32" s="17" t="str">
        <x:f>'Evaluation Plan'!L32</x:f>
        <x:v>C</x:v>
      </x:c>
      <x:c r="M32" s="17" t="str">
        <x:f>'Evaluation Plan'!M32</x:f>
        <x:v>brown cup</x:v>
      </x:c>
      <x:c r="N32" s="17" t="n">
        <x:f>'Evaluation Plan'!N32</x:f>
        <x:v>4</x:v>
      </x:c>
      <x:c r="O32" s="17" t="n">
        <x:f>'Evaluation Plan'!O32</x:f>
        <x:v>1</x:v>
      </x:c>
      <x:c r="P32" s="17" t="str">
        <x:f>'Evaluation Plan'!P32</x:f>
        <x:v>Empty</x:v>
      </x:c>
      <x:c r="Q32" s="16" t="str">
        <x:f>'Evaluation Plan'!Q32</x:f>
        <x:v>Primary compositional-transfer prompt paraphrase</x:v>
      </x:c>
      <x:c r="R32" s="17" t="n">
        <x:f>'Evaluation Plan'!R32</x:f>
        <x:v>2</x:v>
      </x:c>
      <x:c r="S32" s="16" t="str">
        <x:f>'Evaluation Plan'!S32</x:f>
        <x:v>Reset the moved object exactly; preserve every object and state; change only the prompt wording.</x:v>
      </x:c>
      <x:c r="T32" s="16" t="str">
        <x:f>'Evaluation Plan'!T32</x:f>
        <x:v>Exact-scene paraphrase of one of the 50 canonical compositional-transfer trials. The orthogonal orientation axis is fixed: every object is RU. The scene is an exact copy of the referenced canonical row.</x:v>
      </x:c>
      <x:c r="U32" s="16" t="n">
        <x:f>'Evaluation Plan'!U32</x:f>
        <x:v>0</x:v>
      </x:c>
    </x:row>
    <x:row r="33" ht="51" customHeight="1">
      <x:c r="A33" s="13" t="s">
        <x:v>181</x:v>
      </x:c>
      <x:c r="B33" s="14" t="n">
        <x:f>'Evaluation Plan'!B33</x:f>
        <x:v>31</x:v>
      </x:c>
      <x:c r="C33" s="13" t="str">
        <x:f>'Evaluation Plan'!C33</x:f>
        <x:v>Take the brown cup off the table and place it in the bowl.</x:v>
      </x:c>
      <x:c r="D33" s="13" t="str">
        <x:f>'Evaluation Plan'!D33</x:f>
        <x:v>brown cup A (C, RU); yellow-white striped cup A (O, RU); glass spice container A (C, RU); white cup B (O, RU)</x:v>
      </x:c>
      <x:c r="E33" s="14" t="n">
        <x:f>'Evaluation Plan'!E33</x:f>
        <x:v>29</x:v>
      </x:c>
      <x:c r="F33" s="14" t="n">
        <x:f>'Evaluation Plan'!F33</x:f>
        <x:v>100</x:v>
      </x:c>
      <x:c r="G33" s="13" t="str">
        <x:f>'Evaluation Plan'!G33</x:f>
        <x:v>Paraphrase of the direct-category matched control grounded by training episode 100. The modified control scene and physical target are unchanged.</x:v>
      </x:c>
      <x:c r="H33" s="13" t="str">
        <x:f>'Evaluation Plan'!H33</x:f>
        <x:v>brown cup A</x:v>
      </x:c>
      <x:c r="I33" s="13"/>
      <x:c r="J33" s="18" t="str">
        <x:f>'Evaluation Plan'!J33</x:f>
        <x:v>Language robustness</x:v>
      </x:c>
      <x:c r="K33" s="14" t="str">
        <x:f>'Evaluation Plan'!K33</x:f>
        <x:v>SR-CT03</x:v>
      </x:c>
      <x:c r="L33" s="14" t="str">
        <x:f>'Evaluation Plan'!L33</x:f>
        <x:v>N/A</x:v>
      </x:c>
      <x:c r="M33" s="14" t="str">
        <x:f>'Evaluation Plan'!M33</x:f>
        <x:v>brown cup</x:v>
      </x:c>
      <x:c r="N33" s="14" t="n">
        <x:f>'Evaluation Plan'!N33</x:f>
        <x:v>4</x:v>
      </x:c>
      <x:c r="O33" s="14" t="n">
        <x:f>'Evaluation Plan'!O33</x:f>
        <x:v>1</x:v>
      </x:c>
      <x:c r="P33" s="14" t="str">
        <x:f>'Evaluation Plan'!P33</x:f>
        <x:v>Empty</x:v>
      </x:c>
      <x:c r="Q33" s="13" t="str">
        <x:f>'Evaluation Plan'!Q33</x:f>
        <x:v>Direct-category matched-control paraphrase</x:v>
      </x:c>
      <x:c r="R33" s="14" t="n">
        <x:f>'Evaluation Plan'!R33</x:f>
        <x:v>2</x:v>
      </x:c>
      <x:c r="S33" s="13" t="str">
        <x:f>'Evaluation Plan'!S33</x:f>
        <x:v>Reset the target to its marked pose; preserve the exact modified control scene and change only the direct instruction wording.</x:v>
      </x:c>
      <x:c r="T33" s="13" t="str">
        <x:f>'Evaluation Plan'!T33</x:f>
        <x:v>Language diagnostic for the pure manipulation control; no state word or state-based selection is required. The scene is an exact copy of the referenced canonical row.</x:v>
      </x:c>
      <x:c r="U33" s="13" t="n">
        <x:f>'Evaluation Plan'!U33</x:f>
        <x:v>0</x:v>
      </x:c>
    </x:row>
    <x:row r="34" ht="51" customHeight="1">
      <x:c r="A34" s="5" t="s">
        <x:v>181</x:v>
      </x:c>
      <x:c r="B34" s="4" t="n">
        <x:f>'Evaluation Plan'!B34</x:f>
        <x:v>32</x:v>
      </x:c>
      <x:c r="C34" s="5" t="str">
        <x:f>'Evaluation Plan'!C34</x:f>
        <x:v>Place the upright glass spice container in the bowl.</x:v>
      </x:c>
      <x:c r="D34" s="5" t="str">
        <x:f>'Evaluation Plan'!D34</x:f>
        <x:v>glass spice container B (C, RU); glass spice container A (C, UD)</x:v>
      </x:c>
      <x:c r="E34" s="4" t="n">
        <x:f>'Evaluation Plan'!E34</x:f>
        <x:v>0</x:v>
      </x:c>
      <x:c r="F34" s="4" t="str">
        <x:f>'Evaluation Plan'!F34</x:f>
        <x:v>169</x:v>
      </x:c>
      <x:c r="G34" s="5" t="str">
        <x:f>'Evaluation Plan'!G34</x:f>
        <x:v>Physical-state and manipulation-trajectory reference under a direct category prompt; the evaluated state word × object-category cell is intentionally absent from training.</x:v>
      </x:c>
      <x:c r="H34" s="5" t="str">
        <x:f>'Evaluation Plan'!H34</x:f>
        <x:v>glass spice container B</x:v>
      </x:c>
      <x:c r="I34" s="5"/>
      <x:c r="J34" s="12" t="str">
        <x:f>'Evaluation Plan'!J34</x:f>
        <x:v>Concept/compositional transfer</x:v>
      </x:c>
      <x:c r="K34" s="4" t="str">
        <x:f>'Evaluation Plan'!K34</x:f>
        <x:v>SR-CT04</x:v>
      </x:c>
      <x:c r="L34" s="4" t="str">
        <x:f>'Evaluation Plan'!L34</x:f>
        <x:v>RU</x:v>
      </x:c>
      <x:c r="M34" s="4" t="str">
        <x:f>'Evaluation Plan'!M34</x:f>
        <x:v>glass spice container</x:v>
      </x:c>
      <x:c r="N34" s="4" t="n">
        <x:f>'Evaluation Plan'!N34</x:f>
        <x:v>2</x:v>
      </x:c>
      <x:c r="O34" s="4" t="n">
        <x:f>'Evaluation Plan'!O34</x:f>
        <x:v>1</x:v>
      </x:c>
      <x:c r="P34" s="4" t="str">
        <x:f>'Evaluation Plan'!P34</x:f>
        <x:v>Empty</x:v>
      </x:c>
      <x:c r="Q34" s="5" t="str">
        <x:f>'Evaluation Plan'!Q34</x:f>
        <x:v>Primary held-out state-object composition</x:v>
      </x:c>
      <x:c r="R34" s="4" t="n">
        <x:f>'Evaluation Plan'!R34</x:f>
        <x:v>2</x:v>
      </x:c>
      <x:c r="S34" s="5" t="str">
        <x:f>'Evaluation Plan'!S34</x:f>
        <x:v>Build the listed same-category discrimination scene with the bowl empty.</x:v>
      </x:c>
      <x:c r="T34" s="5" t="str">
        <x:f>'Evaluation Plan'!T34</x:f>
        <x:v>Two same-category candidates share the non-queried state axis; only the held-out state word identifies the target. The same-category candidates share the orthogonal C/O state (C).</x:v>
      </x:c>
      <x:c r="U34" s="5" t="n">
        <x:f>'Evaluation Plan'!U34</x:f>
        <x:v>0</x:v>
      </x:c>
    </x:row>
    <x:row r="35" ht="51" customHeight="1">
      <x:c r="A35" s="13" t="s">
        <x:v>181</x:v>
      </x:c>
      <x:c r="B35" s="14" t="n">
        <x:f>'Evaluation Plan'!B35</x:f>
        <x:v>33</x:v>
      </x:c>
      <x:c r="C35" s="13" t="str">
        <x:f>'Evaluation Plan'!C35</x:f>
        <x:v>Place a glass spice container in the bowl.</x:v>
      </x:c>
      <x:c r="D35" s="13" t="str">
        <x:f>'Evaluation Plan'!D35</x:f>
        <x:v>glass spice container B (C, RU); white cup B (C, UD)</x:v>
      </x:c>
      <x:c r="E35" s="14" t="n">
        <x:f>'Evaluation Plan'!E35</x:f>
        <x:v>32</x:v>
      </x:c>
      <x:c r="F35" s="14" t="n">
        <x:f>'Evaluation Plan'!F35</x:f>
        <x:v>169</x:v>
      </x:c>
      <x:c r="G35" s="13" t="str">
        <x:f>'Evaluation Plan'!G35</x:f>
        <x:v>Exact direct-category manipulation prompt from training episode 169. The transfer target, state, and pose are preserved; only the competing glass spice container is replaced by white cup B.</x:v>
      </x:c>
      <x:c r="H35" s="13" t="str">
        <x:f>'Evaluation Plan'!H35</x:f>
        <x:v>glass spice container B</x:v>
      </x:c>
      <x:c r="I35" s="13"/>
      <x:c r="J35" s="15" t="str">
        <x:f>'Evaluation Plan'!J35</x:f>
        <x:v>Matched manipulation control</x:v>
      </x:c>
      <x:c r="K35" s="14" t="str">
        <x:f>'Evaluation Plan'!K35</x:f>
        <x:v>SR-CT04</x:v>
      </x:c>
      <x:c r="L35" s="14" t="str">
        <x:f>'Evaluation Plan'!L35</x:f>
        <x:v>N/A</x:v>
      </x:c>
      <x:c r="M35" s="14" t="str">
        <x:f>'Evaluation Plan'!M35</x:f>
        <x:v>glass spice container</x:v>
      </x:c>
      <x:c r="N35" s="14" t="n">
        <x:f>'Evaluation Plan'!N35</x:f>
        <x:v>2</x:v>
      </x:c>
      <x:c r="O35" s="14" t="n">
        <x:f>'Evaluation Plan'!O35</x:f>
        <x:v>1</x:v>
      </x:c>
      <x:c r="P35" s="14" t="str">
        <x:f>'Evaluation Plan'!P35</x:f>
        <x:v>Empty</x:v>
      </x:c>
      <x:c r="Q35" s="13" t="str">
        <x:f>'Evaluation Plan'!Q35</x:f>
        <x:v>One-object-substitution direct-category control</x:v>
      </x:c>
      <x:c r="R35" s="14" t="n">
        <x:f>'Evaluation Plan'!R35</x:f>
        <x:v>2</x:v>
      </x:c>
      <x:c r="S35" s="13" t="str">
        <x:f>'Evaluation Plan'!S35</x:f>
        <x:v>Reset glass spice container B to its transfer pose. Replace glass spice container A with white cup B in the same location and use the states listed in this row; preserve all other objects.</x:v>
      </x:c>
      <x:c r="T35" s="13" t="str">
        <x:f>'Evaluation Plan'!T35</x:f>
        <x:v>Pure recognition/manipulation control: the prompt uniquely names the only object from the target category, while the physical target remains identical to the transfer row.</x:v>
      </x:c>
      <x:c r="U35" s="13" t="n">
        <x:f>'Evaluation Plan'!U35</x:f>
        <x:v>0</x:v>
      </x:c>
    </x:row>
    <x:row r="36" ht="51" customHeight="1">
      <x:c r="A36" s="16" t="s">
        <x:v>181</x:v>
      </x:c>
      <x:c r="B36" s="17" t="n">
        <x:f>'Evaluation Plan'!B36</x:f>
        <x:v>34</x:v>
      </x:c>
      <x:c r="C36" s="16" t="str">
        <x:f>'Evaluation Plan'!C36</x:f>
        <x:v>Move the right-side-up glass spice container into the bowl.</x:v>
      </x:c>
      <x:c r="D36" s="16" t="str">
        <x:f>'Evaluation Plan'!D36</x:f>
        <x:v>glass spice container B (C, RU); glass spice container A (C, UD)</x:v>
      </x:c>
      <x:c r="E36" s="17" t="n">
        <x:f>'Evaluation Plan'!E36</x:f>
        <x:v>32</x:v>
      </x:c>
      <x:c r="F36" s="17" t="str">
        <x:f>'Evaluation Plan'!F36</x:f>
        <x:v>169</x:v>
      </x:c>
      <x:c r="G36" s="16" t="str">
        <x:f>'Evaluation Plan'!G36</x:f>
        <x:v>The canonical transfer scene and masked trajectory reference are unchanged; only the evaluation wording is paraphrased. This remains a language diagnostic and is not pooled into the primary 50.</x:v>
      </x:c>
      <x:c r="H36" s="16" t="str">
        <x:f>'Evaluation Plan'!H36</x:f>
        <x:v>glass spice container B</x:v>
      </x:c>
      <x:c r="I36" s="16"/>
      <x:c r="J36" s="18" t="str">
        <x:f>'Evaluation Plan'!J36</x:f>
        <x:v>Language robustness</x:v>
      </x:c>
      <x:c r="K36" s="17" t="str">
        <x:f>'Evaluation Plan'!K36</x:f>
        <x:v>SR-CT04</x:v>
      </x:c>
      <x:c r="L36" s="17" t="str">
        <x:f>'Evaluation Plan'!L36</x:f>
        <x:v>RU</x:v>
      </x:c>
      <x:c r="M36" s="17" t="str">
        <x:f>'Evaluation Plan'!M36</x:f>
        <x:v>glass spice container</x:v>
      </x:c>
      <x:c r="N36" s="17" t="n">
        <x:f>'Evaluation Plan'!N36</x:f>
        <x:v>2</x:v>
      </x:c>
      <x:c r="O36" s="17" t="n">
        <x:f>'Evaluation Plan'!O36</x:f>
        <x:v>1</x:v>
      </x:c>
      <x:c r="P36" s="17" t="str">
        <x:f>'Evaluation Plan'!P36</x:f>
        <x:v>Empty</x:v>
      </x:c>
      <x:c r="Q36" s="16" t="str">
        <x:f>'Evaluation Plan'!Q36</x:f>
        <x:v>Primary compositional-transfer prompt paraphrase</x:v>
      </x:c>
      <x:c r="R36" s="17" t="n">
        <x:f>'Evaluation Plan'!R36</x:f>
        <x:v>2</x:v>
      </x:c>
      <x:c r="S36" s="16" t="str">
        <x:f>'Evaluation Plan'!S36</x:f>
        <x:v>Reset the moved object exactly; preserve every object and state; change only the prompt wording.</x:v>
      </x:c>
      <x:c r="T36" s="16" t="str">
        <x:f>'Evaluation Plan'!T36</x:f>
        <x:v>Exact-scene paraphrase of one of the 50 canonical compositional-transfer trials. The same-category candidates share the orthogonal C/O state (C). The scene is an exact copy of the referenced canonical row.</x:v>
      </x:c>
      <x:c r="U36" s="16" t="n">
        <x:f>'Evaluation Plan'!U36</x:f>
        <x:v>0</x:v>
      </x:c>
    </x:row>
    <x:row r="37" ht="51" customHeight="1">
      <x:c r="A37" s="13" t="s">
        <x:v>181</x:v>
      </x:c>
      <x:c r="B37" s="14" t="n">
        <x:f>'Evaluation Plan'!B37</x:f>
        <x:v>35</x:v>
      </x:c>
      <x:c r="C37" s="13" t="str">
        <x:f>'Evaluation Plan'!C37</x:f>
        <x:v>Move the glass spice container from the workspace into the bowl.</x:v>
      </x:c>
      <x:c r="D37" s="13" t="str">
        <x:f>'Evaluation Plan'!D37</x:f>
        <x:v>glass spice container B (C, RU); white cup B (C, UD)</x:v>
      </x:c>
      <x:c r="E37" s="14" t="n">
        <x:f>'Evaluation Plan'!E37</x:f>
        <x:v>33</x:v>
      </x:c>
      <x:c r="F37" s="14" t="n">
        <x:f>'Evaluation Plan'!F37</x:f>
        <x:v>169</x:v>
      </x:c>
      <x:c r="G37" s="13" t="str">
        <x:f>'Evaluation Plan'!G37</x:f>
        <x:v>Paraphrase of the direct-category matched control grounded by training episode 169. The modified control scene and physical target are unchanged.</x:v>
      </x:c>
      <x:c r="H37" s="13" t="str">
        <x:f>'Evaluation Plan'!H37</x:f>
        <x:v>glass spice container B</x:v>
      </x:c>
      <x:c r="I37" s="13"/>
      <x:c r="J37" s="18" t="str">
        <x:f>'Evaluation Plan'!J37</x:f>
        <x:v>Language robustness</x:v>
      </x:c>
      <x:c r="K37" s="14" t="str">
        <x:f>'Evaluation Plan'!K37</x:f>
        <x:v>SR-CT04</x:v>
      </x:c>
      <x:c r="L37" s="14" t="str">
        <x:f>'Evaluation Plan'!L37</x:f>
        <x:v>N/A</x:v>
      </x:c>
      <x:c r="M37" s="14" t="str">
        <x:f>'Evaluation Plan'!M37</x:f>
        <x:v>glass spice container</x:v>
      </x:c>
      <x:c r="N37" s="14" t="n">
        <x:f>'Evaluation Plan'!N37</x:f>
        <x:v>2</x:v>
      </x:c>
      <x:c r="O37" s="14" t="n">
        <x:f>'Evaluation Plan'!O37</x:f>
        <x:v>1</x:v>
      </x:c>
      <x:c r="P37" s="14" t="str">
        <x:f>'Evaluation Plan'!P37</x:f>
        <x:v>Empty</x:v>
      </x:c>
      <x:c r="Q37" s="13" t="str">
        <x:f>'Evaluation Plan'!Q37</x:f>
        <x:v>Direct-category matched-control paraphrase</x:v>
      </x:c>
      <x:c r="R37" s="14" t="n">
        <x:f>'Evaluation Plan'!R37</x:f>
        <x:v>2</x:v>
      </x:c>
      <x:c r="S37" s="13" t="str">
        <x:f>'Evaluation Plan'!S37</x:f>
        <x:v>Reset the target to its marked pose; preserve the exact modified control scene and change only the direct instruction wording.</x:v>
      </x:c>
      <x:c r="T37" s="13" t="str">
        <x:f>'Evaluation Plan'!T37</x:f>
        <x:v>Language diagnostic for the pure manipulation control; no state word or state-based selection is required. The scene is an exact copy of the referenced canonical row.</x:v>
      </x:c>
      <x:c r="U37" s="13" t="n">
        <x:f>'Evaluation Plan'!U37</x:f>
        <x:v>0</x:v>
      </x:c>
    </x:row>
    <x:row r="38" ht="51" customHeight="1">
      <x:c r="A38" s="5" t="s">
        <x:v>181</x:v>
      </x:c>
      <x:c r="B38" s="4" t="n">
        <x:f>'Evaluation Plan'!B38</x:f>
        <x:v>36</x:v>
      </x:c>
      <x:c r="C38" s="5" t="str">
        <x:f>'Evaluation Plan'!C38</x:f>
        <x:v>Place the upside-down white cup in the bowl.</x:v>
      </x:c>
      <x:c r="D38" s="5" t="str">
        <x:f>'Evaluation Plan'!D38</x:f>
        <x:v>white cup A (O, UD); white cup B (O, RU); brown cup A (C, RU)</x:v>
      </x:c>
      <x:c r="E38" s="4" t="n">
        <x:f>'Evaluation Plan'!E38</x:f>
        <x:v>0</x:v>
      </x:c>
      <x:c r="F38" s="4" t="str">
        <x:f>'Evaluation Plan'!F38</x:f>
        <x:v>30</x:v>
      </x:c>
      <x:c r="G38" s="5" t="str">
        <x:f>'Evaluation Plan'!G38</x:f>
        <x:v>Physical-state and manipulation-trajectory reference under a direct category prompt; the evaluated state word × object-category cell is intentionally absent from training.</x:v>
      </x:c>
      <x:c r="H38" s="5" t="str">
        <x:f>'Evaluation Plan'!H38</x:f>
        <x:v>white cup A</x:v>
      </x:c>
      <x:c r="I38" s="5"/>
      <x:c r="J38" s="12" t="str">
        <x:f>'Evaluation Plan'!J38</x:f>
        <x:v>Concept/compositional transfer</x:v>
      </x:c>
      <x:c r="K38" s="4" t="str">
        <x:f>'Evaluation Plan'!K38</x:f>
        <x:v>SR-CT05</x:v>
      </x:c>
      <x:c r="L38" s="4" t="str">
        <x:f>'Evaluation Plan'!L38</x:f>
        <x:v>UD</x:v>
      </x:c>
      <x:c r="M38" s="4" t="str">
        <x:f>'Evaluation Plan'!M38</x:f>
        <x:v>white cup</x:v>
      </x:c>
      <x:c r="N38" s="4" t="n">
        <x:f>'Evaluation Plan'!N38</x:f>
        <x:v>3</x:v>
      </x:c>
      <x:c r="O38" s="4" t="n">
        <x:f>'Evaluation Plan'!O38</x:f>
        <x:v>1</x:v>
      </x:c>
      <x:c r="P38" s="4" t="str">
        <x:f>'Evaluation Plan'!P38</x:f>
        <x:v>Empty</x:v>
      </x:c>
      <x:c r="Q38" s="5" t="str">
        <x:f>'Evaluation Plan'!Q38</x:f>
        <x:v>Primary held-out state-object composition</x:v>
      </x:c>
      <x:c r="R38" s="4" t="n">
        <x:f>'Evaluation Plan'!R38</x:f>
        <x:v>2</x:v>
      </x:c>
      <x:c r="S38" s="5" t="str">
        <x:f>'Evaluation Plan'!S38</x:f>
        <x:v>Build the listed same-category discrimination scene with the bowl empty.</x:v>
      </x:c>
      <x:c r="T38" s="5" t="str">
        <x:f>'Evaluation Plan'!T38</x:f>
        <x:v>Two same-category candidates share the non-queried state axis; only the held-out state word identifies the target. The same-category candidates share the orthogonal C/O state (O).</x:v>
      </x:c>
      <x:c r="U38" s="5" t="n">
        <x:f>'Evaluation Plan'!U38</x:f>
        <x:v>0</x:v>
      </x:c>
    </x:row>
    <x:row r="39" ht="51" customHeight="1">
      <x:c r="A39" s="13" t="s">
        <x:v>181</x:v>
      </x:c>
      <x:c r="B39" s="14" t="n">
        <x:f>'Evaluation Plan'!B39</x:f>
        <x:v>37</x:v>
      </x:c>
      <x:c r="C39" s="13" t="str">
        <x:f>'Evaluation Plan'!C39</x:f>
        <x:v>Move a white cup into the bowl.</x:v>
      </x:c>
      <x:c r="D39" s="13" t="str">
        <x:f>'Evaluation Plan'!D39</x:f>
        <x:v>white cup A (O, UD); yellow-white striped cup A (O, RU); brown cup A (C, RU)</x:v>
      </x:c>
      <x:c r="E39" s="14" t="n">
        <x:f>'Evaluation Plan'!E39</x:f>
        <x:v>36</x:v>
      </x:c>
      <x:c r="F39" s="14" t="n">
        <x:f>'Evaluation Plan'!F39</x:f>
        <x:v>30</x:v>
      </x:c>
      <x:c r="G39" s="13" t="str">
        <x:f>'Evaluation Plan'!G39</x:f>
        <x:v>Exact direct-category manipulation prompt from training episode 30. The transfer target, state, and pose are preserved; only the competing white cup is replaced by yellow-white striped cup A.</x:v>
      </x:c>
      <x:c r="H39" s="13" t="str">
        <x:f>'Evaluation Plan'!H39</x:f>
        <x:v>white cup A</x:v>
      </x:c>
      <x:c r="I39" s="13"/>
      <x:c r="J39" s="15" t="str">
        <x:f>'Evaluation Plan'!J39</x:f>
        <x:v>Matched manipulation control</x:v>
      </x:c>
      <x:c r="K39" s="14" t="str">
        <x:f>'Evaluation Plan'!K39</x:f>
        <x:v>SR-CT05</x:v>
      </x:c>
      <x:c r="L39" s="14" t="str">
        <x:f>'Evaluation Plan'!L39</x:f>
        <x:v>N/A</x:v>
      </x:c>
      <x:c r="M39" s="14" t="str">
        <x:f>'Evaluation Plan'!M39</x:f>
        <x:v>white cup</x:v>
      </x:c>
      <x:c r="N39" s="14" t="n">
        <x:f>'Evaluation Plan'!N39</x:f>
        <x:v>3</x:v>
      </x:c>
      <x:c r="O39" s="14" t="n">
        <x:f>'Evaluation Plan'!O39</x:f>
        <x:v>1</x:v>
      </x:c>
      <x:c r="P39" s="14" t="str">
        <x:f>'Evaluation Plan'!P39</x:f>
        <x:v>Empty</x:v>
      </x:c>
      <x:c r="Q39" s="13" t="str">
        <x:f>'Evaluation Plan'!Q39</x:f>
        <x:v>One-object-substitution direct-category control</x:v>
      </x:c>
      <x:c r="R39" s="14" t="n">
        <x:f>'Evaluation Plan'!R39</x:f>
        <x:v>2</x:v>
      </x:c>
      <x:c r="S39" s="13" t="str">
        <x:f>'Evaluation Plan'!S39</x:f>
        <x:v>Reset white cup A to its transfer pose. Replace white cup B with yellow-white striped cup A in the same location and use the states listed in this row; preserve all other objects.</x:v>
      </x:c>
      <x:c r="T39" s="13" t="str">
        <x:f>'Evaluation Plan'!T39</x:f>
        <x:v>Pure recognition/manipulation control: the prompt uniquely names the only object from the target category, while the physical target remains identical to the transfer row.</x:v>
      </x:c>
      <x:c r="U39" s="13" t="n">
        <x:f>'Evaluation Plan'!U39</x:f>
        <x:v>0</x:v>
      </x:c>
    </x:row>
    <x:row r="40" ht="51" customHeight="1">
      <x:c r="A40" s="16" t="s">
        <x:v>181</x:v>
      </x:c>
      <x:c r="B40" s="17" t="n">
        <x:f>'Evaluation Plan'!B40</x:f>
        <x:v>38</x:v>
      </x:c>
      <x:c r="C40" s="16" t="str">
        <x:f>'Evaluation Plan'!C40</x:f>
        <x:v>Move the inverted white cup into the bowl.</x:v>
      </x:c>
      <x:c r="D40" s="16" t="str">
        <x:f>'Evaluation Plan'!D40</x:f>
        <x:v>white cup A (O, UD); white cup B (O, RU); brown cup A (C, RU)</x:v>
      </x:c>
      <x:c r="E40" s="17" t="n">
        <x:f>'Evaluation Plan'!E40</x:f>
        <x:v>36</x:v>
      </x:c>
      <x:c r="F40" s="17" t="str">
        <x:f>'Evaluation Plan'!F40</x:f>
        <x:v>30</x:v>
      </x:c>
      <x:c r="G40" s="16" t="str">
        <x:f>'Evaluation Plan'!G40</x:f>
        <x:v>The canonical transfer scene and masked trajectory reference are unchanged; only the evaluation wording is paraphrased. This remains a language diagnostic and is not pooled into the primary 50.</x:v>
      </x:c>
      <x:c r="H40" s="16" t="str">
        <x:f>'Evaluation Plan'!H40</x:f>
        <x:v>white cup A</x:v>
      </x:c>
      <x:c r="I40" s="16"/>
      <x:c r="J40" s="18" t="str">
        <x:f>'Evaluation Plan'!J40</x:f>
        <x:v>Language robustness</x:v>
      </x:c>
      <x:c r="K40" s="17" t="str">
        <x:f>'Evaluation Plan'!K40</x:f>
        <x:v>SR-CT05</x:v>
      </x:c>
      <x:c r="L40" s="17" t="str">
        <x:f>'Evaluation Plan'!L40</x:f>
        <x:v>UD</x:v>
      </x:c>
      <x:c r="M40" s="17" t="str">
        <x:f>'Evaluation Plan'!M40</x:f>
        <x:v>white cup</x:v>
      </x:c>
      <x:c r="N40" s="17" t="n">
        <x:f>'Evaluation Plan'!N40</x:f>
        <x:v>3</x:v>
      </x:c>
      <x:c r="O40" s="17" t="n">
        <x:f>'Evaluation Plan'!O40</x:f>
        <x:v>1</x:v>
      </x:c>
      <x:c r="P40" s="17" t="str">
        <x:f>'Evaluation Plan'!P40</x:f>
        <x:v>Empty</x:v>
      </x:c>
      <x:c r="Q40" s="16" t="str">
        <x:f>'Evaluation Plan'!Q40</x:f>
        <x:v>Primary compositional-transfer prompt paraphrase</x:v>
      </x:c>
      <x:c r="R40" s="17" t="n">
        <x:f>'Evaluation Plan'!R40</x:f>
        <x:v>2</x:v>
      </x:c>
      <x:c r="S40" s="16" t="str">
        <x:f>'Evaluation Plan'!S40</x:f>
        <x:v>Reset the moved object exactly; preserve every object and state; change only the prompt wording.</x:v>
      </x:c>
      <x:c r="T40" s="16" t="str">
        <x:f>'Evaluation Plan'!T40</x:f>
        <x:v>Exact-scene paraphrase of one of the 50 canonical compositional-transfer trials. The same-category candidates share the orthogonal C/O state (O). The scene is an exact copy of the referenced canonical row.</x:v>
      </x:c>
      <x:c r="U40" s="16" t="n">
        <x:f>'Evaluation Plan'!U40</x:f>
        <x:v>0</x:v>
      </x:c>
    </x:row>
    <x:row r="41" ht="51" customHeight="1">
      <x:c r="A41" s="13" t="s">
        <x:v>181</x:v>
      </x:c>
      <x:c r="B41" s="14" t="n">
        <x:f>'Evaluation Plan'!B41</x:f>
        <x:v>39</x:v>
      </x:c>
      <x:c r="C41" s="13" t="str">
        <x:f>'Evaluation Plan'!C41</x:f>
        <x:v>Set the white cup inside the bowl.</x:v>
      </x:c>
      <x:c r="D41" s="13" t="str">
        <x:f>'Evaluation Plan'!D41</x:f>
        <x:v>white cup A (O, UD); yellow-white striped cup A (O, RU); brown cup A (C, RU)</x:v>
      </x:c>
      <x:c r="E41" s="14" t="n">
        <x:f>'Evaluation Plan'!E41</x:f>
        <x:v>37</x:v>
      </x:c>
      <x:c r="F41" s="14" t="n">
        <x:f>'Evaluation Plan'!F41</x:f>
        <x:v>30</x:v>
      </x:c>
      <x:c r="G41" s="13" t="str">
        <x:f>'Evaluation Plan'!G41</x:f>
        <x:v>Paraphrase of the direct-category matched control grounded by training episode 30. The modified control scene and physical target are unchanged.</x:v>
      </x:c>
      <x:c r="H41" s="13" t="str">
        <x:f>'Evaluation Plan'!H41</x:f>
        <x:v>white cup A</x:v>
      </x:c>
      <x:c r="I41" s="13"/>
      <x:c r="J41" s="18" t="str">
        <x:f>'Evaluation Plan'!J41</x:f>
        <x:v>Language robustness</x:v>
      </x:c>
      <x:c r="K41" s="14" t="str">
        <x:f>'Evaluation Plan'!K41</x:f>
        <x:v>SR-CT05</x:v>
      </x:c>
      <x:c r="L41" s="14" t="str">
        <x:f>'Evaluation Plan'!L41</x:f>
        <x:v>N/A</x:v>
      </x:c>
      <x:c r="M41" s="14" t="str">
        <x:f>'Evaluation Plan'!M41</x:f>
        <x:v>white cup</x:v>
      </x:c>
      <x:c r="N41" s="14" t="n">
        <x:f>'Evaluation Plan'!N41</x:f>
        <x:v>3</x:v>
      </x:c>
      <x:c r="O41" s="14" t="n">
        <x:f>'Evaluation Plan'!O41</x:f>
        <x:v>1</x:v>
      </x:c>
      <x:c r="P41" s="14" t="str">
        <x:f>'Evaluation Plan'!P41</x:f>
        <x:v>Empty</x:v>
      </x:c>
      <x:c r="Q41" s="13" t="str">
        <x:f>'Evaluation Plan'!Q41</x:f>
        <x:v>Direct-category matched-control paraphrase</x:v>
      </x:c>
      <x:c r="R41" s="14" t="n">
        <x:f>'Evaluation Plan'!R41</x:f>
        <x:v>2</x:v>
      </x:c>
      <x:c r="S41" s="13" t="str">
        <x:f>'Evaluation Plan'!S41</x:f>
        <x:v>Reset the target to its marked pose; preserve the exact modified control scene and change only the direct instruction wording.</x:v>
      </x:c>
      <x:c r="T41" s="13" t="str">
        <x:f>'Evaluation Plan'!T41</x:f>
        <x:v>Language diagnostic for the pure manipulation control; no state word or state-based selection is required. The scene is an exact copy of the referenced canonical row.</x:v>
      </x:c>
      <x:c r="U41" s="13" t="n">
        <x:f>'Evaluation Plan'!U41</x:f>
        <x:v>0</x:v>
      </x:c>
    </x:row>
    <x:row r="42" ht="51" customHeight="1">
      <x:c r="A42" s="5" t="s">
        <x:v>181</x:v>
      </x:c>
      <x:c r="B42" s="4" t="n">
        <x:f>'Evaluation Plan'!B42</x:f>
        <x:v>40</x:v>
      </x:c>
      <x:c r="C42" s="5" t="str">
        <x:f>'Evaluation Plan'!C42</x:f>
        <x:v>Place the open yellow-white striped cup in the bowl.</x:v>
      </x:c>
      <x:c r="D42" s="5" t="str">
        <x:f>'Evaluation Plan'!D42</x:f>
        <x:v>yellow-white striped cup B (O, RU); yellow-white striped cup A (C, RU); glass spice container B (O, RU); white cup A (C, RU)</x:v>
      </x:c>
      <x:c r="E42" s="4" t="n">
        <x:f>'Evaluation Plan'!E42</x:f>
        <x:v>0</x:v>
      </x:c>
      <x:c r="F42" s="4" t="str">
        <x:f>'Evaluation Plan'!F42</x:f>
        <x:v>53</x:v>
      </x:c>
      <x:c r="G42" s="5" t="str">
        <x:f>'Evaluation Plan'!G42</x:f>
        <x:v>Physical-state and manipulation-trajectory reference under a direct category prompt; the evaluated state word × object-category cell is intentionally absent from training. All objects are upright, matching the context of every explicit open/closed training demonstration.</x:v>
      </x:c>
      <x:c r="H42" s="5" t="str">
        <x:f>'Evaluation Plan'!H42</x:f>
        <x:v>yellow-white striped cup B</x:v>
      </x:c>
      <x:c r="I42" s="5"/>
      <x:c r="J42" s="12" t="str">
        <x:f>'Evaluation Plan'!J42</x:f>
        <x:v>Concept/compositional transfer</x:v>
      </x:c>
      <x:c r="K42" s="4" t="str">
        <x:f>'Evaluation Plan'!K42</x:f>
        <x:v>SR-CT06</x:v>
      </x:c>
      <x:c r="L42" s="4" t="str">
        <x:f>'Evaluation Plan'!L42</x:f>
        <x:v>O</x:v>
      </x:c>
      <x:c r="M42" s="4" t="str">
        <x:f>'Evaluation Plan'!M42</x:f>
        <x:v>yellow-white striped cup</x:v>
      </x:c>
      <x:c r="N42" s="4" t="n">
        <x:f>'Evaluation Plan'!N42</x:f>
        <x:v>4</x:v>
      </x:c>
      <x:c r="O42" s="4" t="n">
        <x:f>'Evaluation Plan'!O42</x:f>
        <x:v>1</x:v>
      </x:c>
      <x:c r="P42" s="4" t="str">
        <x:f>'Evaluation Plan'!P42</x:f>
        <x:v>Empty</x:v>
      </x:c>
      <x:c r="Q42" s="5" t="str">
        <x:f>'Evaluation Plan'!Q42</x:f>
        <x:v>Primary held-out state-object composition</x:v>
      </x:c>
      <x:c r="R42" s="4" t="n">
        <x:f>'Evaluation Plan'!R42</x:f>
        <x:v>2</x:v>
      </x:c>
      <x:c r="S42" s="5" t="str">
        <x:f>'Evaluation Plan'!S42</x:f>
        <x:v>Build the listed same-category discrimination scene with the bowl empty.</x:v>
      </x:c>
      <x:c r="T42" s="5" t="str">
        <x:f>'Evaluation Plan'!T42</x:f>
        <x:v>Two same-category candidates share the non-queried state axis; only the held-out state word identifies the target. The orthogonal orientation axis is fixed: every object is RU.</x:v>
      </x:c>
      <x:c r="U42" s="5" t="n">
        <x:f>'Evaluation Plan'!U42</x:f>
        <x:v>0</x:v>
      </x:c>
    </x:row>
    <x:row r="43" ht="51" customHeight="1">
      <x:c r="A43" s="13" t="s">
        <x:v>181</x:v>
      </x:c>
      <x:c r="B43" s="14" t="n">
        <x:f>'Evaluation Plan'!B43</x:f>
        <x:v>41</x:v>
      </x:c>
      <x:c r="C43" s="13" t="str">
        <x:f>'Evaluation Plan'!C43</x:f>
        <x:v>Put a yellow-white striped cup in the bowl.</x:v>
      </x:c>
      <x:c r="D43" s="13" t="str">
        <x:f>'Evaluation Plan'!D43</x:f>
        <x:v>yellow-white striped cup B (O, RU); brown cup B (C, RU); glass spice container B (O, RU); white cup A (C, RU)</x:v>
      </x:c>
      <x:c r="E43" s="14" t="n">
        <x:f>'Evaluation Plan'!E43</x:f>
        <x:v>40</x:v>
      </x:c>
      <x:c r="F43" s="14" t="n">
        <x:f>'Evaluation Plan'!F43</x:f>
        <x:v>53</x:v>
      </x:c>
      <x:c r="G43" s="13" t="str">
        <x:f>'Evaluation Plan'!G43</x:f>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H43" s="13" t="str">
        <x:f>'Evaluation Plan'!H43</x:f>
        <x:v>yellow-white striped cup B</x:v>
      </x:c>
      <x:c r="I43" s="13"/>
      <x:c r="J43" s="15" t="str">
        <x:f>'Evaluation Plan'!J43</x:f>
        <x:v>Matched manipulation control</x:v>
      </x:c>
      <x:c r="K43" s="14" t="str">
        <x:f>'Evaluation Plan'!K43</x:f>
        <x:v>SR-CT06</x:v>
      </x:c>
      <x:c r="L43" s="14" t="str">
        <x:f>'Evaluation Plan'!L43</x:f>
        <x:v>N/A</x:v>
      </x:c>
      <x:c r="M43" s="14" t="str">
        <x:f>'Evaluation Plan'!M43</x:f>
        <x:v>yellow-white striped cup</x:v>
      </x:c>
      <x:c r="N43" s="14" t="n">
        <x:f>'Evaluation Plan'!N43</x:f>
        <x:v>4</x:v>
      </x:c>
      <x:c r="O43" s="14" t="n">
        <x:f>'Evaluation Plan'!O43</x:f>
        <x:v>1</x:v>
      </x:c>
      <x:c r="P43" s="14" t="str">
        <x:f>'Evaluation Plan'!P43</x:f>
        <x:v>Empty</x:v>
      </x:c>
      <x:c r="Q43" s="13" t="str">
        <x:f>'Evaluation Plan'!Q43</x:f>
        <x:v>One-object-substitution direct-category control</x:v>
      </x:c>
      <x:c r="R43" s="14" t="n">
        <x:f>'Evaluation Plan'!R43</x:f>
        <x:v>2</x:v>
      </x:c>
      <x:c r="S43" s="13" t="str">
        <x:f>'Evaluation Plan'!S43</x:f>
        <x:v>Reset yellow-white striped cup B to its transfer pose. Replace yellow-white striped cup A with brown cup B in the same location and use the states listed in this row; preserve all other objects.</x:v>
      </x:c>
      <x:c r="T43" s="13" t="str">
        <x:f>'Evaluation Plan'!T43</x:f>
        <x:v>Pure recognition/manipulation control: the prompt uniquely names the only object from the target category, while the physical target remains identical to the transfer row. Every object is RU.</x:v>
      </x:c>
      <x:c r="U43" s="13" t="n">
        <x:f>'Evaluation Plan'!U43</x:f>
        <x:v>0</x:v>
      </x:c>
    </x:row>
    <x:row r="44" ht="51" customHeight="1">
      <x:c r="A44" s="16" t="s">
        <x:v>181</x:v>
      </x:c>
      <x:c r="B44" s="17" t="n">
        <x:f>'Evaluation Plan'!B44</x:f>
        <x:v>42</x:v>
      </x:c>
      <x:c r="C44" s="16" t="str">
        <x:f>'Evaluation Plan'!C44</x:f>
        <x:v>Move the yellow-white striped cup whose opening is uncovered into the bowl.</x:v>
      </x:c>
      <x:c r="D44" s="16" t="str">
        <x:f>'Evaluation Plan'!D44</x:f>
        <x:v>yellow-white striped cup B (O, RU); yellow-white striped cup A (C, RU); glass spice container B (O, RU); white cup A (C, RU)</x:v>
      </x:c>
      <x:c r="E44" s="17" t="n">
        <x:f>'Evaluation Plan'!E44</x:f>
        <x:v>40</x:v>
      </x:c>
      <x:c r="F44" s="17" t="str">
        <x:f>'Evaluation Plan'!F44</x:f>
        <x:v>53</x:v>
      </x:c>
      <x:c r="G44" s="16" t="str">
        <x:f>'Evaluation Plan'!G44</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4" s="16" t="str">
        <x:f>'Evaluation Plan'!H44</x:f>
        <x:v>yellow-white striped cup B</x:v>
      </x:c>
      <x:c r="I44" s="16"/>
      <x:c r="J44" s="18" t="str">
        <x:f>'Evaluation Plan'!J44</x:f>
        <x:v>Language robustness</x:v>
      </x:c>
      <x:c r="K44" s="17" t="str">
        <x:f>'Evaluation Plan'!K44</x:f>
        <x:v>SR-CT06</x:v>
      </x:c>
      <x:c r="L44" s="17" t="str">
        <x:f>'Evaluation Plan'!L44</x:f>
        <x:v>O</x:v>
      </x:c>
      <x:c r="M44" s="17" t="str">
        <x:f>'Evaluation Plan'!M44</x:f>
        <x:v>yellow-white striped cup</x:v>
      </x:c>
      <x:c r="N44" s="17" t="n">
        <x:f>'Evaluation Plan'!N44</x:f>
        <x:v>4</x:v>
      </x:c>
      <x:c r="O44" s="17" t="n">
        <x:f>'Evaluation Plan'!O44</x:f>
        <x:v>1</x:v>
      </x:c>
      <x:c r="P44" s="17" t="str">
        <x:f>'Evaluation Plan'!P44</x:f>
        <x:v>Empty</x:v>
      </x:c>
      <x:c r="Q44" s="16" t="str">
        <x:f>'Evaluation Plan'!Q44</x:f>
        <x:v>Primary compositional-transfer prompt paraphrase</x:v>
      </x:c>
      <x:c r="R44" s="17" t="n">
        <x:f>'Evaluation Plan'!R44</x:f>
        <x:v>2</x:v>
      </x:c>
      <x:c r="S44" s="16" t="str">
        <x:f>'Evaluation Plan'!S44</x:f>
        <x:v>Reset the moved object exactly; preserve every object and state; change only the prompt wording.</x:v>
      </x:c>
      <x:c r="T44" s="16" t="str">
        <x:f>'Evaluation Plan'!T44</x:f>
        <x:v>Exact-scene paraphrase of one of the 50 canonical compositional-transfer trials. The orthogonal orientation axis is fixed: every object is RU. The scene is an exact copy of the referenced canonical row.</x:v>
      </x:c>
      <x:c r="U44" s="16" t="n">
        <x:f>'Evaluation Plan'!U44</x:f>
        <x:v>0</x:v>
      </x:c>
    </x:row>
    <x:row r="45" ht="51" customHeight="1">
      <x:c r="A45" s="13" t="s">
        <x:v>181</x:v>
      </x:c>
      <x:c r="B45" s="14" t="n">
        <x:f>'Evaluation Plan'!B45</x:f>
        <x:v>43</x:v>
      </x:c>
      <x:c r="C45" s="13" t="str">
        <x:f>'Evaluation Plan'!C45</x:f>
        <x:v>Transfer the yellow-white striped cup from the table into the bowl.</x:v>
      </x:c>
      <x:c r="D45" s="13" t="str">
        <x:f>'Evaluation Plan'!D45</x:f>
        <x:v>yellow-white striped cup B (O, RU); brown cup B (C, RU); glass spice container B (O, RU); white cup A (C, RU)</x:v>
      </x:c>
      <x:c r="E45" s="14" t="n">
        <x:f>'Evaluation Plan'!E45</x:f>
        <x:v>41</x:v>
      </x:c>
      <x:c r="F45" s="14" t="n">
        <x:f>'Evaluation Plan'!F45</x:f>
        <x:v>53</x:v>
      </x:c>
      <x:c r="G45" s="13" t="str">
        <x:f>'Evaluation Plan'!G45</x:f>
        <x:v>Paraphrase of the direct-category matched control grounded by training episode 53. The modified control scene and physical target are unchanged.</x:v>
      </x:c>
      <x:c r="H45" s="13" t="str">
        <x:f>'Evaluation Plan'!H45</x:f>
        <x:v>yellow-white striped cup B</x:v>
      </x:c>
      <x:c r="I45" s="13"/>
      <x:c r="J45" s="18" t="str">
        <x:f>'Evaluation Plan'!J45</x:f>
        <x:v>Language robustness</x:v>
      </x:c>
      <x:c r="K45" s="14" t="str">
        <x:f>'Evaluation Plan'!K45</x:f>
        <x:v>SR-CT06</x:v>
      </x:c>
      <x:c r="L45" s="14" t="str">
        <x:f>'Evaluation Plan'!L45</x:f>
        <x:v>N/A</x:v>
      </x:c>
      <x:c r="M45" s="14" t="str">
        <x:f>'Evaluation Plan'!M45</x:f>
        <x:v>yellow-white striped cup</x:v>
      </x:c>
      <x:c r="N45" s="14" t="n">
        <x:f>'Evaluation Plan'!N45</x:f>
        <x:v>4</x:v>
      </x:c>
      <x:c r="O45" s="14" t="n">
        <x:f>'Evaluation Plan'!O45</x:f>
        <x:v>1</x:v>
      </x:c>
      <x:c r="P45" s="14" t="str">
        <x:f>'Evaluation Plan'!P45</x:f>
        <x:v>Empty</x:v>
      </x:c>
      <x:c r="Q45" s="13" t="str">
        <x:f>'Evaluation Plan'!Q45</x:f>
        <x:v>Direct-category matched-control paraphrase</x:v>
      </x:c>
      <x:c r="R45" s="14" t="n">
        <x:f>'Evaluation Plan'!R45</x:f>
        <x:v>2</x:v>
      </x:c>
      <x:c r="S45" s="13" t="str">
        <x:f>'Evaluation Plan'!S45</x:f>
        <x:v>Reset the target to its marked pose; preserve the exact modified control scene and change only the direct instruction wording.</x:v>
      </x:c>
      <x:c r="T45" s="13" t="str">
        <x:f>'Evaluation Plan'!T45</x:f>
        <x:v>Language diagnostic for the pure manipulation control; no state word or state-based selection is required. The scene is an exact copy of the referenced canonical row.</x:v>
      </x:c>
      <x:c r="U45" s="13" t="n">
        <x:f>'Evaluation Plan'!U45</x:f>
        <x:v>0</x:v>
      </x:c>
    </x:row>
    <x:row r="46" ht="51" customHeight="1">
      <x:c r="A46" s="5" t="s">
        <x:v>181</x:v>
      </x:c>
      <x:c r="B46" s="4" t="n">
        <x:f>'Evaluation Plan'!B46</x:f>
        <x:v>44</x:v>
      </x:c>
      <x:c r="C46" s="5" t="str">
        <x:f>'Evaluation Plan'!C46</x:f>
        <x:v>Place the closed brown cup in the bowl.</x:v>
      </x:c>
      <x:c r="D46" s="5" t="str">
        <x:f>'Evaluation Plan'!D46</x:f>
        <x:v>brown cup A (C, RU); brown cup B (O, RU)</x:v>
      </x:c>
      <x:c r="E46" s="4" t="n">
        <x:f>'Evaluation Plan'!E46</x:f>
        <x:v>0</x:v>
      </x:c>
      <x:c r="F46" s="4" t="str">
        <x:f>'Evaluation Plan'!F46</x:f>
        <x:v>107</x:v>
      </x:c>
      <x:c r="G46" s="5" t="str">
        <x:f>'Evaluation Plan'!G46</x:f>
        <x:v>Physical-state and manipulation-trajectory reference under a direct category prompt; the evaluated state word × object-category cell is intentionally absent from training. All objects are upright, matching the context of every explicit open/closed training demonstration.</x:v>
      </x:c>
      <x:c r="H46" s="5" t="str">
        <x:f>'Evaluation Plan'!H46</x:f>
        <x:v>brown cup A</x:v>
      </x:c>
      <x:c r="I46" s="5"/>
      <x:c r="J46" s="12" t="str">
        <x:f>'Evaluation Plan'!J46</x:f>
        <x:v>Concept/compositional transfer</x:v>
      </x:c>
      <x:c r="K46" s="4" t="str">
        <x:f>'Evaluation Plan'!K46</x:f>
        <x:v>SR-CT07</x:v>
      </x:c>
      <x:c r="L46" s="4" t="str">
        <x:f>'Evaluation Plan'!L46</x:f>
        <x:v>C</x:v>
      </x:c>
      <x:c r="M46" s="4" t="str">
        <x:f>'Evaluation Plan'!M46</x:f>
        <x:v>brown cup</x:v>
      </x:c>
      <x:c r="N46" s="4" t="n">
        <x:f>'Evaluation Plan'!N46</x:f>
        <x:v>2</x:v>
      </x:c>
      <x:c r="O46" s="4" t="n">
        <x:f>'Evaluation Plan'!O46</x:f>
        <x:v>1</x:v>
      </x:c>
      <x:c r="P46" s="4" t="str">
        <x:f>'Evaluation Plan'!P46</x:f>
        <x:v>Empty</x:v>
      </x:c>
      <x:c r="Q46" s="5" t="str">
        <x:f>'Evaluation Plan'!Q46</x:f>
        <x:v>Primary held-out state-object composition</x:v>
      </x:c>
      <x:c r="R46" s="4" t="n">
        <x:f>'Evaluation Plan'!R46</x:f>
        <x:v>2</x:v>
      </x:c>
      <x:c r="S46" s="5" t="str">
        <x:f>'Evaluation Plan'!S46</x:f>
        <x:v>Build the listed same-category discrimination scene with the bowl empty.</x:v>
      </x:c>
      <x:c r="T46" s="5" t="str">
        <x:f>'Evaluation Plan'!T46</x:f>
        <x:v>Two same-category candidates share the non-queried state axis; only the held-out state word identifies the target. The orthogonal orientation axis is fixed: every object is RU.</x:v>
      </x:c>
      <x:c r="U46" s="5" t="n">
        <x:f>'Evaluation Plan'!U46</x:f>
        <x:v>0</x:v>
      </x:c>
    </x:row>
    <x:row r="47" ht="51" customHeight="1">
      <x:c r="A47" s="13" t="s">
        <x:v>181</x:v>
      </x:c>
      <x:c r="B47" s="14" t="n">
        <x:f>'Evaluation Plan'!B47</x:f>
        <x:v>45</x:v>
      </x:c>
      <x:c r="C47" s="13" t="str">
        <x:f>'Evaluation Plan'!C47</x:f>
        <x:v>Put a brown cup in the bowl.</x:v>
      </x:c>
      <x:c r="D47" s="13" t="str">
        <x:f>'Evaluation Plan'!D47</x:f>
        <x:v>brown cup A (C, RU); white cup A (O, RU)</x:v>
      </x:c>
      <x:c r="E47" s="14" t="n">
        <x:f>'Evaluation Plan'!E47</x:f>
        <x:v>44</x:v>
      </x:c>
      <x:c r="F47" s="14" t="n">
        <x:f>'Evaluation Plan'!F47</x:f>
        <x:v>107</x:v>
      </x:c>
      <x:c r="G47" s="13" t="str">
        <x:f>'Evaluation Plan'!G47</x:f>
        <x:v>Exact direct-category manipulation prompt from training episode 107. The transfer target, state, and pose are preserved; only the competing brown cup is replaced by white cup A. The full control scene is upright because its paired transfer instruction queries open/closed.</x:v>
      </x:c>
      <x:c r="H47" s="13" t="str">
        <x:f>'Evaluation Plan'!H47</x:f>
        <x:v>brown cup A</x:v>
      </x:c>
      <x:c r="I47" s="13"/>
      <x:c r="J47" s="15" t="str">
        <x:f>'Evaluation Plan'!J47</x:f>
        <x:v>Matched manipulation control</x:v>
      </x:c>
      <x:c r="K47" s="14" t="str">
        <x:f>'Evaluation Plan'!K47</x:f>
        <x:v>SR-CT07</x:v>
      </x:c>
      <x:c r="L47" s="14" t="str">
        <x:f>'Evaluation Plan'!L47</x:f>
        <x:v>N/A</x:v>
      </x:c>
      <x:c r="M47" s="14" t="str">
        <x:f>'Evaluation Plan'!M47</x:f>
        <x:v>brown cup</x:v>
      </x:c>
      <x:c r="N47" s="14" t="n">
        <x:f>'Evaluation Plan'!N47</x:f>
        <x:v>2</x:v>
      </x:c>
      <x:c r="O47" s="14" t="n">
        <x:f>'Evaluation Plan'!O47</x:f>
        <x:v>1</x:v>
      </x:c>
      <x:c r="P47" s="14" t="str">
        <x:f>'Evaluation Plan'!P47</x:f>
        <x:v>Empty</x:v>
      </x:c>
      <x:c r="Q47" s="13" t="str">
        <x:f>'Evaluation Plan'!Q47</x:f>
        <x:v>One-object-substitution direct-category control</x:v>
      </x:c>
      <x:c r="R47" s="14" t="n">
        <x:f>'Evaluation Plan'!R47</x:f>
        <x:v>2</x:v>
      </x:c>
      <x:c r="S47" s="13" t="str">
        <x:f>'Evaluation Plan'!S47</x:f>
        <x:v>Reset brown cup A to its transfer pose. Replace brown cup B with white cup A in the same location and use the states listed in this row; preserve all other objects.</x:v>
      </x:c>
      <x:c r="T47" s="13" t="str">
        <x:f>'Evaluation Plan'!T47</x:f>
        <x:v>Pure recognition/manipulation control: the prompt uniquely names the only object from the target category, while the physical target remains identical to the transfer row. Every object is RU.</x:v>
      </x:c>
      <x:c r="U47" s="13" t="n">
        <x:f>'Evaluation Plan'!U47</x:f>
        <x:v>0</x:v>
      </x:c>
    </x:row>
    <x:row r="48" ht="51" customHeight="1">
      <x:c r="A48" s="16" t="s">
        <x:v>181</x:v>
      </x:c>
      <x:c r="B48" s="17" t="n">
        <x:f>'Evaluation Plan'!B48</x:f>
        <x:v>46</x:v>
      </x:c>
      <x:c r="C48" s="16" t="str">
        <x:f>'Evaluation Plan'!C48</x:f>
        <x:v>Move the brown cup whose opening is covered into the bowl.</x:v>
      </x:c>
      <x:c r="D48" s="16" t="str">
        <x:f>'Evaluation Plan'!D48</x:f>
        <x:v>brown cup A (C, RU); brown cup B (O, RU)</x:v>
      </x:c>
      <x:c r="E48" s="17" t="n">
        <x:f>'Evaluation Plan'!E48</x:f>
        <x:v>44</x:v>
      </x:c>
      <x:c r="F48" s="17" t="str">
        <x:f>'Evaluation Plan'!F48</x:f>
        <x:v>107</x:v>
      </x:c>
      <x:c r="G48" s="16" t="str">
        <x:f>'Evaluation Plan'!G48</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8" s="16" t="str">
        <x:f>'Evaluation Plan'!H48</x:f>
        <x:v>brown cup A</x:v>
      </x:c>
      <x:c r="I48" s="16"/>
      <x:c r="J48" s="18" t="str">
        <x:f>'Evaluation Plan'!J48</x:f>
        <x:v>Language robustness</x:v>
      </x:c>
      <x:c r="K48" s="17" t="str">
        <x:f>'Evaluation Plan'!K48</x:f>
        <x:v>SR-CT07</x:v>
      </x:c>
      <x:c r="L48" s="17" t="str">
        <x:f>'Evaluation Plan'!L48</x:f>
        <x:v>C</x:v>
      </x:c>
      <x:c r="M48" s="17" t="str">
        <x:f>'Evaluation Plan'!M48</x:f>
        <x:v>brown cup</x:v>
      </x:c>
      <x:c r="N48" s="17" t="n">
        <x:f>'Evaluation Plan'!N48</x:f>
        <x:v>2</x:v>
      </x:c>
      <x:c r="O48" s="17" t="n">
        <x:f>'Evaluation Plan'!O48</x:f>
        <x:v>1</x:v>
      </x:c>
      <x:c r="P48" s="17" t="str">
        <x:f>'Evaluation Plan'!P48</x:f>
        <x:v>Empty</x:v>
      </x:c>
      <x:c r="Q48" s="16" t="str">
        <x:f>'Evaluation Plan'!Q48</x:f>
        <x:v>Primary compositional-transfer prompt paraphrase</x:v>
      </x:c>
      <x:c r="R48" s="17" t="n">
        <x:f>'Evaluation Plan'!R48</x:f>
        <x:v>2</x:v>
      </x:c>
      <x:c r="S48" s="16" t="str">
        <x:f>'Evaluation Plan'!S48</x:f>
        <x:v>Reset the moved object exactly; preserve every object and state; change only the prompt wording.</x:v>
      </x:c>
      <x:c r="T48" s="16" t="str">
        <x:f>'Evaluation Plan'!T48</x:f>
        <x:v>Exact-scene paraphrase of one of the 50 canonical compositional-transfer trials. The orthogonal orientation axis is fixed: every object is RU. The scene is an exact copy of the referenced canonical row.</x:v>
      </x:c>
      <x:c r="U48" s="16" t="n">
        <x:f>'Evaluation Plan'!U48</x:f>
        <x:v>0</x:v>
      </x:c>
    </x:row>
    <x:row r="49" ht="51" customHeight="1">
      <x:c r="A49" s="13" t="s">
        <x:v>181</x:v>
      </x:c>
      <x:c r="B49" s="14" t="n">
        <x:f>'Evaluation Plan'!B49</x:f>
        <x:v>47</x:v>
      </x:c>
      <x:c r="C49" s="13" t="str">
        <x:f>'Evaluation Plan'!C49</x:f>
        <x:v>Lift the brown cup and set it inside the bowl.</x:v>
      </x:c>
      <x:c r="D49" s="13" t="str">
        <x:f>'Evaluation Plan'!D49</x:f>
        <x:v>brown cup A (C, RU); white cup A (O, RU)</x:v>
      </x:c>
      <x:c r="E49" s="14" t="n">
        <x:f>'Evaluation Plan'!E49</x:f>
        <x:v>45</x:v>
      </x:c>
      <x:c r="F49" s="14" t="n">
        <x:f>'Evaluation Plan'!F49</x:f>
        <x:v>107</x:v>
      </x:c>
      <x:c r="G49" s="13" t="str">
        <x:f>'Evaluation Plan'!G49</x:f>
        <x:v>Paraphrase of the direct-category matched control grounded by training episode 107. The modified control scene and physical target are unchanged.</x:v>
      </x:c>
      <x:c r="H49" s="13" t="str">
        <x:f>'Evaluation Plan'!H49</x:f>
        <x:v>brown cup A</x:v>
      </x:c>
      <x:c r="I49" s="13"/>
      <x:c r="J49" s="18" t="str">
        <x:f>'Evaluation Plan'!J49</x:f>
        <x:v>Language robustness</x:v>
      </x:c>
      <x:c r="K49" s="14" t="str">
        <x:f>'Evaluation Plan'!K49</x:f>
        <x:v>SR-CT07</x:v>
      </x:c>
      <x:c r="L49" s="14" t="str">
        <x:f>'Evaluation Plan'!L49</x:f>
        <x:v>N/A</x:v>
      </x:c>
      <x:c r="M49" s="14" t="str">
        <x:f>'Evaluation Plan'!M49</x:f>
        <x:v>brown cup</x:v>
      </x:c>
      <x:c r="N49" s="14" t="n">
        <x:f>'Evaluation Plan'!N49</x:f>
        <x:v>2</x:v>
      </x:c>
      <x:c r="O49" s="14" t="n">
        <x:f>'Evaluation Plan'!O49</x:f>
        <x:v>1</x:v>
      </x:c>
      <x:c r="P49" s="14" t="str">
        <x:f>'Evaluation Plan'!P49</x:f>
        <x:v>Empty</x:v>
      </x:c>
      <x:c r="Q49" s="13" t="str">
        <x:f>'Evaluation Plan'!Q49</x:f>
        <x:v>Direct-category matched-control paraphrase</x:v>
      </x:c>
      <x:c r="R49" s="14" t="n">
        <x:f>'Evaluation Plan'!R49</x:f>
        <x:v>2</x:v>
      </x:c>
      <x:c r="S49" s="13" t="str">
        <x:f>'Evaluation Plan'!S49</x:f>
        <x:v>Reset the target to its marked pose; preserve the exact modified control scene and change only the direct instruction wording.</x:v>
      </x:c>
      <x:c r="T49" s="13" t="str">
        <x:f>'Evaluation Plan'!T49</x:f>
        <x:v>Language diagnostic for the pure manipulation control; no state word or state-based selection is required. The scene is an exact copy of the referenced canonical row.</x:v>
      </x:c>
      <x:c r="U49" s="13" t="n">
        <x:f>'Evaluation Plan'!U49</x:f>
        <x:v>0</x:v>
      </x:c>
    </x:row>
    <x:row r="50" ht="51" customHeight="1">
      <x:c r="A50" s="5" t="s">
        <x:v>181</x:v>
      </x:c>
      <x:c r="B50" s="4" t="n">
        <x:f>'Evaluation Plan'!B50</x:f>
        <x:v>48</x:v>
      </x:c>
      <x:c r="C50" s="5" t="str">
        <x:f>'Evaluation Plan'!C50</x:f>
        <x:v>Place the upright glass spice container in the bowl.</x:v>
      </x:c>
      <x:c r="D50" s="5" t="str">
        <x:f>'Evaluation Plan'!D50</x:f>
        <x:v>glass spice container B (O, RU); glass spice container A (O, UD); yellow-white striped cup B (O, UD)</x:v>
      </x:c>
      <x:c r="E50" s="4" t="n">
        <x:f>'Evaluation Plan'!E50</x:f>
        <x:v>0</x:v>
      </x:c>
      <x:c r="F50" s="4" t="str">
        <x:f>'Evaluation Plan'!F50</x:f>
        <x:v>153</x:v>
      </x:c>
      <x:c r="G50" s="5" t="str">
        <x:f>'Evaluation Plan'!G50</x:f>
        <x:v>Physical-state and manipulation-trajectory reference under a direct category prompt; the evaluated state word × object-category cell is intentionally absent from training.</x:v>
      </x:c>
      <x:c r="H50" s="5" t="str">
        <x:f>'Evaluation Plan'!H50</x:f>
        <x:v>glass spice container B</x:v>
      </x:c>
      <x:c r="I50" s="5"/>
      <x:c r="J50" s="12" t="str">
        <x:f>'Evaluation Plan'!J50</x:f>
        <x:v>Concept/compositional transfer</x:v>
      </x:c>
      <x:c r="K50" s="4" t="str">
        <x:f>'Evaluation Plan'!K50</x:f>
        <x:v>SR-CT08</x:v>
      </x:c>
      <x:c r="L50" s="4" t="str">
        <x:f>'Evaluation Plan'!L50</x:f>
        <x:v>RU</x:v>
      </x:c>
      <x:c r="M50" s="4" t="str">
        <x:f>'Evaluation Plan'!M50</x:f>
        <x:v>glass spice container</x:v>
      </x:c>
      <x:c r="N50" s="4" t="n">
        <x:f>'Evaluation Plan'!N50</x:f>
        <x:v>3</x:v>
      </x:c>
      <x:c r="O50" s="4" t="n">
        <x:f>'Evaluation Plan'!O50</x:f>
        <x:v>1</x:v>
      </x:c>
      <x:c r="P50" s="4" t="str">
        <x:f>'Evaluation Plan'!P50</x:f>
        <x:v>Empty</x:v>
      </x:c>
      <x:c r="Q50" s="5" t="str">
        <x:f>'Evaluation Plan'!Q50</x:f>
        <x:v>Primary held-out state-object composition</x:v>
      </x:c>
      <x:c r="R50" s="4" t="n">
        <x:f>'Evaluation Plan'!R50</x:f>
        <x:v>2</x:v>
      </x:c>
      <x:c r="S50" s="5" t="str">
        <x:f>'Evaluation Plan'!S50</x:f>
        <x:v>Build the listed same-category discrimination scene with the bowl empty.</x:v>
      </x:c>
      <x:c r="T50" s="5" t="str">
        <x:f>'Evaluation Plan'!T50</x:f>
        <x:v>Two same-category candidates share the non-queried state axis; only the held-out state word identifies the target. The same-category candidates share the orthogonal C/O state (O).</x:v>
      </x:c>
      <x:c r="U50" s="5" t="n">
        <x:f>'Evaluation Plan'!U50</x:f>
        <x:v>0</x:v>
      </x:c>
    </x:row>
    <x:row r="51" ht="51" customHeight="1">
      <x:c r="A51" s="13" t="s">
        <x:v>181</x:v>
      </x:c>
      <x:c r="B51" s="14" t="n">
        <x:f>'Evaluation Plan'!B51</x:f>
        <x:v>49</x:v>
      </x:c>
      <x:c r="C51" s="13" t="str">
        <x:f>'Evaluation Plan'!C51</x:f>
        <x:v>Move a glass spice container into the bowl.</x:v>
      </x:c>
      <x:c r="D51" s="13" t="str">
        <x:f>'Evaluation Plan'!D51</x:f>
        <x:v>glass spice container B (O, RU); brown cup B (O, UD); yellow-white striped cup B (O, UD)</x:v>
      </x:c>
      <x:c r="E51" s="14" t="n">
        <x:f>'Evaluation Plan'!E51</x:f>
        <x:v>48</x:v>
      </x:c>
      <x:c r="F51" s="14" t="n">
        <x:f>'Evaluation Plan'!F51</x:f>
        <x:v>153</x:v>
      </x:c>
      <x:c r="G51" s="13" t="str">
        <x:f>'Evaluation Plan'!G51</x:f>
        <x:v>Exact direct-category manipulation prompt from training episode 153. The transfer target, state, and pose are preserved; only the competing glass spice container is replaced by brown cup B.</x:v>
      </x:c>
      <x:c r="H51" s="13" t="str">
        <x:f>'Evaluation Plan'!H51</x:f>
        <x:v>glass spice container B</x:v>
      </x:c>
      <x:c r="I51" s="13"/>
      <x:c r="J51" s="15" t="str">
        <x:f>'Evaluation Plan'!J51</x:f>
        <x:v>Matched manipulation control</x:v>
      </x:c>
      <x:c r="K51" s="14" t="str">
        <x:f>'Evaluation Plan'!K51</x:f>
        <x:v>SR-CT08</x:v>
      </x:c>
      <x:c r="L51" s="14" t="str">
        <x:f>'Evaluation Plan'!L51</x:f>
        <x:v>N/A</x:v>
      </x:c>
      <x:c r="M51" s="14" t="str">
        <x:f>'Evaluation Plan'!M51</x:f>
        <x:v>glass spice container</x:v>
      </x:c>
      <x:c r="N51" s="14" t="n">
        <x:f>'Evaluation Plan'!N51</x:f>
        <x:v>3</x:v>
      </x:c>
      <x:c r="O51" s="14" t="n">
        <x:f>'Evaluation Plan'!O51</x:f>
        <x:v>1</x:v>
      </x:c>
      <x:c r="P51" s="14" t="str">
        <x:f>'Evaluation Plan'!P51</x:f>
        <x:v>Empty</x:v>
      </x:c>
      <x:c r="Q51" s="13" t="str">
        <x:f>'Evaluation Plan'!Q51</x:f>
        <x:v>One-object-substitution direct-category control</x:v>
      </x:c>
      <x:c r="R51" s="14" t="n">
        <x:f>'Evaluation Plan'!R51</x:f>
        <x:v>2</x:v>
      </x:c>
      <x:c r="S51" s="13" t="str">
        <x:f>'Evaluation Plan'!S51</x:f>
        <x:v>Reset glass spice container B to its transfer pose. Replace glass spice container A with brown cup B in the same location and use the states listed in this row; preserve all other objects.</x:v>
      </x:c>
      <x:c r="T51" s="13" t="str">
        <x:f>'Evaluation Plan'!T51</x:f>
        <x:v>Pure recognition/manipulation control: the prompt uniquely names the only object from the target category, while the physical target remains identical to the transfer row.</x:v>
      </x:c>
      <x:c r="U51" s="13" t="n">
        <x:f>'Evaluation Plan'!U51</x:f>
        <x:v>0</x:v>
      </x:c>
    </x:row>
    <x:row r="52" ht="51" customHeight="1">
      <x:c r="A52" s="16" t="s">
        <x:v>181</x:v>
      </x:c>
      <x:c r="B52" s="17" t="n">
        <x:f>'Evaluation Plan'!B52</x:f>
        <x:v>50</x:v>
      </x:c>
      <x:c r="C52" s="16" t="str">
        <x:f>'Evaluation Plan'!C52</x:f>
        <x:v>Move the right-side-up glass spice container into the bowl.</x:v>
      </x:c>
      <x:c r="D52" s="16" t="str">
        <x:f>'Evaluation Plan'!D52</x:f>
        <x:v>glass spice container B (O, RU); glass spice container A (O, UD); yellow-white striped cup B (O, UD)</x:v>
      </x:c>
      <x:c r="E52" s="17" t="n">
        <x:f>'Evaluation Plan'!E52</x:f>
        <x:v>48</x:v>
      </x:c>
      <x:c r="F52" s="17" t="str">
        <x:f>'Evaluation Plan'!F52</x:f>
        <x:v>153</x:v>
      </x:c>
      <x:c r="G52" s="16" t="str">
        <x:f>'Evaluation Plan'!G52</x:f>
        <x:v>The canonical transfer scene and masked trajectory reference are unchanged; only the evaluation wording is paraphrased. This remains a language diagnostic and is not pooled into the primary 50.</x:v>
      </x:c>
      <x:c r="H52" s="16" t="str">
        <x:f>'Evaluation Plan'!H52</x:f>
        <x:v>glass spice container B</x:v>
      </x:c>
      <x:c r="I52" s="16"/>
      <x:c r="J52" s="18" t="str">
        <x:f>'Evaluation Plan'!J52</x:f>
        <x:v>Language robustness</x:v>
      </x:c>
      <x:c r="K52" s="17" t="str">
        <x:f>'Evaluation Plan'!K52</x:f>
        <x:v>SR-CT08</x:v>
      </x:c>
      <x:c r="L52" s="17" t="str">
        <x:f>'Evaluation Plan'!L52</x:f>
        <x:v>RU</x:v>
      </x:c>
      <x:c r="M52" s="17" t="str">
        <x:f>'Evaluation Plan'!M52</x:f>
        <x:v>glass spice container</x:v>
      </x:c>
      <x:c r="N52" s="17" t="n">
        <x:f>'Evaluation Plan'!N52</x:f>
        <x:v>3</x:v>
      </x:c>
      <x:c r="O52" s="17" t="n">
        <x:f>'Evaluation Plan'!O52</x:f>
        <x:v>1</x:v>
      </x:c>
      <x:c r="P52" s="17" t="str">
        <x:f>'Evaluation Plan'!P52</x:f>
        <x:v>Empty</x:v>
      </x:c>
      <x:c r="Q52" s="16" t="str">
        <x:f>'Evaluation Plan'!Q52</x:f>
        <x:v>Primary compositional-transfer prompt paraphrase</x:v>
      </x:c>
      <x:c r="R52" s="17" t="n">
        <x:f>'Evaluation Plan'!R52</x:f>
        <x:v>2</x:v>
      </x:c>
      <x:c r="S52" s="16" t="str">
        <x:f>'Evaluation Plan'!S52</x:f>
        <x:v>Reset the moved object exactly; preserve every object and state; change only the prompt wording.</x:v>
      </x:c>
      <x:c r="T52" s="16" t="str">
        <x:f>'Evaluation Plan'!T52</x:f>
        <x:v>Exact-scene paraphrase of one of the 50 canonical compositional-transfer trials. The same-category candidates share the orthogonal C/O state (O). The scene is an exact copy of the referenced canonical row.</x:v>
      </x:c>
      <x:c r="U52" s="16" t="n">
        <x:f>'Evaluation Plan'!U52</x:f>
        <x:v>0</x:v>
      </x:c>
    </x:row>
    <x:row r="53" ht="51" customHeight="1">
      <x:c r="A53" s="13" t="s">
        <x:v>181</x:v>
      </x:c>
      <x:c r="B53" s="14" t="n">
        <x:f>'Evaluation Plan'!B53</x:f>
        <x:v>51</x:v>
      </x:c>
      <x:c r="C53" s="13" t="str">
        <x:f>'Evaluation Plan'!C53</x:f>
        <x:v>Take the glass spice container off the table and place it in the bowl.</x:v>
      </x:c>
      <x:c r="D53" s="13" t="str">
        <x:f>'Evaluation Plan'!D53</x:f>
        <x:v>glass spice container B (O, RU); brown cup B (O, UD); yellow-white striped cup B (O, UD)</x:v>
      </x:c>
      <x:c r="E53" s="14" t="n">
        <x:f>'Evaluation Plan'!E53</x:f>
        <x:v>49</x:v>
      </x:c>
      <x:c r="F53" s="14" t="n">
        <x:f>'Evaluation Plan'!F53</x:f>
        <x:v>153</x:v>
      </x:c>
      <x:c r="G53" s="13" t="str">
        <x:f>'Evaluation Plan'!G53</x:f>
        <x:v>Paraphrase of the direct-category matched control grounded by training episode 153. The modified control scene and physical target are unchanged.</x:v>
      </x:c>
      <x:c r="H53" s="13" t="str">
        <x:f>'Evaluation Plan'!H53</x:f>
        <x:v>glass spice container B</x:v>
      </x:c>
      <x:c r="I53" s="13"/>
      <x:c r="J53" s="18" t="str">
        <x:f>'Evaluation Plan'!J53</x:f>
        <x:v>Language robustness</x:v>
      </x:c>
      <x:c r="K53" s="14" t="str">
        <x:f>'Evaluation Plan'!K53</x:f>
        <x:v>SR-CT08</x:v>
      </x:c>
      <x:c r="L53" s="14" t="str">
        <x:f>'Evaluation Plan'!L53</x:f>
        <x:v>N/A</x:v>
      </x:c>
      <x:c r="M53" s="14" t="str">
        <x:f>'Evaluation Plan'!M53</x:f>
        <x:v>glass spice container</x:v>
      </x:c>
      <x:c r="N53" s="14" t="n">
        <x:f>'Evaluation Plan'!N53</x:f>
        <x:v>3</x:v>
      </x:c>
      <x:c r="O53" s="14" t="n">
        <x:f>'Evaluation Plan'!O53</x:f>
        <x:v>1</x:v>
      </x:c>
      <x:c r="P53" s="14" t="str">
        <x:f>'Evaluation Plan'!P53</x:f>
        <x:v>Empty</x:v>
      </x:c>
      <x:c r="Q53" s="13" t="str">
        <x:f>'Evaluation Plan'!Q53</x:f>
        <x:v>Direct-category matched-control paraphrase</x:v>
      </x:c>
      <x:c r="R53" s="14" t="n">
        <x:f>'Evaluation Plan'!R53</x:f>
        <x:v>2</x:v>
      </x:c>
      <x:c r="S53" s="13" t="str">
        <x:f>'Evaluation Plan'!S53</x:f>
        <x:v>Reset the target to its marked pose; preserve the exact modified control scene and change only the direct instruction wording.</x:v>
      </x:c>
      <x:c r="T53" s="13" t="str">
        <x:f>'Evaluation Plan'!T53</x:f>
        <x:v>Language diagnostic for the pure manipulation control; no state word or state-based selection is required. The scene is an exact copy of the referenced canonical row.</x:v>
      </x:c>
      <x:c r="U53" s="13" t="n">
        <x:f>'Evaluation Plan'!U53</x:f>
        <x:v>0</x:v>
      </x:c>
    </x:row>
    <x:row r="54" ht="51" customHeight="1">
      <x:c r="A54" s="5" t="s">
        <x:v>181</x:v>
      </x:c>
      <x:c r="B54" s="4" t="n">
        <x:f>'Evaluation Plan'!B54</x:f>
        <x:v>52</x:v>
      </x:c>
      <x:c r="C54" s="5" t="str">
        <x:f>'Evaluation Plan'!C54</x:f>
        <x:v>Place the upside-down white cup in the bowl.</x:v>
      </x:c>
      <x:c r="D54" s="5" t="str">
        <x:f>'Evaluation Plan'!D54</x:f>
        <x:v>white cup A (C, UD); white cup B (C, RU); glass spice container A (C, RU); yellow-white striped cup B (O, RU)</x:v>
      </x:c>
      <x:c r="E54" s="4" t="n">
        <x:f>'Evaluation Plan'!E54</x:f>
        <x:v>0</x:v>
      </x:c>
      <x:c r="F54" s="4" t="str">
        <x:f>'Evaluation Plan'!F54</x:f>
        <x:v>39</x:v>
      </x:c>
      <x:c r="G54" s="5" t="str">
        <x:f>'Evaluation Plan'!G54</x:f>
        <x:v>Physical-state and manipulation-trajectory reference under a direct category prompt; the evaluated state word × object-category cell is intentionally absent from training.</x:v>
      </x:c>
      <x:c r="H54" s="5" t="str">
        <x:f>'Evaluation Plan'!H54</x:f>
        <x:v>white cup A</x:v>
      </x:c>
      <x:c r="I54" s="5"/>
      <x:c r="J54" s="12" t="str">
        <x:f>'Evaluation Plan'!J54</x:f>
        <x:v>Concept/compositional transfer</x:v>
      </x:c>
      <x:c r="K54" s="4" t="str">
        <x:f>'Evaluation Plan'!K54</x:f>
        <x:v>SR-CT09</x:v>
      </x:c>
      <x:c r="L54" s="4" t="str">
        <x:f>'Evaluation Plan'!L54</x:f>
        <x:v>UD</x:v>
      </x:c>
      <x:c r="M54" s="4" t="str">
        <x:f>'Evaluation Plan'!M54</x:f>
        <x:v>white cup</x:v>
      </x:c>
      <x:c r="N54" s="4" t="n">
        <x:f>'Evaluation Plan'!N54</x:f>
        <x:v>4</x:v>
      </x:c>
      <x:c r="O54" s="4" t="n">
        <x:f>'Evaluation Plan'!O54</x:f>
        <x:v>1</x:v>
      </x:c>
      <x:c r="P54" s="4" t="str">
        <x:f>'Evaluation Plan'!P54</x:f>
        <x:v>Empty</x:v>
      </x:c>
      <x:c r="Q54" s="5" t="str">
        <x:f>'Evaluation Plan'!Q54</x:f>
        <x:v>Primary held-out state-object composition</x:v>
      </x:c>
      <x:c r="R54" s="4" t="n">
        <x:f>'Evaluation Plan'!R54</x:f>
        <x:v>2</x:v>
      </x:c>
      <x:c r="S54" s="5" t="str">
        <x:f>'Evaluation Plan'!S54</x:f>
        <x:v>Build the listed same-category discrimination scene with the bowl empty.</x:v>
      </x:c>
      <x:c r="T54" s="5" t="str">
        <x:f>'Evaluation Plan'!T54</x:f>
        <x:v>Two same-category candidates share the non-queried state axis; only the held-out state word identifies the target. The same-category candidates share the orthogonal C/O state (C).</x:v>
      </x:c>
      <x:c r="U54" s="5" t="n">
        <x:f>'Evaluation Plan'!U54</x:f>
        <x:v>0</x:v>
      </x:c>
    </x:row>
    <x:row r="55" ht="51" customHeight="1">
      <x:c r="A55" s="13" t="s">
        <x:v>181</x:v>
      </x:c>
      <x:c r="B55" s="14" t="n">
        <x:f>'Evaluation Plan'!B55</x:f>
        <x:v>53</x:v>
      </x:c>
      <x:c r="C55" s="13" t="str">
        <x:f>'Evaluation Plan'!C55</x:f>
        <x:v>Move a white cup into the bowl.</x:v>
      </x:c>
      <x:c r="D55" s="13" t="str">
        <x:f>'Evaluation Plan'!D55</x:f>
        <x:v>white cup A (C, UD); brown cup A (C, RU); glass spice container A (C, RU); yellow-white striped cup B (O, RU)</x:v>
      </x:c>
      <x:c r="E55" s="14" t="n">
        <x:f>'Evaluation Plan'!E55</x:f>
        <x:v>52</x:v>
      </x:c>
      <x:c r="F55" s="14" t="n">
        <x:f>'Evaluation Plan'!F55</x:f>
        <x:v>39</x:v>
      </x:c>
      <x:c r="G55" s="13" t="str">
        <x:f>'Evaluation Plan'!G55</x:f>
        <x:v>Exact direct-category manipulation prompt from training episode 39. The transfer target, state, and pose are preserved; only the competing white cup is replaced by brown cup A.</x:v>
      </x:c>
      <x:c r="H55" s="13" t="str">
        <x:f>'Evaluation Plan'!H55</x:f>
        <x:v>white cup A</x:v>
      </x:c>
      <x:c r="I55" s="13"/>
      <x:c r="J55" s="15" t="str">
        <x:f>'Evaluation Plan'!J55</x:f>
        <x:v>Matched manipulation control</x:v>
      </x:c>
      <x:c r="K55" s="14" t="str">
        <x:f>'Evaluation Plan'!K55</x:f>
        <x:v>SR-CT09</x:v>
      </x:c>
      <x:c r="L55" s="14" t="str">
        <x:f>'Evaluation Plan'!L55</x:f>
        <x:v>N/A</x:v>
      </x:c>
      <x:c r="M55" s="14" t="str">
        <x:f>'Evaluation Plan'!M55</x:f>
        <x:v>white cup</x:v>
      </x:c>
      <x:c r="N55" s="14" t="n">
        <x:f>'Evaluation Plan'!N55</x:f>
        <x:v>4</x:v>
      </x:c>
      <x:c r="O55" s="14" t="n">
        <x:f>'Evaluation Plan'!O55</x:f>
        <x:v>1</x:v>
      </x:c>
      <x:c r="P55" s="14" t="str">
        <x:f>'Evaluation Plan'!P55</x:f>
        <x:v>Empty</x:v>
      </x:c>
      <x:c r="Q55" s="13" t="str">
        <x:f>'Evaluation Plan'!Q55</x:f>
        <x:v>One-object-substitution direct-category control</x:v>
      </x:c>
      <x:c r="R55" s="14" t="n">
        <x:f>'Evaluation Plan'!R55</x:f>
        <x:v>2</x:v>
      </x:c>
      <x:c r="S55" s="13" t="str">
        <x:f>'Evaluation Plan'!S55</x:f>
        <x:v>Reset white cup A to its transfer pose. Replace white cup B with brown cup A in the same location and use the states listed in this row; preserve all other objects.</x:v>
      </x:c>
      <x:c r="T55" s="13" t="str">
        <x:f>'Evaluation Plan'!T55</x:f>
        <x:v>Pure recognition/manipulation control: the prompt uniquely names the only object from the target category, while the physical target remains identical to the transfer row.</x:v>
      </x:c>
      <x:c r="U55" s="13" t="n">
        <x:f>'Evaluation Plan'!U55</x:f>
        <x:v>0</x:v>
      </x:c>
    </x:row>
    <x:row r="56" ht="51" customHeight="1">
      <x:c r="A56" s="16" t="s">
        <x:v>181</x:v>
      </x:c>
      <x:c r="B56" s="17" t="n">
        <x:f>'Evaluation Plan'!B56</x:f>
        <x:v>54</x:v>
      </x:c>
      <x:c r="C56" s="16" t="str">
        <x:f>'Evaluation Plan'!C56</x:f>
        <x:v>Move the inverted white cup into the bowl.</x:v>
      </x:c>
      <x:c r="D56" s="16" t="str">
        <x:f>'Evaluation Plan'!D56</x:f>
        <x:v>white cup A (C, UD); white cup B (C, RU); glass spice container A (C, RU); yellow-white striped cup B (O, RU)</x:v>
      </x:c>
      <x:c r="E56" s="17" t="n">
        <x:f>'Evaluation Plan'!E56</x:f>
        <x:v>52</x:v>
      </x:c>
      <x:c r="F56" s="17" t="str">
        <x:f>'Evaluation Plan'!F56</x:f>
        <x:v>39</x:v>
      </x:c>
      <x:c r="G56" s="16" t="str">
        <x:f>'Evaluation Plan'!G56</x:f>
        <x:v>The canonical transfer scene and masked trajectory reference are unchanged; only the evaluation wording is paraphrased. This remains a language diagnostic and is not pooled into the primary 50.</x:v>
      </x:c>
      <x:c r="H56" s="16" t="str">
        <x:f>'Evaluation Plan'!H56</x:f>
        <x:v>white cup A</x:v>
      </x:c>
      <x:c r="I56" s="16"/>
      <x:c r="J56" s="18" t="str">
        <x:f>'Evaluation Plan'!J56</x:f>
        <x:v>Language robustness</x:v>
      </x:c>
      <x:c r="K56" s="17" t="str">
        <x:f>'Evaluation Plan'!K56</x:f>
        <x:v>SR-CT09</x:v>
      </x:c>
      <x:c r="L56" s="17" t="str">
        <x:f>'Evaluation Plan'!L56</x:f>
        <x:v>UD</x:v>
      </x:c>
      <x:c r="M56" s="17" t="str">
        <x:f>'Evaluation Plan'!M56</x:f>
        <x:v>white cup</x:v>
      </x:c>
      <x:c r="N56" s="17" t="n">
        <x:f>'Evaluation Plan'!N56</x:f>
        <x:v>4</x:v>
      </x:c>
      <x:c r="O56" s="17" t="n">
        <x:f>'Evaluation Plan'!O56</x:f>
        <x:v>1</x:v>
      </x:c>
      <x:c r="P56" s="17" t="str">
        <x:f>'Evaluation Plan'!P56</x:f>
        <x:v>Empty</x:v>
      </x:c>
      <x:c r="Q56" s="16" t="str">
        <x:f>'Evaluation Plan'!Q56</x:f>
        <x:v>Primary compositional-transfer prompt paraphrase</x:v>
      </x:c>
      <x:c r="R56" s="17" t="n">
        <x:f>'Evaluation Plan'!R56</x:f>
        <x:v>2</x:v>
      </x:c>
      <x:c r="S56" s="16" t="str">
        <x:f>'Evaluation Plan'!S56</x:f>
        <x:v>Reset the moved object exactly; preserve every object and state; change only the prompt wording.</x:v>
      </x:c>
      <x:c r="T56" s="16" t="str">
        <x:f>'Evaluation Plan'!T56</x:f>
        <x:v>Exact-scene paraphrase of one of the 50 canonical compositional-transfer trials. The same-category candidates share the orthogonal C/O state (C). The scene is an exact copy of the referenced canonical row.</x:v>
      </x:c>
      <x:c r="U56" s="16" t="n">
        <x:f>'Evaluation Plan'!U56</x:f>
        <x:v>0</x:v>
      </x:c>
    </x:row>
    <x:row r="57" ht="51" customHeight="1">
      <x:c r="A57" s="13" t="s">
        <x:v>181</x:v>
      </x:c>
      <x:c r="B57" s="14" t="n">
        <x:f>'Evaluation Plan'!B57</x:f>
        <x:v>55</x:v>
      </x:c>
      <x:c r="C57" s="13" t="str">
        <x:f>'Evaluation Plan'!C57</x:f>
        <x:v>Move the white cup from the workspace into the bowl.</x:v>
      </x:c>
      <x:c r="D57" s="13" t="str">
        <x:f>'Evaluation Plan'!D57</x:f>
        <x:v>white cup A (C, UD); brown cup A (C, RU); glass spice container A (C, RU); yellow-white striped cup B (O, RU)</x:v>
      </x:c>
      <x:c r="E57" s="14" t="n">
        <x:f>'Evaluation Plan'!E57</x:f>
        <x:v>53</x:v>
      </x:c>
      <x:c r="F57" s="14" t="n">
        <x:f>'Evaluation Plan'!F57</x:f>
        <x:v>39</x:v>
      </x:c>
      <x:c r="G57" s="13" t="str">
        <x:f>'Evaluation Plan'!G57</x:f>
        <x:v>Paraphrase of the direct-category matched control grounded by training episode 39. The modified control scene and physical target are unchanged.</x:v>
      </x:c>
      <x:c r="H57" s="13" t="str">
        <x:f>'Evaluation Plan'!H57</x:f>
        <x:v>white cup A</x:v>
      </x:c>
      <x:c r="I57" s="13"/>
      <x:c r="J57" s="18" t="str">
        <x:f>'Evaluation Plan'!J57</x:f>
        <x:v>Language robustness</x:v>
      </x:c>
      <x:c r="K57" s="14" t="str">
        <x:f>'Evaluation Plan'!K57</x:f>
        <x:v>SR-CT09</x:v>
      </x:c>
      <x:c r="L57" s="14" t="str">
        <x:f>'Evaluation Plan'!L57</x:f>
        <x:v>N/A</x:v>
      </x:c>
      <x:c r="M57" s="14" t="str">
        <x:f>'Evaluation Plan'!M57</x:f>
        <x:v>white cup</x:v>
      </x:c>
      <x:c r="N57" s="14" t="n">
        <x:f>'Evaluation Plan'!N57</x:f>
        <x:v>4</x:v>
      </x:c>
      <x:c r="O57" s="14" t="n">
        <x:f>'Evaluation Plan'!O57</x:f>
        <x:v>1</x:v>
      </x:c>
      <x:c r="P57" s="14" t="str">
        <x:f>'Evaluation Plan'!P57</x:f>
        <x:v>Empty</x:v>
      </x:c>
      <x:c r="Q57" s="13" t="str">
        <x:f>'Evaluation Plan'!Q57</x:f>
        <x:v>Direct-category matched-control paraphrase</x:v>
      </x:c>
      <x:c r="R57" s="14" t="n">
        <x:f>'Evaluation Plan'!R57</x:f>
        <x:v>2</x:v>
      </x:c>
      <x:c r="S57" s="13" t="str">
        <x:f>'Evaluation Plan'!S57</x:f>
        <x:v>Reset the target to its marked pose; preserve the exact modified control scene and change only the direct instruction wording.</x:v>
      </x:c>
      <x:c r="T57" s="13" t="str">
        <x:f>'Evaluation Plan'!T57</x:f>
        <x:v>Language diagnostic for the pure manipulation control; no state word or state-based selection is required. The scene is an exact copy of the referenced canonical row.</x:v>
      </x:c>
      <x:c r="U57" s="13" t="n">
        <x:f>'Evaluation Plan'!U57</x:f>
        <x:v>0</x:v>
      </x:c>
    </x:row>
    <x:row r="58" ht="51" customHeight="1">
      <x:c r="A58" s="5" t="s">
        <x:v>181</x:v>
      </x:c>
      <x:c r="B58" s="4" t="n">
        <x:f>'Evaluation Plan'!B58</x:f>
        <x:v>56</x:v>
      </x:c>
      <x:c r="C58" s="5" t="str">
        <x:f>'Evaluation Plan'!C58</x:f>
        <x:v>Place the open yellow-white striped cup in the bowl.</x:v>
      </x:c>
      <x:c r="D58" s="5" t="str">
        <x:f>'Evaluation Plan'!D58</x:f>
        <x:v>yellow-white striped cup B (O, RU); yellow-white striped cup A (C, RU)</x:v>
      </x:c>
      <x:c r="E58" s="4" t="n">
        <x:f>'Evaluation Plan'!E58</x:f>
        <x:v>0</x:v>
      </x:c>
      <x:c r="F58" s="4" t="str">
        <x:f>'Evaluation Plan'!F58</x:f>
        <x:v>71</x:v>
      </x:c>
      <x:c r="G58" s="5" t="str">
        <x:f>'Evaluation Plan'!G58</x:f>
        <x:v>Physical-state and manipulation-trajectory reference under a direct category prompt; the evaluated state word × object-category cell is intentionally absent from training. All objects are upright, matching the context of every explicit open/closed training demonstration.</x:v>
      </x:c>
      <x:c r="H58" s="5" t="str">
        <x:f>'Evaluation Plan'!H58</x:f>
        <x:v>yellow-white striped cup B</x:v>
      </x:c>
      <x:c r="I58" s="5"/>
      <x:c r="J58" s="12" t="str">
        <x:f>'Evaluation Plan'!J58</x:f>
        <x:v>Concept/compositional transfer</x:v>
      </x:c>
      <x:c r="K58" s="4" t="str">
        <x:f>'Evaluation Plan'!K58</x:f>
        <x:v>SR-CT10</x:v>
      </x:c>
      <x:c r="L58" s="4" t="str">
        <x:f>'Evaluation Plan'!L58</x:f>
        <x:v>O</x:v>
      </x:c>
      <x:c r="M58" s="4" t="str">
        <x:f>'Evaluation Plan'!M58</x:f>
        <x:v>yellow-white striped cup</x:v>
      </x:c>
      <x:c r="N58" s="4" t="n">
        <x:f>'Evaluation Plan'!N58</x:f>
        <x:v>2</x:v>
      </x:c>
      <x:c r="O58" s="4" t="n">
        <x:f>'Evaluation Plan'!O58</x:f>
        <x:v>1</x:v>
      </x:c>
      <x:c r="P58" s="4" t="str">
        <x:f>'Evaluation Plan'!P58</x:f>
        <x:v>Empty</x:v>
      </x:c>
      <x:c r="Q58" s="5" t="str">
        <x:f>'Evaluation Plan'!Q58</x:f>
        <x:v>Primary held-out state-object composition</x:v>
      </x:c>
      <x:c r="R58" s="4" t="n">
        <x:f>'Evaluation Plan'!R58</x:f>
        <x:v>2</x:v>
      </x:c>
      <x:c r="S58" s="5" t="str">
        <x:f>'Evaluation Plan'!S58</x:f>
        <x:v>Build the listed same-category discrimination scene with the bowl empty.</x:v>
      </x:c>
      <x:c r="T58" s="5" t="str">
        <x:f>'Evaluation Plan'!T58</x:f>
        <x:v>Two same-category candidates share the non-queried state axis; only the held-out state word identifies the target. The orthogonal orientation axis is fixed: every object is RU.</x:v>
      </x:c>
      <x:c r="U58" s="5" t="n">
        <x:f>'Evaluation Plan'!U58</x:f>
        <x:v>0</x:v>
      </x:c>
    </x:row>
    <x:row r="59" ht="51" customHeight="1">
      <x:c r="A59" s="13" t="s">
        <x:v>181</x:v>
      </x:c>
      <x:c r="B59" s="14" t="n">
        <x:f>'Evaluation Plan'!B59</x:f>
        <x:v>57</x:v>
      </x:c>
      <x:c r="C59" s="13" t="str">
        <x:f>'Evaluation Plan'!C59</x:f>
        <x:v>Put a yellow-white striped cup in the bowl.</x:v>
      </x:c>
      <x:c r="D59" s="13" t="str">
        <x:f>'Evaluation Plan'!D59</x:f>
        <x:v>yellow-white striped cup B (O, RU); white cup B (C, RU)</x:v>
      </x:c>
      <x:c r="E59" s="14" t="n">
        <x:f>'Evaluation Plan'!E59</x:f>
        <x:v>56</x:v>
      </x:c>
      <x:c r="F59" s="14" t="n">
        <x:f>'Evaluation Plan'!F59</x:f>
        <x:v>71</x:v>
      </x:c>
      <x:c r="G59" s="13" t="str">
        <x:f>'Evaluation Plan'!G59</x:f>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H59" s="13" t="str">
        <x:f>'Evaluation Plan'!H59</x:f>
        <x:v>yellow-white striped cup B</x:v>
      </x:c>
      <x:c r="I59" s="13"/>
      <x:c r="J59" s="15" t="str">
        <x:f>'Evaluation Plan'!J59</x:f>
        <x:v>Matched manipulation control</x:v>
      </x:c>
      <x:c r="K59" s="14" t="str">
        <x:f>'Evaluation Plan'!K59</x:f>
        <x:v>SR-CT10</x:v>
      </x:c>
      <x:c r="L59" s="14" t="str">
        <x:f>'Evaluation Plan'!L59</x:f>
        <x:v>N/A</x:v>
      </x:c>
      <x:c r="M59" s="14" t="str">
        <x:f>'Evaluation Plan'!M59</x:f>
        <x:v>yellow-white striped cup</x:v>
      </x:c>
      <x:c r="N59" s="14" t="n">
        <x:f>'Evaluation Plan'!N59</x:f>
        <x:v>2</x:v>
      </x:c>
      <x:c r="O59" s="14" t="n">
        <x:f>'Evaluation Plan'!O59</x:f>
        <x:v>1</x:v>
      </x:c>
      <x:c r="P59" s="14" t="str">
        <x:f>'Evaluation Plan'!P59</x:f>
        <x:v>Empty</x:v>
      </x:c>
      <x:c r="Q59" s="13" t="str">
        <x:f>'Evaluation Plan'!Q59</x:f>
        <x:v>One-object-substitution direct-category control</x:v>
      </x:c>
      <x:c r="R59" s="14" t="n">
        <x:f>'Evaluation Plan'!R59</x:f>
        <x:v>2</x:v>
      </x:c>
      <x:c r="S59" s="13" t="str">
        <x:f>'Evaluation Plan'!S59</x:f>
        <x:v>Reset yellow-white striped cup B to its transfer pose. Replace yellow-white striped cup A with white cup B in the same location and use the states listed in this row; preserve all other objects.</x:v>
      </x:c>
      <x:c r="T59" s="13" t="str">
        <x:f>'Evaluation Plan'!T59</x:f>
        <x:v>Pure recognition/manipulation control: the prompt uniquely names the only object from the target category, while the physical target remains identical to the transfer row. Every object is RU.</x:v>
      </x:c>
      <x:c r="U59" s="13" t="n">
        <x:f>'Evaluation Plan'!U59</x:f>
        <x:v>0</x:v>
      </x:c>
    </x:row>
    <x:row r="60" ht="51" customHeight="1">
      <x:c r="A60" s="16" t="s">
        <x:v>181</x:v>
      </x:c>
      <x:c r="B60" s="17" t="n">
        <x:f>'Evaluation Plan'!B60</x:f>
        <x:v>58</x:v>
      </x:c>
      <x:c r="C60" s="16" t="str">
        <x:f>'Evaluation Plan'!C60</x:f>
        <x:v>Move the yellow-white striped cup whose opening is uncovered into the bowl.</x:v>
      </x:c>
      <x:c r="D60" s="16" t="str">
        <x:f>'Evaluation Plan'!D60</x:f>
        <x:v>yellow-white striped cup B (O, RU); yellow-white striped cup A (C, RU)</x:v>
      </x:c>
      <x:c r="E60" s="17" t="n">
        <x:f>'Evaluation Plan'!E60</x:f>
        <x:v>56</x:v>
      </x:c>
      <x:c r="F60" s="17" t="str">
        <x:f>'Evaluation Plan'!F60</x:f>
        <x:v>71</x:v>
      </x:c>
      <x:c r="G60" s="16" t="str">
        <x:f>'Evaluation Plan'!G60</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60" s="16" t="str">
        <x:f>'Evaluation Plan'!H60</x:f>
        <x:v>yellow-white striped cup B</x:v>
      </x:c>
      <x:c r="I60" s="16"/>
      <x:c r="J60" s="18" t="str">
        <x:f>'Evaluation Plan'!J60</x:f>
        <x:v>Language robustness</x:v>
      </x:c>
      <x:c r="K60" s="17" t="str">
        <x:f>'Evaluation Plan'!K60</x:f>
        <x:v>SR-CT10</x:v>
      </x:c>
      <x:c r="L60" s="17" t="str">
        <x:f>'Evaluation Plan'!L60</x:f>
        <x:v>O</x:v>
      </x:c>
      <x:c r="M60" s="17" t="str">
        <x:f>'Evaluation Plan'!M60</x:f>
        <x:v>yellow-white striped cup</x:v>
      </x:c>
      <x:c r="N60" s="17" t="n">
        <x:f>'Evaluation Plan'!N60</x:f>
        <x:v>2</x:v>
      </x:c>
      <x:c r="O60" s="17" t="n">
        <x:f>'Evaluation Plan'!O60</x:f>
        <x:v>1</x:v>
      </x:c>
      <x:c r="P60" s="17" t="str">
        <x:f>'Evaluation Plan'!P60</x:f>
        <x:v>Empty</x:v>
      </x:c>
      <x:c r="Q60" s="16" t="str">
        <x:f>'Evaluation Plan'!Q60</x:f>
        <x:v>Primary compositional-transfer prompt paraphrase</x:v>
      </x:c>
      <x:c r="R60" s="17" t="n">
        <x:f>'Evaluation Plan'!R60</x:f>
        <x:v>2</x:v>
      </x:c>
      <x:c r="S60" s="16" t="str">
        <x:f>'Evaluation Plan'!S60</x:f>
        <x:v>Reset the moved object exactly; preserve every object and state; change only the prompt wording.</x:v>
      </x:c>
      <x:c r="T60" s="16" t="str">
        <x:f>'Evaluation Plan'!T60</x:f>
        <x:v>Exact-scene paraphrase of one of the 50 canonical compositional-transfer trials. The orthogonal orientation axis is fixed: every object is RU. The scene is an exact copy of the referenced canonical row.</x:v>
      </x:c>
      <x:c r="U60" s="16" t="n">
        <x:f>'Evaluation Plan'!U60</x:f>
        <x:v>0</x:v>
      </x:c>
    </x:row>
    <x:row r="61" ht="51" customHeight="1">
      <x:c r="A61" s="13" t="s">
        <x:v>181</x:v>
      </x:c>
      <x:c r="B61" s="14" t="n">
        <x:f>'Evaluation Plan'!B61</x:f>
        <x:v>59</x:v>
      </x:c>
      <x:c r="C61" s="13" t="str">
        <x:f>'Evaluation Plan'!C61</x:f>
        <x:v>Set the yellow-white striped cup inside the bowl.</x:v>
      </x:c>
      <x:c r="D61" s="13" t="str">
        <x:f>'Evaluation Plan'!D61</x:f>
        <x:v>yellow-white striped cup B (O, RU); white cup B (C, RU)</x:v>
      </x:c>
      <x:c r="E61" s="14" t="n">
        <x:f>'Evaluation Plan'!E61</x:f>
        <x:v>57</x:v>
      </x:c>
      <x:c r="F61" s="14" t="n">
        <x:f>'Evaluation Plan'!F61</x:f>
        <x:v>71</x:v>
      </x:c>
      <x:c r="G61" s="13" t="str">
        <x:f>'Evaluation Plan'!G61</x:f>
        <x:v>Paraphrase of the direct-category matched control grounded by training episode 71. The modified control scene and physical target are unchanged.</x:v>
      </x:c>
      <x:c r="H61" s="13" t="str">
        <x:f>'Evaluation Plan'!H61</x:f>
        <x:v>yellow-white striped cup B</x:v>
      </x:c>
      <x:c r="I61" s="13"/>
      <x:c r="J61" s="18" t="str">
        <x:f>'Evaluation Plan'!J61</x:f>
        <x:v>Language robustness</x:v>
      </x:c>
      <x:c r="K61" s="14" t="str">
        <x:f>'Evaluation Plan'!K61</x:f>
        <x:v>SR-CT10</x:v>
      </x:c>
      <x:c r="L61" s="14" t="str">
        <x:f>'Evaluation Plan'!L61</x:f>
        <x:v>N/A</x:v>
      </x:c>
      <x:c r="M61" s="14" t="str">
        <x:f>'Evaluation Plan'!M61</x:f>
        <x:v>yellow-white striped cup</x:v>
      </x:c>
      <x:c r="N61" s="14" t="n">
        <x:f>'Evaluation Plan'!N61</x:f>
        <x:v>2</x:v>
      </x:c>
      <x:c r="O61" s="14" t="n">
        <x:f>'Evaluation Plan'!O61</x:f>
        <x:v>1</x:v>
      </x:c>
      <x:c r="P61" s="14" t="str">
        <x:f>'Evaluation Plan'!P61</x:f>
        <x:v>Empty</x:v>
      </x:c>
      <x:c r="Q61" s="13" t="str">
        <x:f>'Evaluation Plan'!Q61</x:f>
        <x:v>Direct-category matched-control paraphrase</x:v>
      </x:c>
      <x:c r="R61" s="14" t="n">
        <x:f>'Evaluation Plan'!R61</x:f>
        <x:v>2</x:v>
      </x:c>
      <x:c r="S61" s="13" t="str">
        <x:f>'Evaluation Plan'!S61</x:f>
        <x:v>Reset the target to its marked pose; preserve the exact modified control scene and change only the direct instruction wording.</x:v>
      </x:c>
      <x:c r="T61" s="13" t="str">
        <x:f>'Evaluation Plan'!T61</x:f>
        <x:v>Language diagnostic for the pure manipulation control; no state word or state-based selection is required. The scene is an exact copy of the referenced canonical row.</x:v>
      </x:c>
      <x:c r="U61" s="13" t="n">
        <x:f>'Evaluation Plan'!U61</x:f>
        <x:v>0</x:v>
      </x:c>
    </x:row>
    <x:row r="62" ht="51" customHeight="1">
      <x:c r="A62" s="5" t="s">
        <x:v>181</x:v>
      </x:c>
      <x:c r="B62" s="4" t="n">
        <x:f>'Evaluation Plan'!B62</x:f>
        <x:v>60</x:v>
      </x:c>
      <x:c r="C62" s="5" t="str">
        <x:f>'Evaluation Plan'!C62</x:f>
        <x:v>Place the closed brown cup in the bowl.</x:v>
      </x:c>
      <x:c r="D62" s="5" t="str">
        <x:f>'Evaluation Plan'!D62</x:f>
        <x:v>brown cup A (C, RU); brown cup B (O, RU); yellow-white striped cup A (C, RU)</x:v>
      </x:c>
      <x:c r="E62" s="4" t="n">
        <x:f>'Evaluation Plan'!E62</x:f>
        <x:v>0</x:v>
      </x:c>
      <x:c r="F62" s="4" t="str">
        <x:f>'Evaluation Plan'!F62</x:f>
        <x:v>102</x:v>
      </x:c>
      <x:c r="G62" s="5" t="str">
        <x:f>'Evaluation Plan'!G62</x:f>
        <x:v>Physical-state and manipulation-trajectory reference under a direct category prompt; the evaluated state word × object-category cell is intentionally absent from training. All objects are upright, matching the context of every explicit open/closed training demonstration.</x:v>
      </x:c>
      <x:c r="H62" s="5" t="str">
        <x:f>'Evaluation Plan'!H62</x:f>
        <x:v>brown cup A</x:v>
      </x:c>
      <x:c r="I62" s="5"/>
      <x:c r="J62" s="12" t="str">
        <x:f>'Evaluation Plan'!J62</x:f>
        <x:v>Concept/compositional transfer</x:v>
      </x:c>
      <x:c r="K62" s="4" t="str">
        <x:f>'Evaluation Plan'!K62</x:f>
        <x:v>SR-CT11</x:v>
      </x:c>
      <x:c r="L62" s="4" t="str">
        <x:f>'Evaluation Plan'!L62</x:f>
        <x:v>C</x:v>
      </x:c>
      <x:c r="M62" s="4" t="str">
        <x:f>'Evaluation Plan'!M62</x:f>
        <x:v>brown cup</x:v>
      </x:c>
      <x:c r="N62" s="4" t="n">
        <x:f>'Evaluation Plan'!N62</x:f>
        <x:v>3</x:v>
      </x:c>
      <x:c r="O62" s="4" t="n">
        <x:f>'Evaluation Plan'!O62</x:f>
        <x:v>1</x:v>
      </x:c>
      <x:c r="P62" s="4" t="str">
        <x:f>'Evaluation Plan'!P62</x:f>
        <x:v>Empty</x:v>
      </x:c>
      <x:c r="Q62" s="5" t="str">
        <x:f>'Evaluation Plan'!Q62</x:f>
        <x:v>Primary held-out state-object composition</x:v>
      </x:c>
      <x:c r="R62" s="4" t="n">
        <x:f>'Evaluation Plan'!R62</x:f>
        <x:v>3</x:v>
      </x:c>
      <x:c r="S62" s="5" t="str">
        <x:f>'Evaluation Plan'!S62</x:f>
        <x:v>Build the listed same-category discrimination scene with the bowl empty.</x:v>
      </x:c>
      <x:c r="T62" s="5" t="str">
        <x:f>'Evaluation Plan'!T62</x:f>
        <x:v>Two same-category candidates share the non-queried state axis; only the held-out state word identifies the target. The orthogonal orientation axis is fixed: every object is RU.</x:v>
      </x:c>
      <x:c r="U62" s="5" t="n">
        <x:f>'Evaluation Plan'!U62</x:f>
        <x:v>0</x:v>
      </x:c>
    </x:row>
    <x:row r="63" ht="51" customHeight="1">
      <x:c r="A63" s="13" t="s">
        <x:v>181</x:v>
      </x:c>
      <x:c r="B63" s="14" t="n">
        <x:f>'Evaluation Plan'!B63</x:f>
        <x:v>61</x:v>
      </x:c>
      <x:c r="C63" s="13" t="str">
        <x:f>'Evaluation Plan'!C63</x:f>
        <x:v>Move a brown cup into the bowl.</x:v>
      </x:c>
      <x:c r="D63" s="13" t="str">
        <x:f>'Evaluation Plan'!D63</x:f>
        <x:v>brown cup A (C, RU); white cup A (O, RU); yellow-white striped cup A (C, RU)</x:v>
      </x:c>
      <x:c r="E63" s="14" t="n">
        <x:f>'Evaluation Plan'!E63</x:f>
        <x:v>60</x:v>
      </x:c>
      <x:c r="F63" s="14" t="n">
        <x:f>'Evaluation Plan'!F63</x:f>
        <x:v>102</x:v>
      </x:c>
      <x:c r="G63" s="13" t="str">
        <x:f>'Evaluation Plan'!G63</x:f>
        <x:v>Exact direct-category manipulation prompt from training episode 102. The transfer target, state, and pose are preserved; only the competing brown cup is replaced by white cup A. The full control scene is upright because its paired transfer instruction queries open/closed.</x:v>
      </x:c>
      <x:c r="H63" s="13" t="str">
        <x:f>'Evaluation Plan'!H63</x:f>
        <x:v>brown cup A</x:v>
      </x:c>
      <x:c r="I63" s="13"/>
      <x:c r="J63" s="15" t="str">
        <x:f>'Evaluation Plan'!J63</x:f>
        <x:v>Matched manipulation control</x:v>
      </x:c>
      <x:c r="K63" s="14" t="str">
        <x:f>'Evaluation Plan'!K63</x:f>
        <x:v>SR-CT11</x:v>
      </x:c>
      <x:c r="L63" s="14" t="str">
        <x:f>'Evaluation Plan'!L63</x:f>
        <x:v>N/A</x:v>
      </x:c>
      <x:c r="M63" s="14" t="str">
        <x:f>'Evaluation Plan'!M63</x:f>
        <x:v>brown cup</x:v>
      </x:c>
      <x:c r="N63" s="14" t="n">
        <x:f>'Evaluation Plan'!N63</x:f>
        <x:v>3</x:v>
      </x:c>
      <x:c r="O63" s="14" t="n">
        <x:f>'Evaluation Plan'!O63</x:f>
        <x:v>1</x:v>
      </x:c>
      <x:c r="P63" s="14" t="str">
        <x:f>'Evaluation Plan'!P63</x:f>
        <x:v>Empty</x:v>
      </x:c>
      <x:c r="Q63" s="13" t="str">
        <x:f>'Evaluation Plan'!Q63</x:f>
        <x:v>One-object-substitution direct-category control</x:v>
      </x:c>
      <x:c r="R63" s="14" t="n">
        <x:f>'Evaluation Plan'!R63</x:f>
        <x:v>3</x:v>
      </x:c>
      <x:c r="S63" s="13" t="str">
        <x:f>'Evaluation Plan'!S63</x:f>
        <x:v>Reset brown cup A to its transfer pose. Replace brown cup B with white cup A in the same location and use the states listed in this row; preserve all other objects.</x:v>
      </x:c>
      <x:c r="T63" s="13" t="str">
        <x:f>'Evaluation Plan'!T63</x:f>
        <x:v>Pure recognition/manipulation control: the prompt uniquely names the only object from the target category, while the physical target remains identical to the transfer row. Every object is RU.</x:v>
      </x:c>
      <x:c r="U63" s="13" t="n">
        <x:f>'Evaluation Plan'!U63</x:f>
        <x:v>0</x:v>
      </x:c>
    </x:row>
    <x:row r="64" ht="51" customHeight="1">
      <x:c r="A64" s="5" t="s">
        <x:v>181</x:v>
      </x:c>
      <x:c r="B64" s="4" t="n">
        <x:f>'Evaluation Plan'!B64</x:f>
        <x:v>62</x:v>
      </x:c>
      <x:c r="C64" s="5" t="str">
        <x:f>'Evaluation Plan'!C64</x:f>
        <x:v>Place the upright glass spice container in the bowl.</x:v>
      </x:c>
      <x:c r="D64" s="5" t="str">
        <x:f>'Evaluation Plan'!D64</x:f>
        <x:v>glass spice container B (C, RU); glass spice container A (C, UD); brown cup B (O, UD); white cup A (C, RU)</x:v>
      </x:c>
      <x:c r="E64" s="4" t="n">
        <x:f>'Evaluation Plan'!E64</x:f>
        <x:v>0</x:v>
      </x:c>
      <x:c r="F64" s="4" t="str">
        <x:f>'Evaluation Plan'!F64</x:f>
        <x:v>172</x:v>
      </x:c>
      <x:c r="G64" s="5" t="str">
        <x:f>'Evaluation Plan'!G64</x:f>
        <x:v>Physical-state and manipulation-trajectory reference under a direct category prompt; the evaluated state word × object-category cell is intentionally absent from training.</x:v>
      </x:c>
      <x:c r="H64" s="5" t="str">
        <x:f>'Evaluation Plan'!H64</x:f>
        <x:v>glass spice container B</x:v>
      </x:c>
      <x:c r="I64" s="5"/>
      <x:c r="J64" s="12" t="str">
        <x:f>'Evaluation Plan'!J64</x:f>
        <x:v>Concept/compositional transfer</x:v>
      </x:c>
      <x:c r="K64" s="4" t="str">
        <x:f>'Evaluation Plan'!K64</x:f>
        <x:v>SR-CT12</x:v>
      </x:c>
      <x:c r="L64" s="4" t="str">
        <x:f>'Evaluation Plan'!L64</x:f>
        <x:v>RU</x:v>
      </x:c>
      <x:c r="M64" s="4" t="str">
        <x:f>'Evaluation Plan'!M64</x:f>
        <x:v>glass spice container</x:v>
      </x:c>
      <x:c r="N64" s="4" t="n">
        <x:f>'Evaluation Plan'!N64</x:f>
        <x:v>4</x:v>
      </x:c>
      <x:c r="O64" s="4" t="n">
        <x:f>'Evaluation Plan'!O64</x:f>
        <x:v>1</x:v>
      </x:c>
      <x:c r="P64" s="4" t="str">
        <x:f>'Evaluation Plan'!P64</x:f>
        <x:v>Empty</x:v>
      </x:c>
      <x:c r="Q64" s="5" t="str">
        <x:f>'Evaluation Plan'!Q64</x:f>
        <x:v>Primary held-out state-object composition</x:v>
      </x:c>
      <x:c r="R64" s="4" t="n">
        <x:f>'Evaluation Plan'!R64</x:f>
        <x:v>3</x:v>
      </x:c>
      <x:c r="S64" s="5" t="str">
        <x:f>'Evaluation Plan'!S64</x:f>
        <x:v>Build the listed same-category discrimination scene with the bowl empty.</x:v>
      </x:c>
      <x:c r="T64" s="5" t="str">
        <x:f>'Evaluation Plan'!T64</x:f>
        <x:v>Two same-category candidates share the non-queried state axis; only the held-out state word identifies the target. The same-category candidates share the orthogonal C/O state (C).</x:v>
      </x:c>
      <x:c r="U64" s="5" t="n">
        <x:f>'Evaluation Plan'!U64</x:f>
        <x:v>0</x:v>
      </x:c>
    </x:row>
    <x:row r="65" ht="51" customHeight="1">
      <x:c r="A65" s="13" t="s">
        <x:v>181</x:v>
      </x:c>
      <x:c r="B65" s="14" t="n">
        <x:f>'Evaluation Plan'!B65</x:f>
        <x:v>63</x:v>
      </x:c>
      <x:c r="C65" s="13" t="str">
        <x:f>'Evaluation Plan'!C65</x:f>
        <x:v>Place a glass spice container in the bowl.</x:v>
      </x:c>
      <x:c r="D65" s="13" t="str">
        <x:f>'Evaluation Plan'!D65</x:f>
        <x:v>glass spice container B (C, RU); yellow-white striped cup B (C, UD); brown cup B (O, UD); white cup A (C, RU)</x:v>
      </x:c>
      <x:c r="E65" s="14" t="n">
        <x:f>'Evaluation Plan'!E65</x:f>
        <x:v>62</x:v>
      </x:c>
      <x:c r="F65" s="14" t="n">
        <x:f>'Evaluation Plan'!F65</x:f>
        <x:v>172</x:v>
      </x:c>
      <x:c r="G65" s="13" t="str">
        <x:f>'Evaluation Plan'!G65</x:f>
        <x:v>Exact direct-category manipulation prompt from training episode 172. The transfer target, state, and pose are preserved; only the competing glass spice container is replaced by yellow-white striped cup B.</x:v>
      </x:c>
      <x:c r="H65" s="13" t="str">
        <x:f>'Evaluation Plan'!H65</x:f>
        <x:v>glass spice container B</x:v>
      </x:c>
      <x:c r="I65" s="13"/>
      <x:c r="J65" s="15" t="str">
        <x:f>'Evaluation Plan'!J65</x:f>
        <x:v>Matched manipulation control</x:v>
      </x:c>
      <x:c r="K65" s="14" t="str">
        <x:f>'Evaluation Plan'!K65</x:f>
        <x:v>SR-CT12</x:v>
      </x:c>
      <x:c r="L65" s="14" t="str">
        <x:f>'Evaluation Plan'!L65</x:f>
        <x:v>N/A</x:v>
      </x:c>
      <x:c r="M65" s="14" t="str">
        <x:f>'Evaluation Plan'!M65</x:f>
        <x:v>glass spice container</x:v>
      </x:c>
      <x:c r="N65" s="14" t="n">
        <x:f>'Evaluation Plan'!N65</x:f>
        <x:v>4</x:v>
      </x:c>
      <x:c r="O65" s="14" t="n">
        <x:f>'Evaluation Plan'!O65</x:f>
        <x:v>1</x:v>
      </x:c>
      <x:c r="P65" s="14" t="str">
        <x:f>'Evaluation Plan'!P65</x:f>
        <x:v>Empty</x:v>
      </x:c>
      <x:c r="Q65" s="13" t="str">
        <x:f>'Evaluation Plan'!Q65</x:f>
        <x:v>One-object-substitution direct-category control</x:v>
      </x:c>
      <x:c r="R65" s="14" t="n">
        <x:f>'Evaluation Plan'!R65</x:f>
        <x:v>3</x:v>
      </x:c>
      <x:c r="S65" s="13" t="str">
        <x:f>'Evaluation Plan'!S65</x:f>
        <x:v>Reset glass spice container B to its transfer pose. Replace glass spice container A with yellow-white striped cup B in the same location and use the states listed in this row; preserve all other objects.</x:v>
      </x:c>
      <x:c r="T65" s="13" t="str">
        <x:f>'Evaluation Plan'!T65</x:f>
        <x:v>Pure recognition/manipulation control: the prompt uniquely names the only object from the target category, while the physical target remains identical to the transfer row.</x:v>
      </x:c>
      <x:c r="U65" s="13" t="n">
        <x:f>'Evaluation Plan'!U65</x:f>
        <x:v>0</x:v>
      </x:c>
    </x:row>
    <x:row r="66" ht="51" customHeight="1">
      <x:c r="A66" s="5" t="s">
        <x:v>181</x:v>
      </x:c>
      <x:c r="B66" s="4" t="n">
        <x:f>'Evaluation Plan'!B66</x:f>
        <x:v>64</x:v>
      </x:c>
      <x:c r="C66" s="5" t="str">
        <x:f>'Evaluation Plan'!C66</x:f>
        <x:v>Place the upside-down white cup in the bowl.</x:v>
      </x:c>
      <x:c r="D66" s="5" t="str">
        <x:f>'Evaluation Plan'!D66</x:f>
        <x:v>white cup A (O, UD); white cup B (O, RU)</x:v>
      </x:c>
      <x:c r="E66" s="4" t="n">
        <x:f>'Evaluation Plan'!E66</x:f>
        <x:v>0</x:v>
      </x:c>
      <x:c r="F66" s="4" t="str">
        <x:f>'Evaluation Plan'!F66</x:f>
        <x:v>32</x:v>
      </x:c>
      <x:c r="G66" s="5" t="str">
        <x:f>'Evaluation Plan'!G66</x:f>
        <x:v>Physical-state and manipulation-trajectory reference under a direct category prompt; the evaluated state word × object-category cell is intentionally absent from training.</x:v>
      </x:c>
      <x:c r="H66" s="5" t="str">
        <x:f>'Evaluation Plan'!H66</x:f>
        <x:v>white cup A</x:v>
      </x:c>
      <x:c r="I66" s="5"/>
      <x:c r="J66" s="12" t="str">
        <x:f>'Evaluation Plan'!J66</x:f>
        <x:v>Concept/compositional transfer</x:v>
      </x:c>
      <x:c r="K66" s="4" t="str">
        <x:f>'Evaluation Plan'!K66</x:f>
        <x:v>SR-CT13</x:v>
      </x:c>
      <x:c r="L66" s="4" t="str">
        <x:f>'Evaluation Plan'!L66</x:f>
        <x:v>UD</x:v>
      </x:c>
      <x:c r="M66" s="4" t="str">
        <x:f>'Evaluation Plan'!M66</x:f>
        <x:v>white cup</x:v>
      </x:c>
      <x:c r="N66" s="4" t="n">
        <x:f>'Evaluation Plan'!N66</x:f>
        <x:v>2</x:v>
      </x:c>
      <x:c r="O66" s="4" t="n">
        <x:f>'Evaluation Plan'!O66</x:f>
        <x:v>1</x:v>
      </x:c>
      <x:c r="P66" s="4" t="str">
        <x:f>'Evaluation Plan'!P66</x:f>
        <x:v>Empty</x:v>
      </x:c>
      <x:c r="Q66" s="5" t="str">
        <x:f>'Evaluation Plan'!Q66</x:f>
        <x:v>Primary held-out state-object composition</x:v>
      </x:c>
      <x:c r="R66" s="4" t="n">
        <x:f>'Evaluation Plan'!R66</x:f>
        <x:v>3</x:v>
      </x:c>
      <x:c r="S66" s="5" t="str">
        <x:f>'Evaluation Plan'!S66</x:f>
        <x:v>Build the listed same-category discrimination scene with the bowl empty.</x:v>
      </x:c>
      <x:c r="T66" s="5" t="str">
        <x:f>'Evaluation Plan'!T66</x:f>
        <x:v>Two same-category candidates share the non-queried state axis; only the held-out state word identifies the target. The same-category candidates share the orthogonal C/O state (O).</x:v>
      </x:c>
      <x:c r="U66" s="5" t="n">
        <x:f>'Evaluation Plan'!U66</x:f>
        <x:v>0</x:v>
      </x:c>
    </x:row>
    <x:row r="67" ht="51" customHeight="1">
      <x:c r="A67" s="13" t="s">
        <x:v>181</x:v>
      </x:c>
      <x:c r="B67" s="14" t="n">
        <x:f>'Evaluation Plan'!B67</x:f>
        <x:v>65</x:v>
      </x:c>
      <x:c r="C67" s="13" t="str">
        <x:f>'Evaluation Plan'!C67</x:f>
        <x:v>Put a white cup in the bowl.</x:v>
      </x:c>
      <x:c r="D67" s="13" t="str">
        <x:f>'Evaluation Plan'!D67</x:f>
        <x:v>white cup A (O, UD); yellow-white striped cup A (O, RU)</x:v>
      </x:c>
      <x:c r="E67" s="14" t="n">
        <x:f>'Evaluation Plan'!E67</x:f>
        <x:v>64</x:v>
      </x:c>
      <x:c r="F67" s="14" t="n">
        <x:f>'Evaluation Plan'!F67</x:f>
        <x:v>32</x:v>
      </x:c>
      <x:c r="G67" s="13" t="str">
        <x:f>'Evaluation Plan'!G67</x:f>
        <x:v>Exact direct-category manipulation prompt from training episode 32. The transfer target, state, and pose are preserved; only the competing white cup is replaced by yellow-white striped cup A.</x:v>
      </x:c>
      <x:c r="H67" s="13" t="str">
        <x:f>'Evaluation Plan'!H67</x:f>
        <x:v>white cup A</x:v>
      </x:c>
      <x:c r="I67" s="13"/>
      <x:c r="J67" s="15" t="str">
        <x:f>'Evaluation Plan'!J67</x:f>
        <x:v>Matched manipulation control</x:v>
      </x:c>
      <x:c r="K67" s="14" t="str">
        <x:f>'Evaluation Plan'!K67</x:f>
        <x:v>SR-CT13</x:v>
      </x:c>
      <x:c r="L67" s="14" t="str">
        <x:f>'Evaluation Plan'!L67</x:f>
        <x:v>N/A</x:v>
      </x:c>
      <x:c r="M67" s="14" t="str">
        <x:f>'Evaluation Plan'!M67</x:f>
        <x:v>white cup</x:v>
      </x:c>
      <x:c r="N67" s="14" t="n">
        <x:f>'Evaluation Plan'!N67</x:f>
        <x:v>2</x:v>
      </x:c>
      <x:c r="O67" s="14" t="n">
        <x:f>'Evaluation Plan'!O67</x:f>
        <x:v>1</x:v>
      </x:c>
      <x:c r="P67" s="14" t="str">
        <x:f>'Evaluation Plan'!P67</x:f>
        <x:v>Empty</x:v>
      </x:c>
      <x:c r="Q67" s="13" t="str">
        <x:f>'Evaluation Plan'!Q67</x:f>
        <x:v>One-object-substitution direct-category control</x:v>
      </x:c>
      <x:c r="R67" s="14" t="n">
        <x:f>'Evaluation Plan'!R67</x:f>
        <x:v>3</x:v>
      </x:c>
      <x:c r="S67" s="13" t="str">
        <x:f>'Evaluation Plan'!S67</x:f>
        <x:v>Reset white cup A to its transfer pose. Replace white cup B with yellow-white striped cup A in the same location and use the states listed in this row; preserve all other objects.</x:v>
      </x:c>
      <x:c r="T67" s="13" t="str">
        <x:f>'Evaluation Plan'!T67</x:f>
        <x:v>Pure recognition/manipulation control: the prompt uniquely names the only object from the target category, while the physical target remains identical to the transfer row.</x:v>
      </x:c>
      <x:c r="U67" s="13" t="n">
        <x:f>'Evaluation Plan'!U67</x:f>
        <x:v>0</x:v>
      </x:c>
    </x:row>
    <x:row r="68" ht="51" customHeight="1">
      <x:c r="A68" s="5" t="s">
        <x:v>181</x:v>
      </x:c>
      <x:c r="B68" s="4" t="n">
        <x:f>'Evaluation Plan'!B68</x:f>
        <x:v>66</x:v>
      </x:c>
      <x:c r="C68" s="5" t="str">
        <x:f>'Evaluation Plan'!C68</x:f>
        <x:v>Place the open yellow-white striped cup in the bowl.</x:v>
      </x:c>
      <x:c r="D68" s="5" t="str">
        <x:f>'Evaluation Plan'!D68</x:f>
        <x:v>yellow-white striped cup B (O, RU); yellow-white striped cup A (C, RU); brown cup B (O, RU)</x:v>
      </x:c>
      <x:c r="E68" s="4" t="n">
        <x:f>'Evaluation Plan'!E68</x:f>
        <x:v>0</x:v>
      </x:c>
      <x:c r="F68" s="4" t="str">
        <x:f>'Evaluation Plan'!F68</x:f>
        <x:v>53</x:v>
      </x:c>
      <x:c r="G68" s="5" t="str">
        <x:f>'Evaluation Plan'!G68</x:f>
        <x:v>Physical-state and manipulation-trajectory reference under a direct category prompt; the evaluated state word × object-category cell is intentionally absent from training. All objects are upright, matching the context of every explicit open/closed training demonstration.</x:v>
      </x:c>
      <x:c r="H68" s="5" t="str">
        <x:f>'Evaluation Plan'!H68</x:f>
        <x:v>yellow-white striped cup B</x:v>
      </x:c>
      <x:c r="I68" s="5"/>
      <x:c r="J68" s="12" t="str">
        <x:f>'Evaluation Plan'!J68</x:f>
        <x:v>Concept/compositional transfer</x:v>
      </x:c>
      <x:c r="K68" s="4" t="str">
        <x:f>'Evaluation Plan'!K68</x:f>
        <x:v>SR-CT14</x:v>
      </x:c>
      <x:c r="L68" s="4" t="str">
        <x:f>'Evaluation Plan'!L68</x:f>
        <x:v>O</x:v>
      </x:c>
      <x:c r="M68" s="4" t="str">
        <x:f>'Evaluation Plan'!M68</x:f>
        <x:v>yellow-white striped cup</x:v>
      </x:c>
      <x:c r="N68" s="4" t="n">
        <x:f>'Evaluation Plan'!N68</x:f>
        <x:v>3</x:v>
      </x:c>
      <x:c r="O68" s="4" t="n">
        <x:f>'Evaluation Plan'!O68</x:f>
        <x:v>1</x:v>
      </x:c>
      <x:c r="P68" s="4" t="str">
        <x:f>'Evaluation Plan'!P68</x:f>
        <x:v>Empty</x:v>
      </x:c>
      <x:c r="Q68" s="5" t="str">
        <x:f>'Evaluation Plan'!Q68</x:f>
        <x:v>Primary held-out state-object composition</x:v>
      </x:c>
      <x:c r="R68" s="4" t="n">
        <x:f>'Evaluation Plan'!R68</x:f>
        <x:v>3</x:v>
      </x:c>
      <x:c r="S68" s="5" t="str">
        <x:f>'Evaluation Plan'!S68</x:f>
        <x:v>Build the listed same-category discrimination scene with the bowl empty.</x:v>
      </x:c>
      <x:c r="T68" s="5" t="str">
        <x:f>'Evaluation Plan'!T68</x:f>
        <x:v>Two same-category candidates share the non-queried state axis; only the held-out state word identifies the target. The orthogonal orientation axis is fixed: every object is RU.</x:v>
      </x:c>
      <x:c r="U68" s="5" t="n">
        <x:f>'Evaluation Plan'!U68</x:f>
        <x:v>0</x:v>
      </x:c>
    </x:row>
    <x:row r="69" ht="51" customHeight="1">
      <x:c r="A69" s="13" t="s">
        <x:v>181</x:v>
      </x:c>
      <x:c r="B69" s="14" t="n">
        <x:f>'Evaluation Plan'!B69</x:f>
        <x:v>67</x:v>
      </x:c>
      <x:c r="C69" s="13" t="str">
        <x:f>'Evaluation Plan'!C69</x:f>
        <x:v>Put a yellow-white striped cup in the bowl.</x:v>
      </x:c>
      <x:c r="D69" s="13" t="str">
        <x:f>'Evaluation Plan'!D69</x:f>
        <x:v>yellow-white striped cup B (O, RU); glass spice container B (C, RU); brown cup B (O, RU)</x:v>
      </x:c>
      <x:c r="E69" s="14" t="n">
        <x:f>'Evaluation Plan'!E69</x:f>
        <x:v>66</x:v>
      </x:c>
      <x:c r="F69" s="14" t="n">
        <x:f>'Evaluation Plan'!F69</x:f>
        <x:v>53</x:v>
      </x:c>
      <x:c r="G69" s="13" t="str">
        <x:f>'Evaluation Plan'!G69</x:f>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H69" s="13" t="str">
        <x:f>'Evaluation Plan'!H69</x:f>
        <x:v>yellow-white striped cup B</x:v>
      </x:c>
      <x:c r="I69" s="13"/>
      <x:c r="J69" s="15" t="str">
        <x:f>'Evaluation Plan'!J69</x:f>
        <x:v>Matched manipulation control</x:v>
      </x:c>
      <x:c r="K69" s="14" t="str">
        <x:f>'Evaluation Plan'!K69</x:f>
        <x:v>SR-CT14</x:v>
      </x:c>
      <x:c r="L69" s="14" t="str">
        <x:f>'Evaluation Plan'!L69</x:f>
        <x:v>N/A</x:v>
      </x:c>
      <x:c r="M69" s="14" t="str">
        <x:f>'Evaluation Plan'!M69</x:f>
        <x:v>yellow-white striped cup</x:v>
      </x:c>
      <x:c r="N69" s="14" t="n">
        <x:f>'Evaluation Plan'!N69</x:f>
        <x:v>3</x:v>
      </x:c>
      <x:c r="O69" s="14" t="n">
        <x:f>'Evaluation Plan'!O69</x:f>
        <x:v>1</x:v>
      </x:c>
      <x:c r="P69" s="14" t="str">
        <x:f>'Evaluation Plan'!P69</x:f>
        <x:v>Empty</x:v>
      </x:c>
      <x:c r="Q69" s="13" t="str">
        <x:f>'Evaluation Plan'!Q69</x:f>
        <x:v>One-object-substitution direct-category control</x:v>
      </x:c>
      <x:c r="R69" s="14" t="n">
        <x:f>'Evaluation Plan'!R69</x:f>
        <x:v>3</x:v>
      </x:c>
      <x:c r="S69" s="13" t="str">
        <x:f>'Evaluation Plan'!S69</x:f>
        <x:v>Reset yellow-white striped cup B to its transfer pose. Replace yellow-white striped cup A with glass spice container B in the same location and use the states listed in this row; preserve all other objects.</x:v>
      </x:c>
      <x:c r="T69" s="13" t="str">
        <x:f>'Evaluation Plan'!T69</x:f>
        <x:v>Pure recognition/manipulation control: the prompt uniquely names the only object from the target category, while the physical target remains identical to the transfer row. Every object is RU.</x:v>
      </x:c>
      <x:c r="U69" s="13" t="n">
        <x:f>'Evaluation Plan'!U69</x:f>
        <x:v>0</x:v>
      </x:c>
    </x:row>
    <x:row r="70" ht="51" customHeight="1">
      <x:c r="A70" s="5" t="s">
        <x:v>181</x:v>
      </x:c>
      <x:c r="B70" s="4" t="n">
        <x:f>'Evaluation Plan'!B70</x:f>
        <x:v>68</x:v>
      </x:c>
      <x:c r="C70" s="5" t="str">
        <x:f>'Evaluation Plan'!C70</x:f>
        <x:v>Place the closed brown cup in the bowl.</x:v>
      </x:c>
      <x:c r="D70" s="5" t="str">
        <x:f>'Evaluation Plan'!D70</x:f>
        <x:v>brown cup A (C, RU); brown cup B (O, RU); glass spice container A (C, RU); white cup B (O, RU)</x:v>
      </x:c>
      <x:c r="E70" s="4" t="n">
        <x:f>'Evaluation Plan'!E70</x:f>
        <x:v>0</x:v>
      </x:c>
      <x:c r="F70" s="4" t="str">
        <x:f>'Evaluation Plan'!F70</x:f>
        <x:v>129</x:v>
      </x:c>
      <x:c r="G70" s="5" t="str">
        <x:f>'Evaluation Plan'!G70</x:f>
        <x:v>Physical-state and manipulation-trajectory reference under a direct category prompt; the evaluated state word × object-category cell is intentionally absent from training. All objects are upright, matching the context of every explicit open/closed training demonstration.</x:v>
      </x:c>
      <x:c r="H70" s="5" t="str">
        <x:f>'Evaluation Plan'!H70</x:f>
        <x:v>brown cup A</x:v>
      </x:c>
      <x:c r="I70" s="5"/>
      <x:c r="J70" s="12" t="str">
        <x:f>'Evaluation Plan'!J70</x:f>
        <x:v>Concept/compositional transfer</x:v>
      </x:c>
      <x:c r="K70" s="4" t="str">
        <x:f>'Evaluation Plan'!K70</x:f>
        <x:v>SR-CT15</x:v>
      </x:c>
      <x:c r="L70" s="4" t="str">
        <x:f>'Evaluation Plan'!L70</x:f>
        <x:v>C</x:v>
      </x:c>
      <x:c r="M70" s="4" t="str">
        <x:f>'Evaluation Plan'!M70</x:f>
        <x:v>brown cup</x:v>
      </x:c>
      <x:c r="N70" s="4" t="n">
        <x:f>'Evaluation Plan'!N70</x:f>
        <x:v>4</x:v>
      </x:c>
      <x:c r="O70" s="4" t="n">
        <x:f>'Evaluation Plan'!O70</x:f>
        <x:v>1</x:v>
      </x:c>
      <x:c r="P70" s="4" t="str">
        <x:f>'Evaluation Plan'!P70</x:f>
        <x:v>Empty</x:v>
      </x:c>
      <x:c r="Q70" s="5" t="str">
        <x:f>'Evaluation Plan'!Q70</x:f>
        <x:v>Primary held-out state-object composition</x:v>
      </x:c>
      <x:c r="R70" s="4" t="n">
        <x:f>'Evaluation Plan'!R70</x:f>
        <x:v>3</x:v>
      </x:c>
      <x:c r="S70" s="5" t="str">
        <x:f>'Evaluation Plan'!S70</x:f>
        <x:v>Build the listed same-category discrimination scene with the bowl empty.</x:v>
      </x:c>
      <x:c r="T70" s="5" t="str">
        <x:f>'Evaluation Plan'!T70</x:f>
        <x:v>Two same-category candidates share the non-queried state axis; only the held-out state word identifies the target. The orthogonal orientation axis is fixed: every object is RU.</x:v>
      </x:c>
      <x:c r="U70" s="5" t="n">
        <x:f>'Evaluation Plan'!U70</x:f>
        <x:v>0</x:v>
      </x:c>
    </x:row>
    <x:row r="71" ht="51" customHeight="1">
      <x:c r="A71" s="13" t="s">
        <x:v>181</x:v>
      </x:c>
      <x:c r="B71" s="14" t="n">
        <x:f>'Evaluation Plan'!B71</x:f>
        <x:v>69</x:v>
      </x:c>
      <x:c r="C71" s="13" t="str">
        <x:f>'Evaluation Plan'!C71</x:f>
        <x:v>Move a brown cup into the bowl.</x:v>
      </x:c>
      <x:c r="D71" s="13" t="str">
        <x:f>'Evaluation Plan'!D71</x:f>
        <x:v>brown cup A (C, RU); yellow-white striped cup A (O, RU); glass spice container A (C, RU); white cup B (O, RU)</x:v>
      </x:c>
      <x:c r="E71" s="14" t="n">
        <x:f>'Evaluation Plan'!E71</x:f>
        <x:v>68</x:v>
      </x:c>
      <x:c r="F71" s="14" t="n">
        <x:f>'Evaluation Plan'!F71</x:f>
        <x:v>129</x:v>
      </x:c>
      <x:c r="G71" s="13" t="str">
        <x:f>'Evaluation Plan'!G71</x:f>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H71" s="13" t="str">
        <x:f>'Evaluation Plan'!H71</x:f>
        <x:v>brown cup A</x:v>
      </x:c>
      <x:c r="I71" s="13"/>
      <x:c r="J71" s="15" t="str">
        <x:f>'Evaluation Plan'!J71</x:f>
        <x:v>Matched manipulation control</x:v>
      </x:c>
      <x:c r="K71" s="14" t="str">
        <x:f>'Evaluation Plan'!K71</x:f>
        <x:v>SR-CT15</x:v>
      </x:c>
      <x:c r="L71" s="14" t="str">
        <x:f>'Evaluation Plan'!L71</x:f>
        <x:v>N/A</x:v>
      </x:c>
      <x:c r="M71" s="14" t="str">
        <x:f>'Evaluation Plan'!M71</x:f>
        <x:v>brown cup</x:v>
      </x:c>
      <x:c r="N71" s="14" t="n">
        <x:f>'Evaluation Plan'!N71</x:f>
        <x:v>4</x:v>
      </x:c>
      <x:c r="O71" s="14" t="n">
        <x:f>'Evaluation Plan'!O71</x:f>
        <x:v>1</x:v>
      </x:c>
      <x:c r="P71" s="14" t="str">
        <x:f>'Evaluation Plan'!P71</x:f>
        <x:v>Empty</x:v>
      </x:c>
      <x:c r="Q71" s="13" t="str">
        <x:f>'Evaluation Plan'!Q71</x:f>
        <x:v>One-object-substitution direct-category control</x:v>
      </x:c>
      <x:c r="R71" s="14" t="n">
        <x:f>'Evaluation Plan'!R71</x:f>
        <x:v>3</x:v>
      </x:c>
      <x:c r="S71" s="13" t="str">
        <x:f>'Evaluation Plan'!S71</x:f>
        <x:v>Reset brown cup A to its transfer pose. Replace brown cup B with yellow-white striped cup A in the same location and use the states listed in this row; preserve all other objects.</x:v>
      </x:c>
      <x:c r="T71" s="13" t="str">
        <x:f>'Evaluation Plan'!T71</x:f>
        <x:v>Pure recognition/manipulation control: the prompt uniquely names the only object from the target category, while the physical target remains identical to the transfer row. Every object is RU.</x:v>
      </x:c>
      <x:c r="U71" s="13" t="n">
        <x:f>'Evaluation Plan'!U71</x:f>
        <x:v>0</x:v>
      </x:c>
    </x:row>
    <x:row r="72" ht="51" customHeight="1">
      <x:c r="A72" s="5" t="s">
        <x:v>181</x:v>
      </x:c>
      <x:c r="B72" s="4" t="n">
        <x:f>'Evaluation Plan'!B72</x:f>
        <x:v>70</x:v>
      </x:c>
      <x:c r="C72" s="5" t="str">
        <x:f>'Evaluation Plan'!C72</x:f>
        <x:v>Place the upright glass spice container in the bowl.</x:v>
      </x:c>
      <x:c r="D72" s="5" t="str">
        <x:f>'Evaluation Plan'!D72</x:f>
        <x:v>glass spice container B (O, RU); glass spice container A (O, UD)</x:v>
      </x:c>
      <x:c r="E72" s="4" t="n">
        <x:f>'Evaluation Plan'!E72</x:f>
        <x:v>0</x:v>
      </x:c>
      <x:c r="F72" s="4" t="str">
        <x:f>'Evaluation Plan'!F72</x:f>
        <x:v>157</x:v>
      </x:c>
      <x:c r="G72" s="5" t="str">
        <x:f>'Evaluation Plan'!G72</x:f>
        <x:v>Physical-state and manipulation-trajectory reference under a direct category prompt; the evaluated state word × object-category cell is intentionally absent from training.</x:v>
      </x:c>
      <x:c r="H72" s="5" t="str">
        <x:f>'Evaluation Plan'!H72</x:f>
        <x:v>glass spice container B</x:v>
      </x:c>
      <x:c r="I72" s="5"/>
      <x:c r="J72" s="12" t="str">
        <x:f>'Evaluation Plan'!J72</x:f>
        <x:v>Concept/compositional transfer</x:v>
      </x:c>
      <x:c r="K72" s="4" t="str">
        <x:f>'Evaluation Plan'!K72</x:f>
        <x:v>SR-CT16</x:v>
      </x:c>
      <x:c r="L72" s="4" t="str">
        <x:f>'Evaluation Plan'!L72</x:f>
        <x:v>RU</x:v>
      </x:c>
      <x:c r="M72" s="4" t="str">
        <x:f>'Evaluation Plan'!M72</x:f>
        <x:v>glass spice container</x:v>
      </x:c>
      <x:c r="N72" s="4" t="n">
        <x:f>'Evaluation Plan'!N72</x:f>
        <x:v>2</x:v>
      </x:c>
      <x:c r="O72" s="4" t="n">
        <x:f>'Evaluation Plan'!O72</x:f>
        <x:v>1</x:v>
      </x:c>
      <x:c r="P72" s="4" t="str">
        <x:f>'Evaluation Plan'!P72</x:f>
        <x:v>Empty</x:v>
      </x:c>
      <x:c r="Q72" s="5" t="str">
        <x:f>'Evaluation Plan'!Q72</x:f>
        <x:v>Primary held-out state-object composition</x:v>
      </x:c>
      <x:c r="R72" s="4" t="n">
        <x:f>'Evaluation Plan'!R72</x:f>
        <x:v>3</x:v>
      </x:c>
      <x:c r="S72" s="5" t="str">
        <x:f>'Evaluation Plan'!S72</x:f>
        <x:v>Build the listed same-category discrimination scene with the bowl empty.</x:v>
      </x:c>
      <x:c r="T72" s="5" t="str">
        <x:f>'Evaluation Plan'!T72</x:f>
        <x:v>Two same-category candidates share the non-queried state axis; only the held-out state word identifies the target. The same-category candidates share the orthogonal C/O state (O).</x:v>
      </x:c>
      <x:c r="U72" s="5" t="n">
        <x:f>'Evaluation Plan'!U72</x:f>
        <x:v>0</x:v>
      </x:c>
    </x:row>
    <x:row r="73" ht="51" customHeight="1">
      <x:c r="A73" s="13" t="s">
        <x:v>181</x:v>
      </x:c>
      <x:c r="B73" s="14" t="n">
        <x:f>'Evaluation Plan'!B73</x:f>
        <x:v>71</x:v>
      </x:c>
      <x:c r="C73" s="13" t="str">
        <x:f>'Evaluation Plan'!C73</x:f>
        <x:v>Place a glass spice container in the bowl.</x:v>
      </x:c>
      <x:c r="D73" s="13" t="str">
        <x:f>'Evaluation Plan'!D73</x:f>
        <x:v>glass spice container B (O, RU); white cup B (O, UD)</x:v>
      </x:c>
      <x:c r="E73" s="14" t="n">
        <x:f>'Evaluation Plan'!E73</x:f>
        <x:v>70</x:v>
      </x:c>
      <x:c r="F73" s="14" t="n">
        <x:f>'Evaluation Plan'!F73</x:f>
        <x:v>157</x:v>
      </x:c>
      <x:c r="G73" s="13" t="str">
        <x:f>'Evaluation Plan'!G73</x:f>
        <x:v>Exact direct-category manipulation prompt from training episode 157. The transfer target, state, and pose are preserved; only the competing glass spice container is replaced by white cup B.</x:v>
      </x:c>
      <x:c r="H73" s="13" t="str">
        <x:f>'Evaluation Plan'!H73</x:f>
        <x:v>glass spice container B</x:v>
      </x:c>
      <x:c r="I73" s="13"/>
      <x:c r="J73" s="15" t="str">
        <x:f>'Evaluation Plan'!J73</x:f>
        <x:v>Matched manipulation control</x:v>
      </x:c>
      <x:c r="K73" s="14" t="str">
        <x:f>'Evaluation Plan'!K73</x:f>
        <x:v>SR-CT16</x:v>
      </x:c>
      <x:c r="L73" s="14" t="str">
        <x:f>'Evaluation Plan'!L73</x:f>
        <x:v>N/A</x:v>
      </x:c>
      <x:c r="M73" s="14" t="str">
        <x:f>'Evaluation Plan'!M73</x:f>
        <x:v>glass spice container</x:v>
      </x:c>
      <x:c r="N73" s="14" t="n">
        <x:f>'Evaluation Plan'!N73</x:f>
        <x:v>2</x:v>
      </x:c>
      <x:c r="O73" s="14" t="n">
        <x:f>'Evaluation Plan'!O73</x:f>
        <x:v>1</x:v>
      </x:c>
      <x:c r="P73" s="14" t="str">
        <x:f>'Evaluation Plan'!P73</x:f>
        <x:v>Empty</x:v>
      </x:c>
      <x:c r="Q73" s="13" t="str">
        <x:f>'Evaluation Plan'!Q73</x:f>
        <x:v>One-object-substitution direct-category control</x:v>
      </x:c>
      <x:c r="R73" s="14" t="n">
        <x:f>'Evaluation Plan'!R73</x:f>
        <x:v>3</x:v>
      </x:c>
      <x:c r="S73" s="13" t="str">
        <x:f>'Evaluation Plan'!S73</x:f>
        <x:v>Reset glass spice container B to its transfer pose. Replace glass spice container A with white cup B in the same location and use the states listed in this row; preserve all other objects.</x:v>
      </x:c>
      <x:c r="T73" s="13" t="str">
        <x:f>'Evaluation Plan'!T73</x:f>
        <x:v>Pure recognition/manipulation control: the prompt uniquely names the only object from the target category, while the physical target remains identical to the transfer row.</x:v>
      </x:c>
      <x:c r="U73" s="13" t="n">
        <x:f>'Evaluation Plan'!U73</x:f>
        <x:v>0</x:v>
      </x:c>
    </x:row>
    <x:row r="74" ht="51" customHeight="1">
      <x:c r="A74" s="5" t="s">
        <x:v>181</x:v>
      </x:c>
      <x:c r="B74" s="4" t="n">
        <x:f>'Evaluation Plan'!B74</x:f>
        <x:v>72</x:v>
      </x:c>
      <x:c r="C74" s="5" t="str">
        <x:f>'Evaluation Plan'!C74</x:f>
        <x:v>Place the upside-down white cup in the bowl.</x:v>
      </x:c>
      <x:c r="D74" s="5" t="str">
        <x:f>'Evaluation Plan'!D74</x:f>
        <x:v>white cup A (C, UD); white cup B (C, RU); brown cup A (C, RU)</x:v>
      </x:c>
      <x:c r="E74" s="4" t="n">
        <x:f>'Evaluation Plan'!E74</x:f>
        <x:v>0</x:v>
      </x:c>
      <x:c r="F74" s="4" t="str">
        <x:f>'Evaluation Plan'!F74</x:f>
        <x:v>35</x:v>
      </x:c>
      <x:c r="G74" s="5" t="str">
        <x:f>'Evaluation Plan'!G74</x:f>
        <x:v>Physical-state and manipulation-trajectory reference under a direct category prompt; the evaluated state word × object-category cell is intentionally absent from training.</x:v>
      </x:c>
      <x:c r="H74" s="5" t="str">
        <x:f>'Evaluation Plan'!H74</x:f>
        <x:v>white cup A</x:v>
      </x:c>
      <x:c r="I74" s="5"/>
      <x:c r="J74" s="12" t="str">
        <x:f>'Evaluation Plan'!J74</x:f>
        <x:v>Concept/compositional transfer</x:v>
      </x:c>
      <x:c r="K74" s="4" t="str">
        <x:f>'Evaluation Plan'!K74</x:f>
        <x:v>SR-CT17</x:v>
      </x:c>
      <x:c r="L74" s="4" t="str">
        <x:f>'Evaluation Plan'!L74</x:f>
        <x:v>UD</x:v>
      </x:c>
      <x:c r="M74" s="4" t="str">
        <x:f>'Evaluation Plan'!M74</x:f>
        <x:v>white cup</x:v>
      </x:c>
      <x:c r="N74" s="4" t="n">
        <x:f>'Evaluation Plan'!N74</x:f>
        <x:v>3</x:v>
      </x:c>
      <x:c r="O74" s="4" t="n">
        <x:f>'Evaluation Plan'!O74</x:f>
        <x:v>1</x:v>
      </x:c>
      <x:c r="P74" s="4" t="str">
        <x:f>'Evaluation Plan'!P74</x:f>
        <x:v>Empty</x:v>
      </x:c>
      <x:c r="Q74" s="5" t="str">
        <x:f>'Evaluation Plan'!Q74</x:f>
        <x:v>Primary held-out state-object composition</x:v>
      </x:c>
      <x:c r="R74" s="4" t="n">
        <x:f>'Evaluation Plan'!R74</x:f>
        <x:v>3</x:v>
      </x:c>
      <x:c r="S74" s="5" t="str">
        <x:f>'Evaluation Plan'!S74</x:f>
        <x:v>Build the listed same-category discrimination scene with the bowl empty.</x:v>
      </x:c>
      <x:c r="T74" s="5" t="str">
        <x:f>'Evaluation Plan'!T74</x:f>
        <x:v>Two same-category candidates share the non-queried state axis; only the held-out state word identifies the target. The same-category candidates share the orthogonal C/O state (C).</x:v>
      </x:c>
      <x:c r="U74" s="5" t="n">
        <x:f>'Evaluation Plan'!U74</x:f>
        <x:v>0</x:v>
      </x:c>
    </x:row>
    <x:row r="75" ht="51" customHeight="1">
      <x:c r="A75" s="13" t="s">
        <x:v>181</x:v>
      </x:c>
      <x:c r="B75" s="14" t="n">
        <x:f>'Evaluation Plan'!B75</x:f>
        <x:v>73</x:v>
      </x:c>
      <x:c r="C75" s="13" t="str">
        <x:f>'Evaluation Plan'!C75</x:f>
        <x:v>Put a white cup in the bowl.</x:v>
      </x:c>
      <x:c r="D75" s="13" t="str">
        <x:f>'Evaluation Plan'!D75</x:f>
        <x:v>white cup A (C, UD); yellow-white striped cup A (C, RU); brown cup A (C, RU)</x:v>
      </x:c>
      <x:c r="E75" s="14" t="n">
        <x:f>'Evaluation Plan'!E75</x:f>
        <x:v>72</x:v>
      </x:c>
      <x:c r="F75" s="14" t="n">
        <x:f>'Evaluation Plan'!F75</x:f>
        <x:v>35</x:v>
      </x:c>
      <x:c r="G75" s="13" t="str">
        <x:f>'Evaluation Plan'!G75</x:f>
        <x:v>Exact direct-category manipulation prompt from training episode 35. The transfer target, state, and pose are preserved; only the competing white cup is replaced by yellow-white striped cup A.</x:v>
      </x:c>
      <x:c r="H75" s="13" t="str">
        <x:f>'Evaluation Plan'!H75</x:f>
        <x:v>white cup A</x:v>
      </x:c>
      <x:c r="I75" s="13"/>
      <x:c r="J75" s="15" t="str">
        <x:f>'Evaluation Plan'!J75</x:f>
        <x:v>Matched manipulation control</x:v>
      </x:c>
      <x:c r="K75" s="14" t="str">
        <x:f>'Evaluation Plan'!K75</x:f>
        <x:v>SR-CT17</x:v>
      </x:c>
      <x:c r="L75" s="14" t="str">
        <x:f>'Evaluation Plan'!L75</x:f>
        <x:v>N/A</x:v>
      </x:c>
      <x:c r="M75" s="14" t="str">
        <x:f>'Evaluation Plan'!M75</x:f>
        <x:v>white cup</x:v>
      </x:c>
      <x:c r="N75" s="14" t="n">
        <x:f>'Evaluation Plan'!N75</x:f>
        <x:v>3</x:v>
      </x:c>
      <x:c r="O75" s="14" t="n">
        <x:f>'Evaluation Plan'!O75</x:f>
        <x:v>1</x:v>
      </x:c>
      <x:c r="P75" s="14" t="str">
        <x:f>'Evaluation Plan'!P75</x:f>
        <x:v>Empty</x:v>
      </x:c>
      <x:c r="Q75" s="13" t="str">
        <x:f>'Evaluation Plan'!Q75</x:f>
        <x:v>One-object-substitution direct-category control</x:v>
      </x:c>
      <x:c r="R75" s="14" t="n">
        <x:f>'Evaluation Plan'!R75</x:f>
        <x:v>3</x:v>
      </x:c>
      <x:c r="S75" s="13" t="str">
        <x:f>'Evaluation Plan'!S75</x:f>
        <x:v>Reset white cup A to its transfer pose. Replace white cup B with yellow-white striped cup A in the same location and use the states listed in this row; preserve all other objects.</x:v>
      </x:c>
      <x:c r="T75" s="13" t="str">
        <x:f>'Evaluation Plan'!T75</x:f>
        <x:v>Pure recognition/manipulation control: the prompt uniquely names the only object from the target category, while the physical target remains identical to the transfer row.</x:v>
      </x:c>
      <x:c r="U75" s="13" t="n">
        <x:f>'Evaluation Plan'!U75</x:f>
        <x:v>0</x:v>
      </x:c>
    </x:row>
    <x:row r="76" ht="51" customHeight="1">
      <x:c r="A76" s="5" t="s">
        <x:v>181</x:v>
      </x:c>
      <x:c r="B76" s="4" t="n">
        <x:f>'Evaluation Plan'!B76</x:f>
        <x:v>74</x:v>
      </x:c>
      <x:c r="C76" s="5" t="str">
        <x:f>'Evaluation Plan'!C76</x:f>
        <x:v>Place the open yellow-white striped cup in the bowl.</x:v>
      </x:c>
      <x:c r="D76" s="5" t="str">
        <x:f>'Evaluation Plan'!D76</x:f>
        <x:v>yellow-white striped cup B (O, RU); yellow-white striped cup A (C, RU); glass spice container B (O, RU); white cup A (C, RU)</x:v>
      </x:c>
      <x:c r="E76" s="4" t="n">
        <x:f>'Evaluation Plan'!E76</x:f>
        <x:v>0</x:v>
      </x:c>
      <x:c r="F76" s="4" t="str">
        <x:f>'Evaluation Plan'!F76</x:f>
        <x:v>72</x:v>
      </x:c>
      <x:c r="G76" s="5" t="str">
        <x:f>'Evaluation Plan'!G76</x:f>
        <x:v>Physical-state and manipulation-trajectory reference under a direct category prompt; the evaluated state word × object-category cell is intentionally absent from training. All objects are upright, matching the context of every explicit open/closed training demonstration.</x:v>
      </x:c>
      <x:c r="H76" s="5" t="str">
        <x:f>'Evaluation Plan'!H76</x:f>
        <x:v>yellow-white striped cup B</x:v>
      </x:c>
      <x:c r="I76" s="5"/>
      <x:c r="J76" s="12" t="str">
        <x:f>'Evaluation Plan'!J76</x:f>
        <x:v>Concept/compositional transfer</x:v>
      </x:c>
      <x:c r="K76" s="4" t="str">
        <x:f>'Evaluation Plan'!K76</x:f>
        <x:v>SR-CT18</x:v>
      </x:c>
      <x:c r="L76" s="4" t="str">
        <x:f>'Evaluation Plan'!L76</x:f>
        <x:v>O</x:v>
      </x:c>
      <x:c r="M76" s="4" t="str">
        <x:f>'Evaluation Plan'!M76</x:f>
        <x:v>yellow-white striped cup</x:v>
      </x:c>
      <x:c r="N76" s="4" t="n">
        <x:f>'Evaluation Plan'!N76</x:f>
        <x:v>4</x:v>
      </x:c>
      <x:c r="O76" s="4" t="n">
        <x:f>'Evaluation Plan'!O76</x:f>
        <x:v>1</x:v>
      </x:c>
      <x:c r="P76" s="4" t="str">
        <x:f>'Evaluation Plan'!P76</x:f>
        <x:v>Empty</x:v>
      </x:c>
      <x:c r="Q76" s="5" t="str">
        <x:f>'Evaluation Plan'!Q76</x:f>
        <x:v>Primary held-out state-object composition</x:v>
      </x:c>
      <x:c r="R76" s="4" t="n">
        <x:f>'Evaluation Plan'!R76</x:f>
        <x:v>3</x:v>
      </x:c>
      <x:c r="S76" s="5" t="str">
        <x:f>'Evaluation Plan'!S76</x:f>
        <x:v>Build the listed same-category discrimination scene with the bowl empty.</x:v>
      </x:c>
      <x:c r="T76" s="5" t="str">
        <x:f>'Evaluation Plan'!T76</x:f>
        <x:v>Two same-category candidates share the non-queried state axis; only the held-out state word identifies the target. The orthogonal orientation axis is fixed: every object is RU.</x:v>
      </x:c>
      <x:c r="U76" s="5" t="n">
        <x:f>'Evaluation Plan'!U76</x:f>
        <x:v>0</x:v>
      </x:c>
    </x:row>
    <x:row r="77" ht="51" customHeight="1">
      <x:c r="A77" s="13" t="s">
        <x:v>181</x:v>
      </x:c>
      <x:c r="B77" s="14" t="n">
        <x:f>'Evaluation Plan'!B77</x:f>
        <x:v>75</x:v>
      </x:c>
      <x:c r="C77" s="13" t="str">
        <x:f>'Evaluation Plan'!C77</x:f>
        <x:v>Move a yellow-white striped cup into the bowl.</x:v>
      </x:c>
      <x:c r="D77" s="13" t="str">
        <x:f>'Evaluation Plan'!D77</x:f>
        <x:v>yellow-white striped cup B (O, RU); brown cup B (C, RU); glass spice container B (O, RU); white cup A (C, RU)</x:v>
      </x:c>
      <x:c r="E77" s="14" t="n">
        <x:f>'Evaluation Plan'!E77</x:f>
        <x:v>74</x:v>
      </x:c>
      <x:c r="F77" s="14" t="n">
        <x:f>'Evaluation Plan'!F77</x:f>
        <x:v>72</x:v>
      </x:c>
      <x:c r="G77" s="13" t="str">
        <x:f>'Evaluation Plan'!G77</x:f>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H77" s="13" t="str">
        <x:f>'Evaluation Plan'!H77</x:f>
        <x:v>yellow-white striped cup B</x:v>
      </x:c>
      <x:c r="I77" s="13"/>
      <x:c r="J77" s="15" t="str">
        <x:f>'Evaluation Plan'!J77</x:f>
        <x:v>Matched manipulation control</x:v>
      </x:c>
      <x:c r="K77" s="14" t="str">
        <x:f>'Evaluation Plan'!K77</x:f>
        <x:v>SR-CT18</x:v>
      </x:c>
      <x:c r="L77" s="14" t="str">
        <x:f>'Evaluation Plan'!L77</x:f>
        <x:v>N/A</x:v>
      </x:c>
      <x:c r="M77" s="14" t="str">
        <x:f>'Evaluation Plan'!M77</x:f>
        <x:v>yellow-white striped cup</x:v>
      </x:c>
      <x:c r="N77" s="14" t="n">
        <x:f>'Evaluation Plan'!N77</x:f>
        <x:v>4</x:v>
      </x:c>
      <x:c r="O77" s="14" t="n">
        <x:f>'Evaluation Plan'!O77</x:f>
        <x:v>1</x:v>
      </x:c>
      <x:c r="P77" s="14" t="str">
        <x:f>'Evaluation Plan'!P77</x:f>
        <x:v>Empty</x:v>
      </x:c>
      <x:c r="Q77" s="13" t="str">
        <x:f>'Evaluation Plan'!Q77</x:f>
        <x:v>One-object-substitution direct-category control</x:v>
      </x:c>
      <x:c r="R77" s="14" t="n">
        <x:f>'Evaluation Plan'!R77</x:f>
        <x:v>3</x:v>
      </x:c>
      <x:c r="S77" s="13" t="str">
        <x:f>'Evaluation Plan'!S77</x:f>
        <x:v>Reset yellow-white striped cup B to its transfer pose. Replace yellow-white striped cup A with brown cup B in the same location and use the states listed in this row; preserve all other objects.</x:v>
      </x:c>
      <x:c r="T77" s="13" t="str">
        <x:f>'Evaluation Plan'!T77</x:f>
        <x:v>Pure recognition/manipulation control: the prompt uniquely names the only object from the target category, while the physical target remains identical to the transfer row. Every object is RU.</x:v>
      </x:c>
      <x:c r="U77" s="13" t="n">
        <x:f>'Evaluation Plan'!U77</x:f>
        <x:v>0</x:v>
      </x:c>
    </x:row>
    <x:row r="78" ht="51" customHeight="1">
      <x:c r="A78" s="5" t="s">
        <x:v>181</x:v>
      </x:c>
      <x:c r="B78" s="4" t="n">
        <x:f>'Evaluation Plan'!B78</x:f>
        <x:v>76</x:v>
      </x:c>
      <x:c r="C78" s="5" t="str">
        <x:f>'Evaluation Plan'!C78</x:f>
        <x:v>Place the closed brown cup in the bowl.</x:v>
      </x:c>
      <x:c r="D78" s="5" t="str">
        <x:f>'Evaluation Plan'!D78</x:f>
        <x:v>brown cup A (C, RU); brown cup B (O, RU)</x:v>
      </x:c>
      <x:c r="E78" s="4" t="n">
        <x:f>'Evaluation Plan'!E78</x:f>
        <x:v>0</x:v>
      </x:c>
      <x:c r="F78" s="4" t="str">
        <x:f>'Evaluation Plan'!F78</x:f>
        <x:v>105</x:v>
      </x:c>
      <x:c r="G78" s="5" t="str">
        <x:f>'Evaluation Plan'!G78</x:f>
        <x:v>Physical-state and manipulation-trajectory reference under a direct category prompt; the evaluated state word × object-category cell is intentionally absent from training. All objects are upright, matching the context of every explicit open/closed training demonstration.</x:v>
      </x:c>
      <x:c r="H78" s="5" t="str">
        <x:f>'Evaluation Plan'!H78</x:f>
        <x:v>brown cup A</x:v>
      </x:c>
      <x:c r="I78" s="5"/>
      <x:c r="J78" s="12" t="str">
        <x:f>'Evaluation Plan'!J78</x:f>
        <x:v>Concept/compositional transfer</x:v>
      </x:c>
      <x:c r="K78" s="4" t="str">
        <x:f>'Evaluation Plan'!K78</x:f>
        <x:v>SR-CT19</x:v>
      </x:c>
      <x:c r="L78" s="4" t="str">
        <x:f>'Evaluation Plan'!L78</x:f>
        <x:v>C</x:v>
      </x:c>
      <x:c r="M78" s="4" t="str">
        <x:f>'Evaluation Plan'!M78</x:f>
        <x:v>brown cup</x:v>
      </x:c>
      <x:c r="N78" s="4" t="n">
        <x:f>'Evaluation Plan'!N78</x:f>
        <x:v>2</x:v>
      </x:c>
      <x:c r="O78" s="4" t="n">
        <x:f>'Evaluation Plan'!O78</x:f>
        <x:v>1</x:v>
      </x:c>
      <x:c r="P78" s="4" t="str">
        <x:f>'Evaluation Plan'!P78</x:f>
        <x:v>Empty</x:v>
      </x:c>
      <x:c r="Q78" s="5" t="str">
        <x:f>'Evaluation Plan'!Q78</x:f>
        <x:v>Primary held-out state-object composition</x:v>
      </x:c>
      <x:c r="R78" s="4" t="n">
        <x:f>'Evaluation Plan'!R78</x:f>
        <x:v>3</x:v>
      </x:c>
      <x:c r="S78" s="5" t="str">
        <x:f>'Evaluation Plan'!S78</x:f>
        <x:v>Build the listed same-category discrimination scene with the bowl empty.</x:v>
      </x:c>
      <x:c r="T78" s="5" t="str">
        <x:f>'Evaluation Plan'!T78</x:f>
        <x:v>Two same-category candidates share the non-queried state axis; only the held-out state word identifies the target. The orthogonal orientation axis is fixed: every object is RU.</x:v>
      </x:c>
      <x:c r="U78" s="5" t="n">
        <x:f>'Evaluation Plan'!U78</x:f>
        <x:v>0</x:v>
      </x:c>
    </x:row>
    <x:row r="79" ht="51" customHeight="1">
      <x:c r="A79" s="13" t="s">
        <x:v>181</x:v>
      </x:c>
      <x:c r="B79" s="14" t="n">
        <x:f>'Evaluation Plan'!B79</x:f>
        <x:v>77</x:v>
      </x:c>
      <x:c r="C79" s="13" t="str">
        <x:f>'Evaluation Plan'!C79</x:f>
        <x:v>Move a brown cup into the bowl.</x:v>
      </x:c>
      <x:c r="D79" s="13" t="str">
        <x:f>'Evaluation Plan'!D79</x:f>
        <x:v>brown cup A (C, RU); white cup A (O, RU)</x:v>
      </x:c>
      <x:c r="E79" s="14" t="n">
        <x:f>'Evaluation Plan'!E79</x:f>
        <x:v>76</x:v>
      </x:c>
      <x:c r="F79" s="14" t="n">
        <x:f>'Evaluation Plan'!F79</x:f>
        <x:v>105</x:v>
      </x:c>
      <x:c r="G79" s="13" t="str">
        <x:f>'Evaluation Plan'!G79</x:f>
        <x:v>Exact direct-category manipulation prompt from training episode 105. The transfer target, state, and pose are preserved; only the competing brown cup is replaced by white cup A. The full control scene is upright because its paired transfer instruction queries open/closed.</x:v>
      </x:c>
      <x:c r="H79" s="13" t="str">
        <x:f>'Evaluation Plan'!H79</x:f>
        <x:v>brown cup A</x:v>
      </x:c>
      <x:c r="I79" s="13"/>
      <x:c r="J79" s="15" t="str">
        <x:f>'Evaluation Plan'!J79</x:f>
        <x:v>Matched manipulation control</x:v>
      </x:c>
      <x:c r="K79" s="14" t="str">
        <x:f>'Evaluation Plan'!K79</x:f>
        <x:v>SR-CT19</x:v>
      </x:c>
      <x:c r="L79" s="14" t="str">
        <x:f>'Evaluation Plan'!L79</x:f>
        <x:v>N/A</x:v>
      </x:c>
      <x:c r="M79" s="14" t="str">
        <x:f>'Evaluation Plan'!M79</x:f>
        <x:v>brown cup</x:v>
      </x:c>
      <x:c r="N79" s="14" t="n">
        <x:f>'Evaluation Plan'!N79</x:f>
        <x:v>2</x:v>
      </x:c>
      <x:c r="O79" s="14" t="n">
        <x:f>'Evaluation Plan'!O79</x:f>
        <x:v>1</x:v>
      </x:c>
      <x:c r="P79" s="14" t="str">
        <x:f>'Evaluation Plan'!P79</x:f>
        <x:v>Empty</x:v>
      </x:c>
      <x:c r="Q79" s="13" t="str">
        <x:f>'Evaluation Plan'!Q79</x:f>
        <x:v>One-object-substitution direct-category control</x:v>
      </x:c>
      <x:c r="R79" s="14" t="n">
        <x:f>'Evaluation Plan'!R79</x:f>
        <x:v>3</x:v>
      </x:c>
      <x:c r="S79" s="13" t="str">
        <x:f>'Evaluation Plan'!S79</x:f>
        <x:v>Reset brown cup A to its transfer pose. Replace brown cup B with white cup A in the same location and use the states listed in this row; preserve all other objects.</x:v>
      </x:c>
      <x:c r="T79" s="13" t="str">
        <x:f>'Evaluation Plan'!T79</x:f>
        <x:v>Pure recognition/manipulation control: the prompt uniquely names the only object from the target category, while the physical target remains identical to the transfer row. Every object is RU.</x:v>
      </x:c>
      <x:c r="U79" s="13" t="n">
        <x:f>'Evaluation Plan'!U79</x:f>
        <x:v>0</x:v>
      </x:c>
    </x:row>
    <x:row r="80" ht="51" customHeight="1">
      <x:c r="A80" s="5" t="s">
        <x:v>181</x:v>
      </x:c>
      <x:c r="B80" s="4" t="n">
        <x:f>'Evaluation Plan'!B80</x:f>
        <x:v>78</x:v>
      </x:c>
      <x:c r="C80" s="5" t="str">
        <x:f>'Evaluation Plan'!C80</x:f>
        <x:v>Place the upright glass spice container in the bowl.</x:v>
      </x:c>
      <x:c r="D80" s="5" t="str">
        <x:f>'Evaluation Plan'!D80</x:f>
        <x:v>glass spice container B (C, RU); glass spice container A (C, UD); yellow-white striped cup B (O, UD)</x:v>
      </x:c>
      <x:c r="E80" s="4" t="n">
        <x:f>'Evaluation Plan'!E80</x:f>
        <x:v>0</x:v>
      </x:c>
      <x:c r="F80" s="4" t="str">
        <x:f>'Evaluation Plan'!F80</x:f>
        <x:v>179</x:v>
      </x:c>
      <x:c r="G80" s="5" t="str">
        <x:f>'Evaluation Plan'!G80</x:f>
        <x:v>Physical-state and manipulation-trajectory reference under a direct category prompt; the evaluated state word × object-category cell is intentionally absent from training.</x:v>
      </x:c>
      <x:c r="H80" s="5" t="str">
        <x:f>'Evaluation Plan'!H80</x:f>
        <x:v>glass spice container B</x:v>
      </x:c>
      <x:c r="I80" s="5"/>
      <x:c r="J80" s="12" t="str">
        <x:f>'Evaluation Plan'!J80</x:f>
        <x:v>Concept/compositional transfer</x:v>
      </x:c>
      <x:c r="K80" s="4" t="str">
        <x:f>'Evaluation Plan'!K80</x:f>
        <x:v>SR-CT20</x:v>
      </x:c>
      <x:c r="L80" s="4" t="str">
        <x:f>'Evaluation Plan'!L80</x:f>
        <x:v>RU</x:v>
      </x:c>
      <x:c r="M80" s="4" t="str">
        <x:f>'Evaluation Plan'!M80</x:f>
        <x:v>glass spice container</x:v>
      </x:c>
      <x:c r="N80" s="4" t="n">
        <x:f>'Evaluation Plan'!N80</x:f>
        <x:v>3</x:v>
      </x:c>
      <x:c r="O80" s="4" t="n">
        <x:f>'Evaluation Plan'!O80</x:f>
        <x:v>1</x:v>
      </x:c>
      <x:c r="P80" s="4" t="str">
        <x:f>'Evaluation Plan'!P80</x:f>
        <x:v>Empty</x:v>
      </x:c>
      <x:c r="Q80" s="5" t="str">
        <x:f>'Evaluation Plan'!Q80</x:f>
        <x:v>Primary held-out state-object composition</x:v>
      </x:c>
      <x:c r="R80" s="4" t="n">
        <x:f>'Evaluation Plan'!R80</x:f>
        <x:v>3</x:v>
      </x:c>
      <x:c r="S80" s="5" t="str">
        <x:f>'Evaluation Plan'!S80</x:f>
        <x:v>Build the listed same-category discrimination scene with the bowl empty.</x:v>
      </x:c>
      <x:c r="T80" s="5" t="str">
        <x:f>'Evaluation Plan'!T80</x:f>
        <x:v>Two same-category candidates share the non-queried state axis; only the held-out state word identifies the target. The same-category candidates share the orthogonal C/O state (C).</x:v>
      </x:c>
      <x:c r="U80" s="5" t="n">
        <x:f>'Evaluation Plan'!U80</x:f>
        <x:v>0</x:v>
      </x:c>
    </x:row>
    <x:row r="81" ht="51" customHeight="1">
      <x:c r="A81" s="13" t="s">
        <x:v>181</x:v>
      </x:c>
      <x:c r="B81" s="14" t="n">
        <x:f>'Evaluation Plan'!B81</x:f>
        <x:v>79</x:v>
      </x:c>
      <x:c r="C81" s="13" t="str">
        <x:f>'Evaluation Plan'!C81</x:f>
        <x:v>Put a glass spice container in the bowl.</x:v>
      </x:c>
      <x:c r="D81" s="13" t="str">
        <x:f>'Evaluation Plan'!D81</x:f>
        <x:v>glass spice container B (C, RU); brown cup B (C, UD); yellow-white striped cup B (O, UD)</x:v>
      </x:c>
      <x:c r="E81" s="14" t="n">
        <x:f>'Evaluation Plan'!E81</x:f>
        <x:v>78</x:v>
      </x:c>
      <x:c r="F81" s="14" t="n">
        <x:f>'Evaluation Plan'!F81</x:f>
        <x:v>179</x:v>
      </x:c>
      <x:c r="G81" s="13" t="str">
        <x:f>'Evaluation Plan'!G81</x:f>
        <x:v>Exact direct-category manipulation prompt from training episode 179. The transfer target, state, and pose are preserved; only the competing glass spice container is replaced by brown cup B.</x:v>
      </x:c>
      <x:c r="H81" s="13" t="str">
        <x:f>'Evaluation Plan'!H81</x:f>
        <x:v>glass spice container B</x:v>
      </x:c>
      <x:c r="I81" s="13"/>
      <x:c r="J81" s="15" t="str">
        <x:f>'Evaluation Plan'!J81</x:f>
        <x:v>Matched manipulation control</x:v>
      </x:c>
      <x:c r="K81" s="14" t="str">
        <x:f>'Evaluation Plan'!K81</x:f>
        <x:v>SR-CT20</x:v>
      </x:c>
      <x:c r="L81" s="14" t="str">
        <x:f>'Evaluation Plan'!L81</x:f>
        <x:v>N/A</x:v>
      </x:c>
      <x:c r="M81" s="14" t="str">
        <x:f>'Evaluation Plan'!M81</x:f>
        <x:v>glass spice container</x:v>
      </x:c>
      <x:c r="N81" s="14" t="n">
        <x:f>'Evaluation Plan'!N81</x:f>
        <x:v>3</x:v>
      </x:c>
      <x:c r="O81" s="14" t="n">
        <x:f>'Evaluation Plan'!O81</x:f>
        <x:v>1</x:v>
      </x:c>
      <x:c r="P81" s="14" t="str">
        <x:f>'Evaluation Plan'!P81</x:f>
        <x:v>Empty</x:v>
      </x:c>
      <x:c r="Q81" s="13" t="str">
        <x:f>'Evaluation Plan'!Q81</x:f>
        <x:v>One-object-substitution direct-category control</x:v>
      </x:c>
      <x:c r="R81" s="14" t="n">
        <x:f>'Evaluation Plan'!R81</x:f>
        <x:v>3</x:v>
      </x:c>
      <x:c r="S81" s="13" t="str">
        <x:f>'Evaluation Plan'!S81</x:f>
        <x:v>Reset glass spice container B to its transfer pose. Replace glass spice container A with brown cup B in the same location and use the states listed in this row; preserve all other objects.</x:v>
      </x:c>
      <x:c r="T81" s="13" t="str">
        <x:f>'Evaluation Plan'!T81</x:f>
        <x:v>Pure recognition/manipulation control: the prompt uniquely names the only object from the target category, while the physical target remains identical to the transfer row.</x:v>
      </x:c>
      <x:c r="U81" s="13" t="n">
        <x:f>'Evaluation Plan'!U81</x:f>
        <x:v>0</x:v>
      </x:c>
    </x:row>
    <x:row r="82" ht="51" customHeight="1">
      <x:c r="A82" s="5" t="s">
        <x:v>181</x:v>
      </x:c>
      <x:c r="B82" s="4" t="n">
        <x:f>'Evaluation Plan'!B82</x:f>
        <x:v>80</x:v>
      </x:c>
      <x:c r="C82" s="5" t="str">
        <x:f>'Evaluation Plan'!C82</x:f>
        <x:v>Place the upside-down white cup in the bowl.</x:v>
      </x:c>
      <x:c r="D82" s="5" t="str">
        <x:f>'Evaluation Plan'!D82</x:f>
        <x:v>white cup A (O, UD); white cup B (O, RU); glass spice container A (C, RU); yellow-white striped cup B (O, RU)</x:v>
      </x:c>
      <x:c r="E82" s="4" t="n">
        <x:f>'Evaluation Plan'!E82</x:f>
        <x:v>0</x:v>
      </x:c>
      <x:c r="F82" s="4" t="str">
        <x:f>'Evaluation Plan'!F82</x:f>
        <x:v>34</x:v>
      </x:c>
      <x:c r="G82" s="5" t="str">
        <x:f>'Evaluation Plan'!G82</x:f>
        <x:v>Physical-state and manipulation-trajectory reference under a direct category prompt; the evaluated state word × object-category cell is intentionally absent from training.</x:v>
      </x:c>
      <x:c r="H82" s="5" t="str">
        <x:f>'Evaluation Plan'!H82</x:f>
        <x:v>white cup A</x:v>
      </x:c>
      <x:c r="I82" s="5"/>
      <x:c r="J82" s="12" t="str">
        <x:f>'Evaluation Plan'!J82</x:f>
        <x:v>Concept/compositional transfer</x:v>
      </x:c>
      <x:c r="K82" s="4" t="str">
        <x:f>'Evaluation Plan'!K82</x:f>
        <x:v>SR-CT21</x:v>
      </x:c>
      <x:c r="L82" s="4" t="str">
        <x:f>'Evaluation Plan'!L82</x:f>
        <x:v>UD</x:v>
      </x:c>
      <x:c r="M82" s="4" t="str">
        <x:f>'Evaluation Plan'!M82</x:f>
        <x:v>white cup</x:v>
      </x:c>
      <x:c r="N82" s="4" t="n">
        <x:f>'Evaluation Plan'!N82</x:f>
        <x:v>4</x:v>
      </x:c>
      <x:c r="O82" s="4" t="n">
        <x:f>'Evaluation Plan'!O82</x:f>
        <x:v>1</x:v>
      </x:c>
      <x:c r="P82" s="4" t="str">
        <x:f>'Evaluation Plan'!P82</x:f>
        <x:v>Empty</x:v>
      </x:c>
      <x:c r="Q82" s="5" t="str">
        <x:f>'Evaluation Plan'!Q82</x:f>
        <x:v>Primary held-out state-object composition</x:v>
      </x:c>
      <x:c r="R82" s="4" t="n">
        <x:f>'Evaluation Plan'!R82</x:f>
        <x:v>4</x:v>
      </x:c>
      <x:c r="S82" s="5" t="str">
        <x:f>'Evaluation Plan'!S82</x:f>
        <x:v>Build the listed same-category discrimination scene with the bowl empty.</x:v>
      </x:c>
      <x:c r="T82" s="5" t="str">
        <x:f>'Evaluation Plan'!T82</x:f>
        <x:v>Two same-category candidates share the non-queried state axis; only the held-out state word identifies the target. The same-category candidates share the orthogonal C/O state (O).</x:v>
      </x:c>
      <x:c r="U82" s="5" t="n">
        <x:f>'Evaluation Plan'!U82</x:f>
        <x:v>0</x:v>
      </x:c>
    </x:row>
    <x:row r="83" ht="51" customHeight="1">
      <x:c r="A83" s="11" t="s">
        <x:v>181</x:v>
      </x:c>
      <x:c r="B83" s="10" t="n">
        <x:f>'Evaluation Plan'!B83</x:f>
        <x:v>81</x:v>
      </x:c>
      <x:c r="C83" s="11" t="str">
        <x:f>'Evaluation Plan'!C83</x:f>
        <x:v>Place the open yellow-white striped cup in the bowl.</x:v>
      </x:c>
      <x:c r="D83" s="11" t="str">
        <x:f>'Evaluation Plan'!D83</x:f>
        <x:v>yellow-white striped cup B (O, RU); yellow-white striped cup A (C, RU)</x:v>
      </x:c>
      <x:c r="E83" s="10" t="n">
        <x:f>'Evaluation Plan'!E83</x:f>
        <x:v>0</x:v>
      </x:c>
      <x:c r="F83" s="10" t="str">
        <x:f>'Evaluation Plan'!F83</x:f>
        <x:v>53</x:v>
      </x:c>
      <x:c r="G83" s="11" t="str">
        <x:f>'Evaluation Plan'!G83</x:f>
        <x:v>Physical-state and manipulation-trajectory reference under a direct category prompt; the evaluated state word × object-category cell is intentionally absent from training. All objects are upright, matching the context of every explicit open/closed training demonstration.</x:v>
      </x:c>
      <x:c r="H83" s="11" t="str">
        <x:f>'Evaluation Plan'!H83</x:f>
        <x:v>yellow-white striped cup B</x:v>
      </x:c>
      <x:c r="I83" s="11"/>
      <x:c r="J83" s="12" t="str">
        <x:f>'Evaluation Plan'!J83</x:f>
        <x:v>Concept/compositional transfer</x:v>
      </x:c>
      <x:c r="K83" s="10" t="str">
        <x:f>'Evaluation Plan'!K83</x:f>
        <x:v>SR-CT22</x:v>
      </x:c>
      <x:c r="L83" s="10" t="str">
        <x:f>'Evaluation Plan'!L83</x:f>
        <x:v>O</x:v>
      </x:c>
      <x:c r="M83" s="10" t="str">
        <x:f>'Evaluation Plan'!M83</x:f>
        <x:v>yellow-white striped cup</x:v>
      </x:c>
      <x:c r="N83" s="10" t="n">
        <x:f>'Evaluation Plan'!N83</x:f>
        <x:v>2</x:v>
      </x:c>
      <x:c r="O83" s="10" t="n">
        <x:f>'Evaluation Plan'!O83</x:f>
        <x:v>1</x:v>
      </x:c>
      <x:c r="P83" s="10" t="str">
        <x:f>'Evaluation Plan'!P83</x:f>
        <x:v>Empty</x:v>
      </x:c>
      <x:c r="Q83" s="11" t="str">
        <x:f>'Evaluation Plan'!Q83</x:f>
        <x:v>Primary held-out state-object composition</x:v>
      </x:c>
      <x:c r="R83" s="10" t="n">
        <x:f>'Evaluation Plan'!R83</x:f>
        <x:v>4</x:v>
      </x:c>
      <x:c r="S83" s="11" t="str">
        <x:f>'Evaluation Plan'!S83</x:f>
        <x:v>Build the listed same-category discrimination scene with the bowl empty.</x:v>
      </x:c>
      <x:c r="T83" s="11" t="str">
        <x:f>'Evaluation Plan'!T83</x:f>
        <x:v>Two same-category candidates share the non-queried state axis; only the held-out state word identifies the target. The orthogonal orientation axis is fixed: every object is RU.</x:v>
      </x:c>
      <x:c r="U83" s="11" t="n">
        <x:f>'Evaluation Plan'!U83</x:f>
        <x:v>0</x:v>
      </x:c>
    </x:row>
    <x:row r="84" ht="51" customHeight="1">
      <x:c r="A84" s="5" t="s">
        <x:v>181</x:v>
      </x:c>
      <x:c r="B84" s="4" t="n">
        <x:f>'Evaluation Plan'!B84</x:f>
        <x:v>82</x:v>
      </x:c>
      <x:c r="C84" s="5" t="str">
        <x:f>'Evaluation Plan'!C84</x:f>
        <x:v>Place the closed brown cup in the bowl.</x:v>
      </x:c>
      <x:c r="D84" s="5" t="str">
        <x:f>'Evaluation Plan'!D84</x:f>
        <x:v>brown cup A (C, RU); brown cup B (O, RU); yellow-white striped cup A (C, RU)</x:v>
      </x:c>
      <x:c r="E84" s="4" t="n">
        <x:f>'Evaluation Plan'!E84</x:f>
        <x:v>0</x:v>
      </x:c>
      <x:c r="F84" s="4" t="str">
        <x:f>'Evaluation Plan'!F84</x:f>
        <x:v>107</x:v>
      </x:c>
      <x:c r="G84" s="5" t="str">
        <x:f>'Evaluation Plan'!G84</x:f>
        <x:v>Physical-state and manipulation-trajectory reference under a direct category prompt; the evaluated state word × object-category cell is intentionally absent from training. All objects are upright, matching the context of every explicit open/closed training demonstration.</x:v>
      </x:c>
      <x:c r="H84" s="5" t="str">
        <x:f>'Evaluation Plan'!H84</x:f>
        <x:v>brown cup A</x:v>
      </x:c>
      <x:c r="I84" s="5"/>
      <x:c r="J84" s="12" t="str">
        <x:f>'Evaluation Plan'!J84</x:f>
        <x:v>Concept/compositional transfer</x:v>
      </x:c>
      <x:c r="K84" s="4" t="str">
        <x:f>'Evaluation Plan'!K84</x:f>
        <x:v>SR-CT23</x:v>
      </x:c>
      <x:c r="L84" s="4" t="str">
        <x:f>'Evaluation Plan'!L84</x:f>
        <x:v>C</x:v>
      </x:c>
      <x:c r="M84" s="4" t="str">
        <x:f>'Evaluation Plan'!M84</x:f>
        <x:v>brown cup</x:v>
      </x:c>
      <x:c r="N84" s="4" t="n">
        <x:f>'Evaluation Plan'!N84</x:f>
        <x:v>3</x:v>
      </x:c>
      <x:c r="O84" s="4" t="n">
        <x:f>'Evaluation Plan'!O84</x:f>
        <x:v>1</x:v>
      </x:c>
      <x:c r="P84" s="4" t="str">
        <x:f>'Evaluation Plan'!P84</x:f>
        <x:v>Empty</x:v>
      </x:c>
      <x:c r="Q84" s="5" t="str">
        <x:f>'Evaluation Plan'!Q84</x:f>
        <x:v>Primary held-out state-object composition</x:v>
      </x:c>
      <x:c r="R84" s="4" t="n">
        <x:f>'Evaluation Plan'!R84</x:f>
        <x:v>4</x:v>
      </x:c>
      <x:c r="S84" s="5" t="str">
        <x:f>'Evaluation Plan'!S84</x:f>
        <x:v>Build the listed same-category discrimination scene with the bowl empty.</x:v>
      </x:c>
      <x:c r="T84" s="5" t="str">
        <x:f>'Evaluation Plan'!T84</x:f>
        <x:v>Two same-category candidates share the non-queried state axis; only the held-out state word identifies the target. The orthogonal orientation axis is fixed: every object is RU.</x:v>
      </x:c>
      <x:c r="U84" s="5" t="n">
        <x:f>'Evaluation Plan'!U84</x:f>
        <x:v>0</x:v>
      </x:c>
    </x:row>
    <x:row r="85" ht="51" customHeight="1">
      <x:c r="A85" s="11" t="s">
        <x:v>181</x:v>
      </x:c>
      <x:c r="B85" s="10" t="n">
        <x:f>'Evaluation Plan'!B85</x:f>
        <x:v>83</x:v>
      </x:c>
      <x:c r="C85" s="11" t="str">
        <x:f>'Evaluation Plan'!C85</x:f>
        <x:v>Place the upright glass spice container in the bowl.</x:v>
      </x:c>
      <x:c r="D85" s="11" t="str">
        <x:f>'Evaluation Plan'!D85</x:f>
        <x:v>glass spice container B (O, RU); glass spice container A (O, UD); brown cup B (O, UD); white cup A (C, RU)</x:v>
      </x:c>
      <x:c r="E85" s="10" t="n">
        <x:f>'Evaluation Plan'!E85</x:f>
        <x:v>0</x:v>
      </x:c>
      <x:c r="F85" s="10" t="str">
        <x:f>'Evaluation Plan'!F85</x:f>
        <x:v>183</x:v>
      </x:c>
      <x:c r="G85" s="11" t="str">
        <x:f>'Evaluation Plan'!G85</x:f>
        <x:v>Physical-state and manipulation-trajectory reference under a direct category prompt; the evaluated state word × object-category cell is intentionally absent from training.</x:v>
      </x:c>
      <x:c r="H85" s="11" t="str">
        <x:f>'Evaluation Plan'!H85</x:f>
        <x:v>glass spice container B</x:v>
      </x:c>
      <x:c r="I85" s="11"/>
      <x:c r="J85" s="12" t="str">
        <x:f>'Evaluation Plan'!J85</x:f>
        <x:v>Concept/compositional transfer</x:v>
      </x:c>
      <x:c r="K85" s="10" t="str">
        <x:f>'Evaluation Plan'!K85</x:f>
        <x:v>SR-CT24</x:v>
      </x:c>
      <x:c r="L85" s="10" t="str">
        <x:f>'Evaluation Plan'!L85</x:f>
        <x:v>RU</x:v>
      </x:c>
      <x:c r="M85" s="10" t="str">
        <x:f>'Evaluation Plan'!M85</x:f>
        <x:v>glass spice container</x:v>
      </x:c>
      <x:c r="N85" s="10" t="n">
        <x:f>'Evaluation Plan'!N85</x:f>
        <x:v>4</x:v>
      </x:c>
      <x:c r="O85" s="10" t="n">
        <x:f>'Evaluation Plan'!O85</x:f>
        <x:v>1</x:v>
      </x:c>
      <x:c r="P85" s="10" t="str">
        <x:f>'Evaluation Plan'!P85</x:f>
        <x:v>Empty</x:v>
      </x:c>
      <x:c r="Q85" s="11" t="str">
        <x:f>'Evaluation Plan'!Q85</x:f>
        <x:v>Primary held-out state-object composition</x:v>
      </x:c>
      <x:c r="R85" s="10" t="n">
        <x:f>'Evaluation Plan'!R85</x:f>
        <x:v>4</x:v>
      </x:c>
      <x:c r="S85" s="11" t="str">
        <x:f>'Evaluation Plan'!S85</x:f>
        <x:v>Build the listed same-category discrimination scene with the bowl empty.</x:v>
      </x:c>
      <x:c r="T85" s="11" t="str">
        <x:f>'Evaluation Plan'!T85</x:f>
        <x:v>Two same-category candidates share the non-queried state axis; only the held-out state word identifies the target. The same-category candidates share the orthogonal C/O state (O).</x:v>
      </x:c>
      <x:c r="U85" s="11" t="n">
        <x:f>'Evaluation Plan'!U85</x:f>
        <x:v>0</x:v>
      </x:c>
    </x:row>
    <x:row r="86" ht="51" customHeight="1">
      <x:c r="A86" s="5" t="s">
        <x:v>181</x:v>
      </x:c>
      <x:c r="B86" s="4" t="n">
        <x:f>'Evaluation Plan'!B86</x:f>
        <x:v>84</x:v>
      </x:c>
      <x:c r="C86" s="5" t="str">
        <x:f>'Evaluation Plan'!C86</x:f>
        <x:v>Place the upside-down white cup in the bowl.</x:v>
      </x:c>
      <x:c r="D86" s="5" t="str">
        <x:f>'Evaluation Plan'!D86</x:f>
        <x:v>white cup A (C, UD); white cup B (C, RU)</x:v>
      </x:c>
      <x:c r="E86" s="4" t="n">
        <x:f>'Evaluation Plan'!E86</x:f>
        <x:v>0</x:v>
      </x:c>
      <x:c r="F86" s="4" t="str">
        <x:f>'Evaluation Plan'!F86</x:f>
        <x:v>39</x:v>
      </x:c>
      <x:c r="G86" s="5" t="str">
        <x:f>'Evaluation Plan'!G86</x:f>
        <x:v>Physical-state and manipulation-trajectory reference under a direct category prompt; the evaluated state word × object-category cell is intentionally absent from training.</x:v>
      </x:c>
      <x:c r="H86" s="5" t="str">
        <x:f>'Evaluation Plan'!H86</x:f>
        <x:v>white cup A</x:v>
      </x:c>
      <x:c r="I86" s="5"/>
      <x:c r="J86" s="12" t="str">
        <x:f>'Evaluation Plan'!J86</x:f>
        <x:v>Concept/compositional transfer</x:v>
      </x:c>
      <x:c r="K86" s="4" t="str">
        <x:f>'Evaluation Plan'!K86</x:f>
        <x:v>SR-CT25</x:v>
      </x:c>
      <x:c r="L86" s="4" t="str">
        <x:f>'Evaluation Plan'!L86</x:f>
        <x:v>UD</x:v>
      </x:c>
      <x:c r="M86" s="4" t="str">
        <x:f>'Evaluation Plan'!M86</x:f>
        <x:v>white cup</x:v>
      </x:c>
      <x:c r="N86" s="4" t="n">
        <x:f>'Evaluation Plan'!N86</x:f>
        <x:v>2</x:v>
      </x:c>
      <x:c r="O86" s="4" t="n">
        <x:f>'Evaluation Plan'!O86</x:f>
        <x:v>1</x:v>
      </x:c>
      <x:c r="P86" s="4" t="str">
        <x:f>'Evaluation Plan'!P86</x:f>
        <x:v>Empty</x:v>
      </x:c>
      <x:c r="Q86" s="5" t="str">
        <x:f>'Evaluation Plan'!Q86</x:f>
        <x:v>Primary held-out state-object composition</x:v>
      </x:c>
      <x:c r="R86" s="4" t="n">
        <x:f>'Evaluation Plan'!R86</x:f>
        <x:v>4</x:v>
      </x:c>
      <x:c r="S86" s="5" t="str">
        <x:f>'Evaluation Plan'!S86</x:f>
        <x:v>Build the listed same-category discrimination scene with the bowl empty.</x:v>
      </x:c>
      <x:c r="T86" s="5" t="str">
        <x:f>'Evaluation Plan'!T86</x:f>
        <x:v>Two same-category candidates share the non-queried state axis; only the held-out state word identifies the target. The same-category candidates share the orthogonal C/O state (C).</x:v>
      </x:c>
      <x:c r="U86" s="5" t="n">
        <x:f>'Evaluation Plan'!U86</x:f>
        <x:v>0</x:v>
      </x:c>
    </x:row>
    <x:row r="87" ht="51" customHeight="1">
      <x:c r="A87" s="11" t="s">
        <x:v>181</x:v>
      </x:c>
      <x:c r="B87" s="10" t="n">
        <x:f>'Evaluation Plan'!B87</x:f>
        <x:v>85</x:v>
      </x:c>
      <x:c r="C87" s="11" t="str">
        <x:f>'Evaluation Plan'!C87</x:f>
        <x:v>Place the open yellow-white striped cup in the bowl.</x:v>
      </x:c>
      <x:c r="D87" s="11" t="str">
        <x:f>'Evaluation Plan'!D87</x:f>
        <x:v>yellow-white striped cup B (O, RU); yellow-white striped cup A (C, RU); brown cup B (O, RU)</x:v>
      </x:c>
      <x:c r="E87" s="10" t="n">
        <x:f>'Evaluation Plan'!E87</x:f>
        <x:v>0</x:v>
      </x:c>
      <x:c r="F87" s="10" t="str">
        <x:f>'Evaluation Plan'!F87</x:f>
        <x:v>64</x:v>
      </x:c>
      <x:c r="G87" s="11" t="str">
        <x:f>'Evaluation Plan'!G87</x:f>
        <x:v>Physical-state and manipulation-trajectory reference under a direct category prompt; the evaluated state word × object-category cell is intentionally absent from training. All objects are upright, matching the context of every explicit open/closed training demonstration.</x:v>
      </x:c>
      <x:c r="H87" s="11" t="str">
        <x:f>'Evaluation Plan'!H87</x:f>
        <x:v>yellow-white striped cup B</x:v>
      </x:c>
      <x:c r="I87" s="11"/>
      <x:c r="J87" s="12" t="str">
        <x:f>'Evaluation Plan'!J87</x:f>
        <x:v>Concept/compositional transfer</x:v>
      </x:c>
      <x:c r="K87" s="10" t="str">
        <x:f>'Evaluation Plan'!K87</x:f>
        <x:v>SR-CT26</x:v>
      </x:c>
      <x:c r="L87" s="10" t="str">
        <x:f>'Evaluation Plan'!L87</x:f>
        <x:v>O</x:v>
      </x:c>
      <x:c r="M87" s="10" t="str">
        <x:f>'Evaluation Plan'!M87</x:f>
        <x:v>yellow-white striped cup</x:v>
      </x:c>
      <x:c r="N87" s="10" t="n">
        <x:f>'Evaluation Plan'!N87</x:f>
        <x:v>3</x:v>
      </x:c>
      <x:c r="O87" s="10" t="n">
        <x:f>'Evaluation Plan'!O87</x:f>
        <x:v>1</x:v>
      </x:c>
      <x:c r="P87" s="10" t="str">
        <x:f>'Evaluation Plan'!P87</x:f>
        <x:v>Empty</x:v>
      </x:c>
      <x:c r="Q87" s="11" t="str">
        <x:f>'Evaluation Plan'!Q87</x:f>
        <x:v>Primary held-out state-object composition</x:v>
      </x:c>
      <x:c r="R87" s="10" t="n">
        <x:f>'Evaluation Plan'!R87</x:f>
        <x:v>4</x:v>
      </x:c>
      <x:c r="S87" s="11" t="str">
        <x:f>'Evaluation Plan'!S87</x:f>
        <x:v>Build the listed same-category discrimination scene with the bowl empty.</x:v>
      </x:c>
      <x:c r="T87" s="11" t="str">
        <x:f>'Evaluation Plan'!T87</x:f>
        <x:v>Two same-category candidates share the non-queried state axis; only the held-out state word identifies the target. The orthogonal orientation axis is fixed: every object is RU.</x:v>
      </x:c>
      <x:c r="U87" s="11" t="n">
        <x:f>'Evaluation Plan'!U87</x:f>
        <x:v>0</x:v>
      </x:c>
    </x:row>
    <x:row r="88" ht="51" customHeight="1">
      <x:c r="A88" s="5" t="s">
        <x:v>181</x:v>
      </x:c>
      <x:c r="B88" s="4" t="n">
        <x:f>'Evaluation Plan'!B88</x:f>
        <x:v>86</x:v>
      </x:c>
      <x:c r="C88" s="5" t="str">
        <x:f>'Evaluation Plan'!C88</x:f>
        <x:v>Place the closed brown cup in the bowl.</x:v>
      </x:c>
      <x:c r="D88" s="5" t="str">
        <x:f>'Evaluation Plan'!D88</x:f>
        <x:v>brown cup A (C, RU); brown cup B (O, RU); glass spice container A (C, RU); white cup B (O, RU)</x:v>
      </x:c>
      <x:c r="E88" s="4" t="n">
        <x:f>'Evaluation Plan'!E88</x:f>
        <x:v>0</x:v>
      </x:c>
      <x:c r="F88" s="4" t="str">
        <x:f>'Evaluation Plan'!F88</x:f>
        <x:v>143</x:v>
      </x:c>
      <x:c r="G88" s="5" t="str">
        <x:f>'Evaluation Plan'!G88</x:f>
        <x:v>Physical-state and manipulation-trajectory reference under a direct category prompt; the evaluated state word × object-category cell is intentionally absent from training. All objects are upright, matching the context of every explicit open/closed training demonstration.</x:v>
      </x:c>
      <x:c r="H88" s="5" t="str">
        <x:f>'Evaluation Plan'!H88</x:f>
        <x:v>brown cup A</x:v>
      </x:c>
      <x:c r="I88" s="5"/>
      <x:c r="J88" s="12" t="str">
        <x:f>'Evaluation Plan'!J88</x:f>
        <x:v>Concept/compositional transfer</x:v>
      </x:c>
      <x:c r="K88" s="4" t="str">
        <x:f>'Evaluation Plan'!K88</x:f>
        <x:v>SR-CT27</x:v>
      </x:c>
      <x:c r="L88" s="4" t="str">
        <x:f>'Evaluation Plan'!L88</x:f>
        <x:v>C</x:v>
      </x:c>
      <x:c r="M88" s="4" t="str">
        <x:f>'Evaluation Plan'!M88</x:f>
        <x:v>brown cup</x:v>
      </x:c>
      <x:c r="N88" s="4" t="n">
        <x:f>'Evaluation Plan'!N88</x:f>
        <x:v>4</x:v>
      </x:c>
      <x:c r="O88" s="4" t="n">
        <x:f>'Evaluation Plan'!O88</x:f>
        <x:v>1</x:v>
      </x:c>
      <x:c r="P88" s="4" t="str">
        <x:f>'Evaluation Plan'!P88</x:f>
        <x:v>Empty</x:v>
      </x:c>
      <x:c r="Q88" s="5" t="str">
        <x:f>'Evaluation Plan'!Q88</x:f>
        <x:v>Primary held-out state-object composition</x:v>
      </x:c>
      <x:c r="R88" s="4" t="n">
        <x:f>'Evaluation Plan'!R88</x:f>
        <x:v>4</x:v>
      </x:c>
      <x:c r="S88" s="5" t="str">
        <x:f>'Evaluation Plan'!S88</x:f>
        <x:v>Build the listed same-category discrimination scene with the bowl empty.</x:v>
      </x:c>
      <x:c r="T88" s="5" t="str">
        <x:f>'Evaluation Plan'!T88</x:f>
        <x:v>Two same-category candidates share the non-queried state axis; only the held-out state word identifies the target. The orthogonal orientation axis is fixed: every object is RU.</x:v>
      </x:c>
      <x:c r="U88" s="5" t="n">
        <x:f>'Evaluation Plan'!U88</x:f>
        <x:v>0</x:v>
      </x:c>
    </x:row>
    <x:row r="89" ht="51" customHeight="1">
      <x:c r="A89" s="11" t="s">
        <x:v>181</x:v>
      </x:c>
      <x:c r="B89" s="10" t="n">
        <x:f>'Evaluation Plan'!B89</x:f>
        <x:v>87</x:v>
      </x:c>
      <x:c r="C89" s="11" t="str">
        <x:f>'Evaluation Plan'!C89</x:f>
        <x:v>Place the upright glass spice container in the bowl.</x:v>
      </x:c>
      <x:c r="D89" s="11" t="str">
        <x:f>'Evaluation Plan'!D89</x:f>
        <x:v>glass spice container B (C, RU); glass spice container A (C, UD)</x:v>
      </x:c>
      <x:c r="E89" s="10" t="n">
        <x:f>'Evaluation Plan'!E89</x:f>
        <x:v>0</x:v>
      </x:c>
      <x:c r="F89" s="10" t="str">
        <x:f>'Evaluation Plan'!F89</x:f>
        <x:v>182</x:v>
      </x:c>
      <x:c r="G89" s="11" t="str">
        <x:f>'Evaluation Plan'!G89</x:f>
        <x:v>Physical-state and manipulation-trajectory reference under a direct category prompt; the evaluated state word × object-category cell is intentionally absent from training.</x:v>
      </x:c>
      <x:c r="H89" s="11" t="str">
        <x:f>'Evaluation Plan'!H89</x:f>
        <x:v>glass spice container B</x:v>
      </x:c>
      <x:c r="I89" s="11"/>
      <x:c r="J89" s="12" t="str">
        <x:f>'Evaluation Plan'!J89</x:f>
        <x:v>Concept/compositional transfer</x:v>
      </x:c>
      <x:c r="K89" s="10" t="str">
        <x:f>'Evaluation Plan'!K89</x:f>
        <x:v>SR-CT28</x:v>
      </x:c>
      <x:c r="L89" s="10" t="str">
        <x:f>'Evaluation Plan'!L89</x:f>
        <x:v>RU</x:v>
      </x:c>
      <x:c r="M89" s="10" t="str">
        <x:f>'Evaluation Plan'!M89</x:f>
        <x:v>glass spice container</x:v>
      </x:c>
      <x:c r="N89" s="10" t="n">
        <x:f>'Evaluation Plan'!N89</x:f>
        <x:v>2</x:v>
      </x:c>
      <x:c r="O89" s="10" t="n">
        <x:f>'Evaluation Plan'!O89</x:f>
        <x:v>1</x:v>
      </x:c>
      <x:c r="P89" s="10" t="str">
        <x:f>'Evaluation Plan'!P89</x:f>
        <x:v>Empty</x:v>
      </x:c>
      <x:c r="Q89" s="11" t="str">
        <x:f>'Evaluation Plan'!Q89</x:f>
        <x:v>Primary held-out state-object composition</x:v>
      </x:c>
      <x:c r="R89" s="10" t="n">
        <x:f>'Evaluation Plan'!R89</x:f>
        <x:v>4</x:v>
      </x:c>
      <x:c r="S89" s="11" t="str">
        <x:f>'Evaluation Plan'!S89</x:f>
        <x:v>Build the listed same-category discrimination scene with the bowl empty.</x:v>
      </x:c>
      <x:c r="T89" s="11" t="str">
        <x:f>'Evaluation Plan'!T89</x:f>
        <x:v>Two same-category candidates share the non-queried state axis; only the held-out state word identifies the target. The same-category candidates share the orthogonal C/O state (C).</x:v>
      </x:c>
      <x:c r="U89" s="11" t="n">
        <x:f>'Evaluation Plan'!U89</x:f>
        <x:v>0</x:v>
      </x:c>
    </x:row>
    <x:row r="90" ht="51" customHeight="1">
      <x:c r="A90" s="5" t="s">
        <x:v>181</x:v>
      </x:c>
      <x:c r="B90" s="4" t="n">
        <x:f>'Evaluation Plan'!B90</x:f>
        <x:v>88</x:v>
      </x:c>
      <x:c r="C90" s="5" t="str">
        <x:f>'Evaluation Plan'!C90</x:f>
        <x:v>Place the upside-down white cup in the bowl.</x:v>
      </x:c>
      <x:c r="D90" s="5" t="str">
        <x:f>'Evaluation Plan'!D90</x:f>
        <x:v>white cup A (O, UD); white cup B (O, RU); brown cup A (C, RU)</x:v>
      </x:c>
      <x:c r="E90" s="4" t="n">
        <x:f>'Evaluation Plan'!E90</x:f>
        <x:v>0</x:v>
      </x:c>
      <x:c r="F90" s="4" t="str">
        <x:f>'Evaluation Plan'!F90</x:f>
        <x:v>49</x:v>
      </x:c>
      <x:c r="G90" s="5" t="str">
        <x:f>'Evaluation Plan'!G90</x:f>
        <x:v>Physical-state and manipulation-trajectory reference under a direct category prompt; the evaluated state word × object-category cell is intentionally absent from training.</x:v>
      </x:c>
      <x:c r="H90" s="5" t="str">
        <x:f>'Evaluation Plan'!H90</x:f>
        <x:v>white cup A</x:v>
      </x:c>
      <x:c r="I90" s="5"/>
      <x:c r="J90" s="12" t="str">
        <x:f>'Evaluation Plan'!J90</x:f>
        <x:v>Concept/compositional transfer</x:v>
      </x:c>
      <x:c r="K90" s="4" t="str">
        <x:f>'Evaluation Plan'!K90</x:f>
        <x:v>SR-CT29</x:v>
      </x:c>
      <x:c r="L90" s="4" t="str">
        <x:f>'Evaluation Plan'!L90</x:f>
        <x:v>UD</x:v>
      </x:c>
      <x:c r="M90" s="4" t="str">
        <x:f>'Evaluation Plan'!M90</x:f>
        <x:v>white cup</x:v>
      </x:c>
      <x:c r="N90" s="4" t="n">
        <x:f>'Evaluation Plan'!N90</x:f>
        <x:v>3</x:v>
      </x:c>
      <x:c r="O90" s="4" t="n">
        <x:f>'Evaluation Plan'!O90</x:f>
        <x:v>1</x:v>
      </x:c>
      <x:c r="P90" s="4" t="str">
        <x:f>'Evaluation Plan'!P90</x:f>
        <x:v>Empty</x:v>
      </x:c>
      <x:c r="Q90" s="5" t="str">
        <x:f>'Evaluation Plan'!Q90</x:f>
        <x:v>Primary held-out state-object composition</x:v>
      </x:c>
      <x:c r="R90" s="4" t="n">
        <x:f>'Evaluation Plan'!R90</x:f>
        <x:v>4</x:v>
      </x:c>
      <x:c r="S90" s="5" t="str">
        <x:f>'Evaluation Plan'!S90</x:f>
        <x:v>Build the listed same-category discrimination scene with the bowl empty.</x:v>
      </x:c>
      <x:c r="T90" s="5" t="str">
        <x:f>'Evaluation Plan'!T90</x:f>
        <x:v>Two same-category candidates share the non-queried state axis; only the held-out state word identifies the target. The same-category candidates share the orthogonal C/O state (O).</x:v>
      </x:c>
      <x:c r="U90" s="5" t="n">
        <x:f>'Evaluation Plan'!U90</x:f>
        <x:v>0</x:v>
      </x:c>
    </x:row>
    <x:row r="91" ht="51" customHeight="1">
      <x:c r="A91" s="11" t="s">
        <x:v>181</x:v>
      </x:c>
      <x:c r="B91" s="10" t="n">
        <x:f>'Evaluation Plan'!B91</x:f>
        <x:v>89</x:v>
      </x:c>
      <x:c r="C91" s="11" t="str">
        <x:f>'Evaluation Plan'!C91</x:f>
        <x:v>Place the open yellow-white striped cup in the bowl.</x:v>
      </x:c>
      <x:c r="D91" s="11" t="str">
        <x:f>'Evaluation Plan'!D91</x:f>
        <x:v>yellow-white striped cup B (O, RU); yellow-white striped cup A (C, RU); glass spice container B (O, RU); white cup A (C, RU)</x:v>
      </x:c>
      <x:c r="E91" s="10" t="n">
        <x:f>'Evaluation Plan'!E91</x:f>
        <x:v>0</x:v>
      </x:c>
      <x:c r="F91" s="10" t="str">
        <x:f>'Evaluation Plan'!F91</x:f>
        <x:v>53</x:v>
      </x:c>
      <x:c r="G91" s="11" t="str">
        <x:f>'Evaluation Plan'!G91</x:f>
        <x:v>Physical-state and manipulation-trajectory reference under a direct category prompt; the evaluated state word × object-category cell is intentionally absent from training. All objects are upright, matching the context of every explicit open/closed training demonstration.</x:v>
      </x:c>
      <x:c r="H91" s="11" t="str">
        <x:f>'Evaluation Plan'!H91</x:f>
        <x:v>yellow-white striped cup B</x:v>
      </x:c>
      <x:c r="I91" s="11"/>
      <x:c r="J91" s="12" t="str">
        <x:f>'Evaluation Plan'!J91</x:f>
        <x:v>Concept/compositional transfer</x:v>
      </x:c>
      <x:c r="K91" s="10" t="str">
        <x:f>'Evaluation Plan'!K91</x:f>
        <x:v>SR-CT30</x:v>
      </x:c>
      <x:c r="L91" s="10" t="str">
        <x:f>'Evaluation Plan'!L91</x:f>
        <x:v>O</x:v>
      </x:c>
      <x:c r="M91" s="10" t="str">
        <x:f>'Evaluation Plan'!M91</x:f>
        <x:v>yellow-white striped cup</x:v>
      </x:c>
      <x:c r="N91" s="10" t="n">
        <x:f>'Evaluation Plan'!N91</x:f>
        <x:v>4</x:v>
      </x:c>
      <x:c r="O91" s="10" t="n">
        <x:f>'Evaluation Plan'!O91</x:f>
        <x:v>1</x:v>
      </x:c>
      <x:c r="P91" s="10" t="str">
        <x:f>'Evaluation Plan'!P91</x:f>
        <x:v>Empty</x:v>
      </x:c>
      <x:c r="Q91" s="11" t="str">
        <x:f>'Evaluation Plan'!Q91</x:f>
        <x:v>Primary held-out state-object composition</x:v>
      </x:c>
      <x:c r="R91" s="10" t="n">
        <x:f>'Evaluation Plan'!R91</x:f>
        <x:v>4</x:v>
      </x:c>
      <x:c r="S91" s="11" t="str">
        <x:f>'Evaluation Plan'!S91</x:f>
        <x:v>Build the listed same-category discrimination scene with the bowl empty.</x:v>
      </x:c>
      <x:c r="T91" s="11" t="str">
        <x:f>'Evaluation Plan'!T91</x:f>
        <x:v>Two same-category candidates share the non-queried state axis; only the held-out state word identifies the target. The orthogonal orientation axis is fixed: every object is RU.</x:v>
      </x:c>
      <x:c r="U91" s="11" t="n">
        <x:f>'Evaluation Plan'!U91</x:f>
        <x:v>0</x:v>
      </x:c>
    </x:row>
    <x:row r="92" ht="51" customHeight="1">
      <x:c r="A92" s="5" t="s">
        <x:v>181</x:v>
      </x:c>
      <x:c r="B92" s="4" t="n">
        <x:f>'Evaluation Plan'!B92</x:f>
        <x:v>90</x:v>
      </x:c>
      <x:c r="C92" s="5" t="str">
        <x:f>'Evaluation Plan'!C92</x:f>
        <x:v>Place the closed brown cup in the bowl.</x:v>
      </x:c>
      <x:c r="D92" s="5" t="str">
        <x:f>'Evaluation Plan'!D92</x:f>
        <x:v>brown cup A (C, RU); brown cup B (O, RU)</x:v>
      </x:c>
      <x:c r="E92" s="4" t="n">
        <x:f>'Evaluation Plan'!E92</x:f>
        <x:v>0</x:v>
      </x:c>
      <x:c r="F92" s="4" t="str">
        <x:f>'Evaluation Plan'!F92</x:f>
        <x:v>129</x:v>
      </x:c>
      <x:c r="G92" s="5" t="str">
        <x:f>'Evaluation Plan'!G92</x:f>
        <x:v>Physical-state and manipulation-trajectory reference under a direct category prompt; the evaluated state word × object-category cell is intentionally absent from training. All objects are upright, matching the context of every explicit open/closed training demonstration.</x:v>
      </x:c>
      <x:c r="H92" s="5" t="str">
        <x:f>'Evaluation Plan'!H92</x:f>
        <x:v>brown cup A</x:v>
      </x:c>
      <x:c r="I92" s="5"/>
      <x:c r="J92" s="12" t="str">
        <x:f>'Evaluation Plan'!J92</x:f>
        <x:v>Concept/compositional transfer</x:v>
      </x:c>
      <x:c r="K92" s="4" t="str">
        <x:f>'Evaluation Plan'!K92</x:f>
        <x:v>SR-CT31</x:v>
      </x:c>
      <x:c r="L92" s="4" t="str">
        <x:f>'Evaluation Plan'!L92</x:f>
        <x:v>C</x:v>
      </x:c>
      <x:c r="M92" s="4" t="str">
        <x:f>'Evaluation Plan'!M92</x:f>
        <x:v>brown cup</x:v>
      </x:c>
      <x:c r="N92" s="4" t="n">
        <x:f>'Evaluation Plan'!N92</x:f>
        <x:v>2</x:v>
      </x:c>
      <x:c r="O92" s="4" t="n">
        <x:f>'Evaluation Plan'!O92</x:f>
        <x:v>1</x:v>
      </x:c>
      <x:c r="P92" s="4" t="str">
        <x:f>'Evaluation Plan'!P92</x:f>
        <x:v>Empty</x:v>
      </x:c>
      <x:c r="Q92" s="5" t="str">
        <x:f>'Evaluation Plan'!Q92</x:f>
        <x:v>Primary held-out state-object composition</x:v>
      </x:c>
      <x:c r="R92" s="4" t="n">
        <x:f>'Evaluation Plan'!R92</x:f>
        <x:v>4</x:v>
      </x:c>
      <x:c r="S92" s="5" t="str">
        <x:f>'Evaluation Plan'!S92</x:f>
        <x:v>Build the listed same-category discrimination scene with the bowl empty.</x:v>
      </x:c>
      <x:c r="T92" s="5" t="str">
        <x:f>'Evaluation Plan'!T92</x:f>
        <x:v>Two same-category candidates share the non-queried state axis; only the held-out state word identifies the target. The orthogonal orientation axis is fixed: every object is RU.</x:v>
      </x:c>
      <x:c r="U92" s="5" t="n">
        <x:f>'Evaluation Plan'!U92</x:f>
        <x:v>0</x:v>
      </x:c>
    </x:row>
    <x:row r="93" ht="51" customHeight="1">
      <x:c r="A93" s="11" t="s">
        <x:v>181</x:v>
      </x:c>
      <x:c r="B93" s="10" t="n">
        <x:f>'Evaluation Plan'!B93</x:f>
        <x:v>91</x:v>
      </x:c>
      <x:c r="C93" s="11" t="str">
        <x:f>'Evaluation Plan'!C93</x:f>
        <x:v>Place the upright glass spice container in the bowl.</x:v>
      </x:c>
      <x:c r="D93" s="11" t="str">
        <x:f>'Evaluation Plan'!D93</x:f>
        <x:v>glass spice container B (O, RU); glass spice container A (O, UD); yellow-white striped cup B (O, UD)</x:v>
      </x:c>
      <x:c r="E93" s="10" t="n">
        <x:f>'Evaluation Plan'!E93</x:f>
        <x:v>0</x:v>
      </x:c>
      <x:c r="F93" s="10" t="str">
        <x:f>'Evaluation Plan'!F93</x:f>
        <x:v>197</x:v>
      </x:c>
      <x:c r="G93" s="11" t="str">
        <x:f>'Evaluation Plan'!G93</x:f>
        <x:v>Physical-state and manipulation-trajectory reference under a direct category prompt; the evaluated state word × object-category cell is intentionally absent from training.</x:v>
      </x:c>
      <x:c r="H93" s="11" t="str">
        <x:f>'Evaluation Plan'!H93</x:f>
        <x:v>glass spice container B</x:v>
      </x:c>
      <x:c r="I93" s="11"/>
      <x:c r="J93" s="12" t="str">
        <x:f>'Evaluation Plan'!J93</x:f>
        <x:v>Concept/compositional transfer</x:v>
      </x:c>
      <x:c r="K93" s="10" t="str">
        <x:f>'Evaluation Plan'!K93</x:f>
        <x:v>SR-CT32</x:v>
      </x:c>
      <x:c r="L93" s="10" t="str">
        <x:f>'Evaluation Plan'!L93</x:f>
        <x:v>RU</x:v>
      </x:c>
      <x:c r="M93" s="10" t="str">
        <x:f>'Evaluation Plan'!M93</x:f>
        <x:v>glass spice container</x:v>
      </x:c>
      <x:c r="N93" s="10" t="n">
        <x:f>'Evaluation Plan'!N93</x:f>
        <x:v>3</x:v>
      </x:c>
      <x:c r="O93" s="10" t="n">
        <x:f>'Evaluation Plan'!O93</x:f>
        <x:v>1</x:v>
      </x:c>
      <x:c r="P93" s="10" t="str">
        <x:f>'Evaluation Plan'!P93</x:f>
        <x:v>Empty</x:v>
      </x:c>
      <x:c r="Q93" s="11" t="str">
        <x:f>'Evaluation Plan'!Q93</x:f>
        <x:v>Primary held-out state-object composition</x:v>
      </x:c>
      <x:c r="R93" s="10" t="n">
        <x:f>'Evaluation Plan'!R93</x:f>
        <x:v>4</x:v>
      </x:c>
      <x:c r="S93" s="11" t="str">
        <x:f>'Evaluation Plan'!S93</x:f>
        <x:v>Build the listed same-category discrimination scene with the bowl empty.</x:v>
      </x:c>
      <x:c r="T93" s="11" t="str">
        <x:f>'Evaluation Plan'!T93</x:f>
        <x:v>Two same-category candidates share the non-queried state axis; only the held-out state word identifies the target. The same-category candidates share the orthogonal C/O state (O).</x:v>
      </x:c>
      <x:c r="U93" s="11" t="n">
        <x:f>'Evaluation Plan'!U93</x:f>
        <x:v>0</x:v>
      </x:c>
    </x:row>
    <x:row r="94" ht="51" customHeight="1">
      <x:c r="A94" s="5" t="s">
        <x:v>181</x:v>
      </x:c>
      <x:c r="B94" s="4" t="n">
        <x:f>'Evaluation Plan'!B94</x:f>
        <x:v>92</x:v>
      </x:c>
      <x:c r="C94" s="5" t="str">
        <x:f>'Evaluation Plan'!C94</x:f>
        <x:v>Place the upside-down white cup in the bowl.</x:v>
      </x:c>
      <x:c r="D94" s="5" t="str">
        <x:f>'Evaluation Plan'!D94</x:f>
        <x:v>white cup A (C, UD); white cup B (C, RU); glass spice container A (C, RU); yellow-white striped cup B (O, RU)</x:v>
      </x:c>
      <x:c r="E94" s="4" t="n">
        <x:f>'Evaluation Plan'!E94</x:f>
        <x:v>0</x:v>
      </x:c>
      <x:c r="F94" s="4" t="str">
        <x:f>'Evaluation Plan'!F94</x:f>
        <x:v>35</x:v>
      </x:c>
      <x:c r="G94" s="5" t="str">
        <x:f>'Evaluation Plan'!G94</x:f>
        <x:v>Physical-state and manipulation-trajectory reference under a direct category prompt; the evaluated state word × object-category cell is intentionally absent from training.</x:v>
      </x:c>
      <x:c r="H94" s="5" t="str">
        <x:f>'Evaluation Plan'!H94</x:f>
        <x:v>white cup A</x:v>
      </x:c>
      <x:c r="I94" s="5"/>
      <x:c r="J94" s="12" t="str">
        <x:f>'Evaluation Plan'!J94</x:f>
        <x:v>Concept/compositional transfer</x:v>
      </x:c>
      <x:c r="K94" s="4" t="str">
        <x:f>'Evaluation Plan'!K94</x:f>
        <x:v>SR-CT33</x:v>
      </x:c>
      <x:c r="L94" s="4" t="str">
        <x:f>'Evaluation Plan'!L94</x:f>
        <x:v>UD</x:v>
      </x:c>
      <x:c r="M94" s="4" t="str">
        <x:f>'Evaluation Plan'!M94</x:f>
        <x:v>white cup</x:v>
      </x:c>
      <x:c r="N94" s="4" t="n">
        <x:f>'Evaluation Plan'!N94</x:f>
        <x:v>4</x:v>
      </x:c>
      <x:c r="O94" s="4" t="n">
        <x:f>'Evaluation Plan'!O94</x:f>
        <x:v>1</x:v>
      </x:c>
      <x:c r="P94" s="4" t="str">
        <x:f>'Evaluation Plan'!P94</x:f>
        <x:v>Empty</x:v>
      </x:c>
      <x:c r="Q94" s="5" t="str">
        <x:f>'Evaluation Plan'!Q94</x:f>
        <x:v>Primary held-out state-object composition</x:v>
      </x:c>
      <x:c r="R94" s="4" t="n">
        <x:f>'Evaluation Plan'!R94</x:f>
        <x:v>4</x:v>
      </x:c>
      <x:c r="S94" s="5" t="str">
        <x:f>'Evaluation Plan'!S94</x:f>
        <x:v>Build the listed same-category discrimination scene with the bowl empty.</x:v>
      </x:c>
      <x:c r="T94" s="5" t="str">
        <x:f>'Evaluation Plan'!T94</x:f>
        <x:v>Two same-category candidates share the non-queried state axis; only the held-out state word identifies the target. The same-category candidates share the orthogonal C/O state (C).</x:v>
      </x:c>
      <x:c r="U94" s="5" t="n">
        <x:f>'Evaluation Plan'!U94</x:f>
        <x:v>0</x:v>
      </x:c>
    </x:row>
    <x:row r="95" ht="51" customHeight="1">
      <x:c r="A95" s="11" t="s">
        <x:v>181</x:v>
      </x:c>
      <x:c r="B95" s="10" t="n">
        <x:f>'Evaluation Plan'!B95</x:f>
        <x:v>93</x:v>
      </x:c>
      <x:c r="C95" s="11" t="str">
        <x:f>'Evaluation Plan'!C95</x:f>
        <x:v>Place the open yellow-white striped cup in the bowl.</x:v>
      </x:c>
      <x:c r="D95" s="11" t="str">
        <x:f>'Evaluation Plan'!D95</x:f>
        <x:v>yellow-white striped cup B (O, RU); yellow-white striped cup A (C, RU)</x:v>
      </x:c>
      <x:c r="E95" s="10" t="n">
        <x:f>'Evaluation Plan'!E95</x:f>
        <x:v>0</x:v>
      </x:c>
      <x:c r="F95" s="10" t="str">
        <x:f>'Evaluation Plan'!F95</x:f>
        <x:v>71</x:v>
      </x:c>
      <x:c r="G95" s="11" t="str">
        <x:f>'Evaluation Plan'!G95</x:f>
        <x:v>Physical-state and manipulation-trajectory reference under a direct category prompt; the evaluated state word × object-category cell is intentionally absent from training. All objects are upright, matching the context of every explicit open/closed training demonstration.</x:v>
      </x:c>
      <x:c r="H95" s="11" t="str">
        <x:f>'Evaluation Plan'!H95</x:f>
        <x:v>yellow-white striped cup B</x:v>
      </x:c>
      <x:c r="I95" s="11"/>
      <x:c r="J95" s="12" t="str">
        <x:f>'Evaluation Plan'!J95</x:f>
        <x:v>Concept/compositional transfer</x:v>
      </x:c>
      <x:c r="K95" s="10" t="str">
        <x:f>'Evaluation Plan'!K95</x:f>
        <x:v>SR-CT34</x:v>
      </x:c>
      <x:c r="L95" s="10" t="str">
        <x:f>'Evaluation Plan'!L95</x:f>
        <x:v>O</x:v>
      </x:c>
      <x:c r="M95" s="10" t="str">
        <x:f>'Evaluation Plan'!M95</x:f>
        <x:v>yellow-white striped cup</x:v>
      </x:c>
      <x:c r="N95" s="10" t="n">
        <x:f>'Evaluation Plan'!N95</x:f>
        <x:v>2</x:v>
      </x:c>
      <x:c r="O95" s="10" t="n">
        <x:f>'Evaluation Plan'!O95</x:f>
        <x:v>1</x:v>
      </x:c>
      <x:c r="P95" s="10" t="str">
        <x:f>'Evaluation Plan'!P95</x:f>
        <x:v>Empty</x:v>
      </x:c>
      <x:c r="Q95" s="11" t="str">
        <x:f>'Evaluation Plan'!Q95</x:f>
        <x:v>Primary held-out state-object composition</x:v>
      </x:c>
      <x:c r="R95" s="10" t="n">
        <x:f>'Evaluation Plan'!R95</x:f>
        <x:v>4</x:v>
      </x:c>
      <x:c r="S95" s="11" t="str">
        <x:f>'Evaluation Plan'!S95</x:f>
        <x:v>Build the listed same-category discrimination scene with the bowl empty.</x:v>
      </x:c>
      <x:c r="T95" s="11" t="str">
        <x:f>'Evaluation Plan'!T95</x:f>
        <x:v>Two same-category candidates share the non-queried state axis; only the held-out state word identifies the target. The orthogonal orientation axis is fixed: every object is RU.</x:v>
      </x:c>
      <x:c r="U95" s="11" t="n">
        <x:f>'Evaluation Plan'!U95</x:f>
        <x:v>0</x:v>
      </x:c>
    </x:row>
    <x:row r="96" ht="51" customHeight="1">
      <x:c r="A96" s="5" t="s">
        <x:v>181</x:v>
      </x:c>
      <x:c r="B96" s="4" t="n">
        <x:f>'Evaluation Plan'!B96</x:f>
        <x:v>94</x:v>
      </x:c>
      <x:c r="C96" s="5" t="str">
        <x:f>'Evaluation Plan'!C96</x:f>
        <x:v>Place the closed brown cup in the bowl.</x:v>
      </x:c>
      <x:c r="D96" s="5" t="str">
        <x:f>'Evaluation Plan'!D96</x:f>
        <x:v>brown cup A (C, RU); brown cup B (O, RU); yellow-white striped cup A (C, RU)</x:v>
      </x:c>
      <x:c r="E96" s="4" t="n">
        <x:f>'Evaluation Plan'!E96</x:f>
        <x:v>0</x:v>
      </x:c>
      <x:c r="F96" s="4" t="str">
        <x:f>'Evaluation Plan'!F96</x:f>
        <x:v>100</x:v>
      </x:c>
      <x:c r="G96" s="5" t="str">
        <x:f>'Evaluation Plan'!G96</x:f>
        <x:v>Physical-state and manipulation-trajectory reference under a direct category prompt; the evaluated state word × object-category cell is intentionally absent from training. All objects are upright, matching the context of every explicit open/closed training demonstration.</x:v>
      </x:c>
      <x:c r="H96" s="5" t="str">
        <x:f>'Evaluation Plan'!H96</x:f>
        <x:v>brown cup A</x:v>
      </x:c>
      <x:c r="I96" s="5"/>
      <x:c r="J96" s="12" t="str">
        <x:f>'Evaluation Plan'!J96</x:f>
        <x:v>Concept/compositional transfer</x:v>
      </x:c>
      <x:c r="K96" s="4" t="str">
        <x:f>'Evaluation Plan'!K96</x:f>
        <x:v>SR-CT35</x:v>
      </x:c>
      <x:c r="L96" s="4" t="str">
        <x:f>'Evaluation Plan'!L96</x:f>
        <x:v>C</x:v>
      </x:c>
      <x:c r="M96" s="4" t="str">
        <x:f>'Evaluation Plan'!M96</x:f>
        <x:v>brown cup</x:v>
      </x:c>
      <x:c r="N96" s="4" t="n">
        <x:f>'Evaluation Plan'!N96</x:f>
        <x:v>3</x:v>
      </x:c>
      <x:c r="O96" s="4" t="n">
        <x:f>'Evaluation Plan'!O96</x:f>
        <x:v>1</x:v>
      </x:c>
      <x:c r="P96" s="4" t="str">
        <x:f>'Evaluation Plan'!P96</x:f>
        <x:v>Empty</x:v>
      </x:c>
      <x:c r="Q96" s="5" t="str">
        <x:f>'Evaluation Plan'!Q96</x:f>
        <x:v>Primary held-out state-object composition</x:v>
      </x:c>
      <x:c r="R96" s="4" t="n">
        <x:f>'Evaluation Plan'!R96</x:f>
        <x:v>4</x:v>
      </x:c>
      <x:c r="S96" s="5" t="str">
        <x:f>'Evaluation Plan'!S96</x:f>
        <x:v>Build the listed same-category discrimination scene with the bowl empty.</x:v>
      </x:c>
      <x:c r="T96" s="5" t="str">
        <x:f>'Evaluation Plan'!T96</x:f>
        <x:v>Two same-category candidates share the non-queried state axis; only the held-out state word identifies the target. The orthogonal orientation axis is fixed: every object is RU.</x:v>
      </x:c>
      <x:c r="U96" s="5" t="n">
        <x:f>'Evaluation Plan'!U96</x:f>
        <x:v>0</x:v>
      </x:c>
    </x:row>
    <x:row r="97" ht="51" customHeight="1">
      <x:c r="A97" s="11" t="s">
        <x:v>181</x:v>
      </x:c>
      <x:c r="B97" s="10" t="n">
        <x:f>'Evaluation Plan'!B97</x:f>
        <x:v>95</x:v>
      </x:c>
      <x:c r="C97" s="11" t="str">
        <x:f>'Evaluation Plan'!C97</x:f>
        <x:v>Place the upright glass spice container in the bowl.</x:v>
      </x:c>
      <x:c r="D97" s="11" t="str">
        <x:f>'Evaluation Plan'!D97</x:f>
        <x:v>glass spice container B (C, RU); glass spice container A (C, UD); brown cup B (O, UD); white cup A (C, RU)</x:v>
      </x:c>
      <x:c r="E97" s="10" t="n">
        <x:f>'Evaluation Plan'!E97</x:f>
        <x:v>0</x:v>
      </x:c>
      <x:c r="F97" s="10" t="str">
        <x:f>'Evaluation Plan'!F97</x:f>
        <x:v>169</x:v>
      </x:c>
      <x:c r="G97" s="11" t="str">
        <x:f>'Evaluation Plan'!G97</x:f>
        <x:v>Physical-state and manipulation-trajectory reference under a direct category prompt; the evaluated state word × object-category cell is intentionally absent from training.</x:v>
      </x:c>
      <x:c r="H97" s="11" t="str">
        <x:f>'Evaluation Plan'!H97</x:f>
        <x:v>glass spice container B</x:v>
      </x:c>
      <x:c r="I97" s="11"/>
      <x:c r="J97" s="12" t="str">
        <x:f>'Evaluation Plan'!J97</x:f>
        <x:v>Concept/compositional transfer</x:v>
      </x:c>
      <x:c r="K97" s="10" t="str">
        <x:f>'Evaluation Plan'!K97</x:f>
        <x:v>SR-CT36</x:v>
      </x:c>
      <x:c r="L97" s="10" t="str">
        <x:f>'Evaluation Plan'!L97</x:f>
        <x:v>RU</x:v>
      </x:c>
      <x:c r="M97" s="10" t="str">
        <x:f>'Evaluation Plan'!M97</x:f>
        <x:v>glass spice container</x:v>
      </x:c>
      <x:c r="N97" s="10" t="n">
        <x:f>'Evaluation Plan'!N97</x:f>
        <x:v>4</x:v>
      </x:c>
      <x:c r="O97" s="10" t="n">
        <x:f>'Evaluation Plan'!O97</x:f>
        <x:v>1</x:v>
      </x:c>
      <x:c r="P97" s="10" t="str">
        <x:f>'Evaluation Plan'!P97</x:f>
        <x:v>Empty</x:v>
      </x:c>
      <x:c r="Q97" s="11" t="str">
        <x:f>'Evaluation Plan'!Q97</x:f>
        <x:v>Primary held-out state-object composition</x:v>
      </x:c>
      <x:c r="R97" s="10" t="n">
        <x:f>'Evaluation Plan'!R97</x:f>
        <x:v>4</x:v>
      </x:c>
      <x:c r="S97" s="11" t="str">
        <x:f>'Evaluation Plan'!S97</x:f>
        <x:v>Build the listed same-category discrimination scene with the bowl empty.</x:v>
      </x:c>
      <x:c r="T97" s="11" t="str">
        <x:f>'Evaluation Plan'!T97</x:f>
        <x:v>Two same-category candidates share the non-queried state axis; only the held-out state word identifies the target. The same-category candidates share the orthogonal C/O state (C).</x:v>
      </x:c>
      <x:c r="U97" s="11" t="n">
        <x:f>'Evaluation Plan'!U97</x:f>
        <x:v>0</x:v>
      </x:c>
    </x:row>
    <x:row r="98" ht="51" customHeight="1">
      <x:c r="A98" s="5" t="s">
        <x:v>181</x:v>
      </x:c>
      <x:c r="B98" s="4" t="n">
        <x:f>'Evaluation Plan'!B98</x:f>
        <x:v>96</x:v>
      </x:c>
      <x:c r="C98" s="5" t="str">
        <x:f>'Evaluation Plan'!C98</x:f>
        <x:v>Place the upside-down white cup in the bowl.</x:v>
      </x:c>
      <x:c r="D98" s="5" t="str">
        <x:f>'Evaluation Plan'!D98</x:f>
        <x:v>white cup A (O, UD); white cup B (O, RU)</x:v>
      </x:c>
      <x:c r="E98" s="4" t="n">
        <x:f>'Evaluation Plan'!E98</x:f>
        <x:v>0</x:v>
      </x:c>
      <x:c r="F98" s="4" t="str">
        <x:f>'Evaluation Plan'!F98</x:f>
        <x:v>30</x:v>
      </x:c>
      <x:c r="G98" s="5" t="str">
        <x:f>'Evaluation Plan'!G98</x:f>
        <x:v>Physical-state and manipulation-trajectory reference under a direct category prompt; the evaluated state word × object-category cell is intentionally absent from training.</x:v>
      </x:c>
      <x:c r="H98" s="5" t="str">
        <x:f>'Evaluation Plan'!H98</x:f>
        <x:v>white cup A</x:v>
      </x:c>
      <x:c r="I98" s="5"/>
      <x:c r="J98" s="12" t="str">
        <x:f>'Evaluation Plan'!J98</x:f>
        <x:v>Concept/compositional transfer</x:v>
      </x:c>
      <x:c r="K98" s="4" t="str">
        <x:f>'Evaluation Plan'!K98</x:f>
        <x:v>SR-CT37</x:v>
      </x:c>
      <x:c r="L98" s="4" t="str">
        <x:f>'Evaluation Plan'!L98</x:f>
        <x:v>UD</x:v>
      </x:c>
      <x:c r="M98" s="4" t="str">
        <x:f>'Evaluation Plan'!M98</x:f>
        <x:v>white cup</x:v>
      </x:c>
      <x:c r="N98" s="4" t="n">
        <x:f>'Evaluation Plan'!N98</x:f>
        <x:v>2</x:v>
      </x:c>
      <x:c r="O98" s="4" t="n">
        <x:f>'Evaluation Plan'!O98</x:f>
        <x:v>1</x:v>
      </x:c>
      <x:c r="P98" s="4" t="str">
        <x:f>'Evaluation Plan'!P98</x:f>
        <x:v>Empty</x:v>
      </x:c>
      <x:c r="Q98" s="5" t="str">
        <x:f>'Evaluation Plan'!Q98</x:f>
        <x:v>Primary held-out state-object composition</x:v>
      </x:c>
      <x:c r="R98" s="4" t="n">
        <x:f>'Evaluation Plan'!R98</x:f>
        <x:v>4</x:v>
      </x:c>
      <x:c r="S98" s="5" t="str">
        <x:f>'Evaluation Plan'!S98</x:f>
        <x:v>Build the listed same-category discrimination scene with the bowl empty.</x:v>
      </x:c>
      <x:c r="T98" s="5" t="str">
        <x:f>'Evaluation Plan'!T98</x:f>
        <x:v>Two same-category candidates share the non-queried state axis; only the held-out state word identifies the target. The same-category candidates share the orthogonal C/O state (O).</x:v>
      </x:c>
      <x:c r="U98" s="5" t="n">
        <x:f>'Evaluation Plan'!U98</x:f>
        <x:v>0</x:v>
      </x:c>
    </x:row>
    <x:row r="99" ht="51" customHeight="1">
      <x:c r="A99" s="11" t="s">
        <x:v>181</x:v>
      </x:c>
      <x:c r="B99" s="10" t="n">
        <x:f>'Evaluation Plan'!B99</x:f>
        <x:v>97</x:v>
      </x:c>
      <x:c r="C99" s="11" t="str">
        <x:f>'Evaluation Plan'!C99</x:f>
        <x:v>Place the open yellow-white striped cup in the bowl.</x:v>
      </x:c>
      <x:c r="D99" s="11" t="str">
        <x:f>'Evaluation Plan'!D99</x:f>
        <x:v>yellow-white striped cup B (O, RU); yellow-white striped cup A (C, RU); brown cup B (O, RU)</x:v>
      </x:c>
      <x:c r="E99" s="10" t="n">
        <x:f>'Evaluation Plan'!E99</x:f>
        <x:v>0</x:v>
      </x:c>
      <x:c r="F99" s="10" t="str">
        <x:f>'Evaluation Plan'!F99</x:f>
        <x:v>53</x:v>
      </x:c>
      <x:c r="G99" s="11" t="str">
        <x:f>'Evaluation Plan'!G99</x:f>
        <x:v>Physical-state and manipulation-trajectory reference under a direct category prompt; the evaluated state word × object-category cell is intentionally absent from training. All objects are upright, matching the context of every explicit open/closed training demonstration.</x:v>
      </x:c>
      <x:c r="H99" s="11" t="str">
        <x:f>'Evaluation Plan'!H99</x:f>
        <x:v>yellow-white striped cup B</x:v>
      </x:c>
      <x:c r="I99" s="11"/>
      <x:c r="J99" s="12" t="str">
        <x:f>'Evaluation Plan'!J99</x:f>
        <x:v>Concept/compositional transfer</x:v>
      </x:c>
      <x:c r="K99" s="10" t="str">
        <x:f>'Evaluation Plan'!K99</x:f>
        <x:v>SR-CT38</x:v>
      </x:c>
      <x:c r="L99" s="10" t="str">
        <x:f>'Evaluation Plan'!L99</x:f>
        <x:v>O</x:v>
      </x:c>
      <x:c r="M99" s="10" t="str">
        <x:f>'Evaluation Plan'!M99</x:f>
        <x:v>yellow-white striped cup</x:v>
      </x:c>
      <x:c r="N99" s="10" t="n">
        <x:f>'Evaluation Plan'!N99</x:f>
        <x:v>3</x:v>
      </x:c>
      <x:c r="O99" s="10" t="n">
        <x:f>'Evaluation Plan'!O99</x:f>
        <x:v>1</x:v>
      </x:c>
      <x:c r="P99" s="10" t="str">
        <x:f>'Evaluation Plan'!P99</x:f>
        <x:v>Empty</x:v>
      </x:c>
      <x:c r="Q99" s="11" t="str">
        <x:f>'Evaluation Plan'!Q99</x:f>
        <x:v>Primary held-out state-object composition</x:v>
      </x:c>
      <x:c r="R99" s="10" t="n">
        <x:f>'Evaluation Plan'!R99</x:f>
        <x:v>4</x:v>
      </x:c>
      <x:c r="S99" s="11" t="str">
        <x:f>'Evaluation Plan'!S99</x:f>
        <x:v>Build the listed same-category discrimination scene with the bowl empty.</x:v>
      </x:c>
      <x:c r="T99" s="11" t="str">
        <x:f>'Evaluation Plan'!T99</x:f>
        <x:v>Two same-category candidates share the non-queried state axis; only the held-out state word identifies the target. The orthogonal orientation axis is fixed: every object is RU.</x:v>
      </x:c>
      <x:c r="U99" s="11" t="n">
        <x:f>'Evaluation Plan'!U99</x:f>
        <x:v>0</x:v>
      </x:c>
    </x:row>
    <x:row r="100" ht="51" customHeight="1">
      <x:c r="A100" s="5" t="s">
        <x:v>181</x:v>
      </x:c>
      <x:c r="B100" s="4" t="n">
        <x:f>'Evaluation Plan'!B100</x:f>
        <x:v>98</x:v>
      </x:c>
      <x:c r="C100" s="5" t="str">
        <x:f>'Evaluation Plan'!C100</x:f>
        <x:v>Place the closed brown cup in the bowl.</x:v>
      </x:c>
      <x:c r="D100" s="5" t="str">
        <x:f>'Evaluation Plan'!D100</x:f>
        <x:v>brown cup A (C, RU); brown cup B (O, RU); glass spice container A (C, RU); white cup B (O, RU)</x:v>
      </x:c>
      <x:c r="E100" s="4" t="n">
        <x:f>'Evaluation Plan'!E100</x:f>
        <x:v>0</x:v>
      </x:c>
      <x:c r="F100" s="4" t="str">
        <x:f>'Evaluation Plan'!F100</x:f>
        <x:v>107</x:v>
      </x:c>
      <x:c r="G100" s="5" t="str">
        <x:f>'Evaluation Plan'!G100</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0" s="5" t="str">
        <x:f>'Evaluation Plan'!H100</x:f>
        <x:v>brown cup A</x:v>
      </x:c>
      <x:c r="I100" s="5"/>
      <x:c r="J100" s="12" t="str">
        <x:f>'Evaluation Plan'!J100</x:f>
        <x:v>Concept/compositional transfer</x:v>
      </x:c>
      <x:c r="K100" s="4" t="str">
        <x:f>'Evaluation Plan'!K100</x:f>
        <x:v>SR-CT39</x:v>
      </x:c>
      <x:c r="L100" s="4" t="str">
        <x:f>'Evaluation Plan'!L100</x:f>
        <x:v>C</x:v>
      </x:c>
      <x:c r="M100" s="4" t="str">
        <x:f>'Evaluation Plan'!M100</x:f>
        <x:v>brown cup</x:v>
      </x:c>
      <x:c r="N100" s="4" t="n">
        <x:f>'Evaluation Plan'!N100</x:f>
        <x:v>4</x:v>
      </x:c>
      <x:c r="O100" s="4" t="n">
        <x:f>'Evaluation Plan'!O100</x:f>
        <x:v>1</x:v>
      </x:c>
      <x:c r="P100" s="4" t="str">
        <x:f>'Evaluation Plan'!P100</x:f>
        <x:v>Empty</x:v>
      </x:c>
      <x:c r="Q100" s="5" t="str">
        <x:f>'Evaluation Plan'!Q100</x:f>
        <x:v>Primary held-out state-object composition</x:v>
      </x:c>
      <x:c r="R100" s="4" t="n">
        <x:f>'Evaluation Plan'!R100</x:f>
        <x:v>4</x:v>
      </x:c>
      <x:c r="S100" s="5" t="str">
        <x:f>'Evaluation Plan'!S100</x:f>
        <x:v>Build the listed same-category discrimination scene with the bowl empty.</x:v>
      </x:c>
      <x:c r="T100" s="5" t="str">
        <x:f>'Evaluation Plan'!T100</x:f>
        <x:v>Two same-category candidates share the non-queried state axis; only the held-out state word identifies the target. The orthogonal orientation axis is fixed: every object is RU.</x:v>
      </x:c>
      <x:c r="U100" s="5" t="n">
        <x:f>'Evaluation Plan'!U100</x:f>
        <x:v>0</x:v>
      </x:c>
    </x:row>
    <x:row r="101" ht="51" customHeight="1">
      <x:c r="A101" s="11" t="s">
        <x:v>181</x:v>
      </x:c>
      <x:c r="B101" s="10" t="n">
        <x:f>'Evaluation Plan'!B101</x:f>
        <x:v>99</x:v>
      </x:c>
      <x:c r="C101" s="11" t="str">
        <x:f>'Evaluation Plan'!C101</x:f>
        <x:v>Place the upright glass spice container in the bowl.</x:v>
      </x:c>
      <x:c r="D101" s="11" t="str">
        <x:f>'Evaluation Plan'!D101</x:f>
        <x:v>glass spice container B (O, RU); glass spice container A (O, UD)</x:v>
      </x:c>
      <x:c r="E101" s="10" t="n">
        <x:f>'Evaluation Plan'!E101</x:f>
        <x:v>0</x:v>
      </x:c>
      <x:c r="F101" s="10" t="str">
        <x:f>'Evaluation Plan'!F101</x:f>
        <x:v>153</x:v>
      </x:c>
      <x:c r="G101" s="11" t="str">
        <x:f>'Evaluation Plan'!G101</x:f>
        <x:v>Physical-state and manipulation-trajectory reference under a direct category prompt; the evaluated state word × object-category cell is intentionally absent from training.</x:v>
      </x:c>
      <x:c r="H101" s="11" t="str">
        <x:f>'Evaluation Plan'!H101</x:f>
        <x:v>glass spice container B</x:v>
      </x:c>
      <x:c r="I101" s="11"/>
      <x:c r="J101" s="12" t="str">
        <x:f>'Evaluation Plan'!J101</x:f>
        <x:v>Concept/compositional transfer</x:v>
      </x:c>
      <x:c r="K101" s="10" t="str">
        <x:f>'Evaluation Plan'!K101</x:f>
        <x:v>SR-CT40</x:v>
      </x:c>
      <x:c r="L101" s="10" t="str">
        <x:f>'Evaluation Plan'!L101</x:f>
        <x:v>RU</x:v>
      </x:c>
      <x:c r="M101" s="10" t="str">
        <x:f>'Evaluation Plan'!M101</x:f>
        <x:v>glass spice container</x:v>
      </x:c>
      <x:c r="N101" s="10" t="n">
        <x:f>'Evaluation Plan'!N101</x:f>
        <x:v>2</x:v>
      </x:c>
      <x:c r="O101" s="10" t="n">
        <x:f>'Evaluation Plan'!O101</x:f>
        <x:v>1</x:v>
      </x:c>
      <x:c r="P101" s="10" t="str">
        <x:f>'Evaluation Plan'!P101</x:f>
        <x:v>Empty</x:v>
      </x:c>
      <x:c r="Q101" s="11" t="str">
        <x:f>'Evaluation Plan'!Q101</x:f>
        <x:v>Primary held-out state-object composition</x:v>
      </x:c>
      <x:c r="R101" s="10" t="n">
        <x:f>'Evaluation Plan'!R101</x:f>
        <x:v>4</x:v>
      </x:c>
      <x:c r="S101" s="11" t="str">
        <x:f>'Evaluation Plan'!S101</x:f>
        <x:v>Build the listed same-category discrimination scene with the bowl empty.</x:v>
      </x:c>
      <x:c r="T101" s="11" t="str">
        <x:f>'Evaluation Plan'!T101</x:f>
        <x:v>Two same-category candidates share the non-queried state axis; only the held-out state word identifies the target. The same-category candidates share the orthogonal C/O state (O).</x:v>
      </x:c>
      <x:c r="U101" s="11" t="n">
        <x:f>'Evaluation Plan'!U101</x:f>
        <x:v>0</x:v>
      </x:c>
    </x:row>
    <x:row r="102" ht="51" customHeight="1">
      <x:c r="A102" s="5" t="s">
        <x:v>181</x:v>
      </x:c>
      <x:c r="B102" s="4" t="n">
        <x:f>'Evaluation Plan'!B102</x:f>
        <x:v>100</x:v>
      </x:c>
      <x:c r="C102" s="5" t="str">
        <x:f>'Evaluation Plan'!C102</x:f>
        <x:v>Place the upside-down white cup in the bowl.</x:v>
      </x:c>
      <x:c r="D102" s="5" t="str">
        <x:f>'Evaluation Plan'!D102</x:f>
        <x:v>white cup A (C, UD); white cup B (C, RU); brown cup A (C, RU)</x:v>
      </x:c>
      <x:c r="E102" s="4" t="n">
        <x:f>'Evaluation Plan'!E102</x:f>
        <x:v>0</x:v>
      </x:c>
      <x:c r="F102" s="4" t="str">
        <x:f>'Evaluation Plan'!F102</x:f>
        <x:v>39</x:v>
      </x:c>
      <x:c r="G102" s="5" t="str">
        <x:f>'Evaluation Plan'!G102</x:f>
        <x:v>Physical-state and manipulation-trajectory reference under a direct category prompt; the evaluated state word × object-category cell is intentionally absent from training.</x:v>
      </x:c>
      <x:c r="H102" s="5" t="str">
        <x:f>'Evaluation Plan'!H102</x:f>
        <x:v>white cup A</x:v>
      </x:c>
      <x:c r="I102" s="5"/>
      <x:c r="J102" s="12" t="str">
        <x:f>'Evaluation Plan'!J102</x:f>
        <x:v>Concept/compositional transfer</x:v>
      </x:c>
      <x:c r="K102" s="4" t="str">
        <x:f>'Evaluation Plan'!K102</x:f>
        <x:v>SR-CT41</x:v>
      </x:c>
      <x:c r="L102" s="4" t="str">
        <x:f>'Evaluation Plan'!L102</x:f>
        <x:v>UD</x:v>
      </x:c>
      <x:c r="M102" s="4" t="str">
        <x:f>'Evaluation Plan'!M102</x:f>
        <x:v>white cup</x:v>
      </x:c>
      <x:c r="N102" s="4" t="n">
        <x:f>'Evaluation Plan'!N102</x:f>
        <x:v>3</x:v>
      </x:c>
      <x:c r="O102" s="4" t="n">
        <x:f>'Evaluation Plan'!O102</x:f>
        <x:v>1</x:v>
      </x:c>
      <x:c r="P102" s="4" t="str">
        <x:f>'Evaluation Plan'!P102</x:f>
        <x:v>Empty</x:v>
      </x:c>
      <x:c r="Q102" s="5" t="str">
        <x:f>'Evaluation Plan'!Q102</x:f>
        <x:v>Primary held-out state-object composition</x:v>
      </x:c>
      <x:c r="R102" s="4" t="n">
        <x:f>'Evaluation Plan'!R102</x:f>
        <x:v>4</x:v>
      </x:c>
      <x:c r="S102" s="5" t="str">
        <x:f>'Evaluation Plan'!S102</x:f>
        <x:v>Build the listed same-category discrimination scene with the bowl empty.</x:v>
      </x:c>
      <x:c r="T102" s="5" t="str">
        <x:f>'Evaluation Plan'!T102</x:f>
        <x:v>Two same-category candidates share the non-queried state axis; only the held-out state word identifies the target. The same-category candidates share the orthogonal C/O state (C).</x:v>
      </x:c>
      <x:c r="U102" s="5" t="n">
        <x:f>'Evaluation Plan'!U102</x:f>
        <x:v>0</x:v>
      </x:c>
    </x:row>
    <x:row r="103" ht="51" customHeight="1">
      <x:c r="A103" s="11" t="s">
        <x:v>181</x:v>
      </x:c>
      <x:c r="B103" s="10" t="n">
        <x:f>'Evaluation Plan'!B103</x:f>
        <x:v>101</x:v>
      </x:c>
      <x:c r="C103" s="11" t="str">
        <x:f>'Evaluation Plan'!C103</x:f>
        <x:v>Place the open yellow-white striped cup in the bowl.</x:v>
      </x:c>
      <x:c r="D103" s="11" t="str">
        <x:f>'Evaluation Plan'!D103</x:f>
        <x:v>yellow-white striped cup B (O, RU); yellow-white striped cup A (C, RU); glass spice container B (O, RU); white cup A (C, RU)</x:v>
      </x:c>
      <x:c r="E103" s="10" t="n">
        <x:f>'Evaluation Plan'!E103</x:f>
        <x:v>0</x:v>
      </x:c>
      <x:c r="F103" s="10" t="str">
        <x:f>'Evaluation Plan'!F103</x:f>
        <x:v>72</x:v>
      </x:c>
      <x:c r="G103" s="11" t="str">
        <x:f>'Evaluation Plan'!G103</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3" s="11" t="str">
        <x:f>'Evaluation Plan'!H103</x:f>
        <x:v>yellow-white striped cup B</x:v>
      </x:c>
      <x:c r="I103" s="11"/>
      <x:c r="J103" s="12" t="str">
        <x:f>'Evaluation Plan'!J103</x:f>
        <x:v>Concept/compositional transfer</x:v>
      </x:c>
      <x:c r="K103" s="10" t="str">
        <x:f>'Evaluation Plan'!K103</x:f>
        <x:v>SR-CT42</x:v>
      </x:c>
      <x:c r="L103" s="10" t="str">
        <x:f>'Evaluation Plan'!L103</x:f>
        <x:v>O</x:v>
      </x:c>
      <x:c r="M103" s="10" t="str">
        <x:f>'Evaluation Plan'!M103</x:f>
        <x:v>yellow-white striped cup</x:v>
      </x:c>
      <x:c r="N103" s="10" t="n">
        <x:f>'Evaluation Plan'!N103</x:f>
        <x:v>4</x:v>
      </x:c>
      <x:c r="O103" s="10" t="n">
        <x:f>'Evaluation Plan'!O103</x:f>
        <x:v>1</x:v>
      </x:c>
      <x:c r="P103" s="10" t="str">
        <x:f>'Evaluation Plan'!P103</x:f>
        <x:v>Empty</x:v>
      </x:c>
      <x:c r="Q103" s="11" t="str">
        <x:f>'Evaluation Plan'!Q103</x:f>
        <x:v>Primary held-out state-object composition</x:v>
      </x:c>
      <x:c r="R103" s="10" t="n">
        <x:f>'Evaluation Plan'!R103</x:f>
        <x:v>4</x:v>
      </x:c>
      <x:c r="S103" s="11" t="str">
        <x:f>'Evaluation Plan'!S103</x:f>
        <x:v>Build the listed same-category discrimination scene with the bowl empty.</x:v>
      </x:c>
      <x:c r="T103" s="11" t="str">
        <x:f>'Evaluation Plan'!T103</x:f>
        <x:v>Two same-category candidates share the non-queried state axis; only the held-out state word identifies the target. The orthogonal orientation axis is fixed: every object is RU.</x:v>
      </x:c>
      <x:c r="U103" s="11" t="n">
        <x:f>'Evaluation Plan'!U103</x:f>
        <x:v>0</x:v>
      </x:c>
    </x:row>
    <x:row r="104" ht="51" customHeight="1">
      <x:c r="A104" s="5" t="s">
        <x:v>181</x:v>
      </x:c>
      <x:c r="B104" s="4" t="n">
        <x:f>'Evaluation Plan'!B104</x:f>
        <x:v>102</x:v>
      </x:c>
      <x:c r="C104" s="5" t="str">
        <x:f>'Evaluation Plan'!C104</x:f>
        <x:v>Place the closed brown cup in the bowl.</x:v>
      </x:c>
      <x:c r="D104" s="5" t="str">
        <x:f>'Evaluation Plan'!D104</x:f>
        <x:v>brown cup A (C, RU); brown cup B (O, RU)</x:v>
      </x:c>
      <x:c r="E104" s="4" t="n">
        <x:f>'Evaluation Plan'!E104</x:f>
        <x:v>0</x:v>
      </x:c>
      <x:c r="F104" s="4" t="str">
        <x:f>'Evaluation Plan'!F104</x:f>
        <x:v>102</x:v>
      </x:c>
      <x:c r="G104" s="5" t="str">
        <x:f>'Evaluation Plan'!G104</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4" s="5" t="str">
        <x:f>'Evaluation Plan'!H104</x:f>
        <x:v>brown cup A</x:v>
      </x:c>
      <x:c r="I104" s="5"/>
      <x:c r="J104" s="12" t="str">
        <x:f>'Evaluation Plan'!J104</x:f>
        <x:v>Concept/compositional transfer</x:v>
      </x:c>
      <x:c r="K104" s="4" t="str">
        <x:f>'Evaluation Plan'!K104</x:f>
        <x:v>SR-CT43</x:v>
      </x:c>
      <x:c r="L104" s="4" t="str">
        <x:f>'Evaluation Plan'!L104</x:f>
        <x:v>C</x:v>
      </x:c>
      <x:c r="M104" s="4" t="str">
        <x:f>'Evaluation Plan'!M104</x:f>
        <x:v>brown cup</x:v>
      </x:c>
      <x:c r="N104" s="4" t="n">
        <x:f>'Evaluation Plan'!N104</x:f>
        <x:v>2</x:v>
      </x:c>
      <x:c r="O104" s="4" t="n">
        <x:f>'Evaluation Plan'!O104</x:f>
        <x:v>1</x:v>
      </x:c>
      <x:c r="P104" s="4" t="str">
        <x:f>'Evaluation Plan'!P104</x:f>
        <x:v>Empty</x:v>
      </x:c>
      <x:c r="Q104" s="5" t="str">
        <x:f>'Evaluation Plan'!Q104</x:f>
        <x:v>Primary held-out state-object composition</x:v>
      </x:c>
      <x:c r="R104" s="4" t="n">
        <x:f>'Evaluation Plan'!R104</x:f>
        <x:v>4</x:v>
      </x:c>
      <x:c r="S104" s="5" t="str">
        <x:f>'Evaluation Plan'!S104</x:f>
        <x:v>Build the listed same-category discrimination scene with the bowl empty.</x:v>
      </x:c>
      <x:c r="T104" s="5" t="str">
        <x:f>'Evaluation Plan'!T104</x:f>
        <x:v>Two same-category candidates share the non-queried state axis; only the held-out state word identifies the target. The orthogonal orientation axis is fixed: every object is RU.</x:v>
      </x:c>
      <x:c r="U104" s="5" t="n">
        <x:f>'Evaluation Plan'!U104</x:f>
        <x:v>0</x:v>
      </x:c>
    </x:row>
    <x:row r="105" ht="51" customHeight="1">
      <x:c r="A105" s="11" t="s">
        <x:v>181</x:v>
      </x:c>
      <x:c r="B105" s="10" t="n">
        <x:f>'Evaluation Plan'!B105</x:f>
        <x:v>103</x:v>
      </x:c>
      <x:c r="C105" s="11" t="str">
        <x:f>'Evaluation Plan'!C105</x:f>
        <x:v>Place the upright glass spice container in the bowl.</x:v>
      </x:c>
      <x:c r="D105" s="11" t="str">
        <x:f>'Evaluation Plan'!D105</x:f>
        <x:v>glass spice container B (C, RU); glass spice container A (C, UD); yellow-white striped cup B (O, UD)</x:v>
      </x:c>
      <x:c r="E105" s="10" t="n">
        <x:f>'Evaluation Plan'!E105</x:f>
        <x:v>0</x:v>
      </x:c>
      <x:c r="F105" s="10" t="str">
        <x:f>'Evaluation Plan'!F105</x:f>
        <x:v>172</x:v>
      </x:c>
      <x:c r="G105" s="11" t="str">
        <x:f>'Evaluation Plan'!G105</x:f>
        <x:v>Physical-state and manipulation-trajectory reference under a direct category prompt; the evaluated state word × object-category cell is intentionally absent from training.</x:v>
      </x:c>
      <x:c r="H105" s="11" t="str">
        <x:f>'Evaluation Plan'!H105</x:f>
        <x:v>glass spice container B</x:v>
      </x:c>
      <x:c r="I105" s="11"/>
      <x:c r="J105" s="12" t="str">
        <x:f>'Evaluation Plan'!J105</x:f>
        <x:v>Concept/compositional transfer</x:v>
      </x:c>
      <x:c r="K105" s="10" t="str">
        <x:f>'Evaluation Plan'!K105</x:f>
        <x:v>SR-CT44</x:v>
      </x:c>
      <x:c r="L105" s="10" t="str">
        <x:f>'Evaluation Plan'!L105</x:f>
        <x:v>RU</x:v>
      </x:c>
      <x:c r="M105" s="10" t="str">
        <x:f>'Evaluation Plan'!M105</x:f>
        <x:v>glass spice container</x:v>
      </x:c>
      <x:c r="N105" s="10" t="n">
        <x:f>'Evaluation Plan'!N105</x:f>
        <x:v>3</x:v>
      </x:c>
      <x:c r="O105" s="10" t="n">
        <x:f>'Evaluation Plan'!O105</x:f>
        <x:v>1</x:v>
      </x:c>
      <x:c r="P105" s="10" t="str">
        <x:f>'Evaluation Plan'!P105</x:f>
        <x:v>Empty</x:v>
      </x:c>
      <x:c r="Q105" s="11" t="str">
        <x:f>'Evaluation Plan'!Q105</x:f>
        <x:v>Primary held-out state-object composition</x:v>
      </x:c>
      <x:c r="R105" s="10" t="n">
        <x:f>'Evaluation Plan'!R105</x:f>
        <x:v>4</x:v>
      </x:c>
      <x:c r="S105" s="11" t="str">
        <x:f>'Evaluation Plan'!S105</x:f>
        <x:v>Build the listed same-category discrimination scene with the bowl empty.</x:v>
      </x:c>
      <x:c r="T105" s="11" t="str">
        <x:f>'Evaluation Plan'!T105</x:f>
        <x:v>Two same-category candidates share the non-queried state axis; only the held-out state word identifies the target. The same-category candidates share the orthogonal C/O state (C).</x:v>
      </x:c>
      <x:c r="U105" s="11" t="n">
        <x:f>'Evaluation Plan'!U105</x:f>
        <x:v>0</x:v>
      </x:c>
    </x:row>
    <x:row r="106" ht="51" customHeight="1">
      <x:c r="A106" s="5" t="s">
        <x:v>181</x:v>
      </x:c>
      <x:c r="B106" s="4" t="n">
        <x:f>'Evaluation Plan'!B106</x:f>
        <x:v>104</x:v>
      </x:c>
      <x:c r="C106" s="5" t="str">
        <x:f>'Evaluation Plan'!C106</x:f>
        <x:v>Place the upside-down white cup in the bowl.</x:v>
      </x:c>
      <x:c r="D106" s="5" t="str">
        <x:f>'Evaluation Plan'!D106</x:f>
        <x:v>white cup A (O, UD); white cup B (O, RU); glass spice container A (C, RU); yellow-white striped cup B (O, RU)</x:v>
      </x:c>
      <x:c r="E106" s="4" t="n">
        <x:f>'Evaluation Plan'!E106</x:f>
        <x:v>0</x:v>
      </x:c>
      <x:c r="F106" s="4" t="str">
        <x:f>'Evaluation Plan'!F106</x:f>
        <x:v>32</x:v>
      </x:c>
      <x:c r="G106" s="5" t="str">
        <x:f>'Evaluation Plan'!G106</x:f>
        <x:v>Physical-state and manipulation-trajectory reference under a direct category prompt; the evaluated state word × object-category cell is intentionally absent from training.</x:v>
      </x:c>
      <x:c r="H106" s="5" t="str">
        <x:f>'Evaluation Plan'!H106</x:f>
        <x:v>white cup A</x:v>
      </x:c>
      <x:c r="I106" s="5"/>
      <x:c r="J106" s="12" t="str">
        <x:f>'Evaluation Plan'!J106</x:f>
        <x:v>Concept/compositional transfer</x:v>
      </x:c>
      <x:c r="K106" s="4" t="str">
        <x:f>'Evaluation Plan'!K106</x:f>
        <x:v>SR-CT45</x:v>
      </x:c>
      <x:c r="L106" s="4" t="str">
        <x:f>'Evaluation Plan'!L106</x:f>
        <x:v>UD</x:v>
      </x:c>
      <x:c r="M106" s="4" t="str">
        <x:f>'Evaluation Plan'!M106</x:f>
        <x:v>white cup</x:v>
      </x:c>
      <x:c r="N106" s="4" t="n">
        <x:f>'Evaluation Plan'!N106</x:f>
        <x:v>4</x:v>
      </x:c>
      <x:c r="O106" s="4" t="n">
        <x:f>'Evaluation Plan'!O106</x:f>
        <x:v>1</x:v>
      </x:c>
      <x:c r="P106" s="4" t="str">
        <x:f>'Evaluation Plan'!P106</x:f>
        <x:v>Empty</x:v>
      </x:c>
      <x:c r="Q106" s="5" t="str">
        <x:f>'Evaluation Plan'!Q106</x:f>
        <x:v>Primary held-out state-object composition</x:v>
      </x:c>
      <x:c r="R106" s="4" t="n">
        <x:f>'Evaluation Plan'!R106</x:f>
        <x:v>4</x:v>
      </x:c>
      <x:c r="S106" s="5" t="str">
        <x:f>'Evaluation Plan'!S106</x:f>
        <x:v>Build the listed same-category discrimination scene with the bowl empty.</x:v>
      </x:c>
      <x:c r="T106" s="5" t="str">
        <x:f>'Evaluation Plan'!T106</x:f>
        <x:v>Two same-category candidates share the non-queried state axis; only the held-out state word identifies the target. The same-category candidates share the orthogonal C/O state (O).</x:v>
      </x:c>
      <x:c r="U106" s="5" t="n">
        <x:f>'Evaluation Plan'!U106</x:f>
        <x:v>0</x:v>
      </x:c>
    </x:row>
    <x:row r="107" ht="51" customHeight="1">
      <x:c r="A107" s="11" t="s">
        <x:v>181</x:v>
      </x:c>
      <x:c r="B107" s="10" t="n">
        <x:f>'Evaluation Plan'!B107</x:f>
        <x:v>105</x:v>
      </x:c>
      <x:c r="C107" s="11" t="str">
        <x:f>'Evaluation Plan'!C107</x:f>
        <x:v>Place the open yellow-white striped cup in the bowl.</x:v>
      </x:c>
      <x:c r="D107" s="11" t="str">
        <x:f>'Evaluation Plan'!D107</x:f>
        <x:v>yellow-white striped cup B (O, RU); yellow-white striped cup A (C, RU)</x:v>
      </x:c>
      <x:c r="E107" s="10" t="n">
        <x:f>'Evaluation Plan'!E107</x:f>
        <x:v>0</x:v>
      </x:c>
      <x:c r="F107" s="10" t="str">
        <x:f>'Evaluation Plan'!F107</x:f>
        <x:v>53</x:v>
      </x:c>
      <x:c r="G107" s="11" t="str">
        <x:f>'Evaluation Plan'!G107</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7" s="11" t="str">
        <x:f>'Evaluation Plan'!H107</x:f>
        <x:v>yellow-white striped cup B</x:v>
      </x:c>
      <x:c r="I107" s="11"/>
      <x:c r="J107" s="12" t="str">
        <x:f>'Evaluation Plan'!J107</x:f>
        <x:v>Concept/compositional transfer</x:v>
      </x:c>
      <x:c r="K107" s="10" t="str">
        <x:f>'Evaluation Plan'!K107</x:f>
        <x:v>SR-CT46</x:v>
      </x:c>
      <x:c r="L107" s="10" t="str">
        <x:f>'Evaluation Plan'!L107</x:f>
        <x:v>O</x:v>
      </x:c>
      <x:c r="M107" s="10" t="str">
        <x:f>'Evaluation Plan'!M107</x:f>
        <x:v>yellow-white striped cup</x:v>
      </x:c>
      <x:c r="N107" s="10" t="n">
        <x:f>'Evaluation Plan'!N107</x:f>
        <x:v>2</x:v>
      </x:c>
      <x:c r="O107" s="10" t="n">
        <x:f>'Evaluation Plan'!O107</x:f>
        <x:v>1</x:v>
      </x:c>
      <x:c r="P107" s="10" t="str">
        <x:f>'Evaluation Plan'!P107</x:f>
        <x:v>Empty</x:v>
      </x:c>
      <x:c r="Q107" s="11" t="str">
        <x:f>'Evaluation Plan'!Q107</x:f>
        <x:v>Primary held-out state-object composition</x:v>
      </x:c>
      <x:c r="R107" s="10" t="n">
        <x:f>'Evaluation Plan'!R107</x:f>
        <x:v>4</x:v>
      </x:c>
      <x:c r="S107" s="11" t="str">
        <x:f>'Evaluation Plan'!S107</x:f>
        <x:v>Build the listed same-category discrimination scene with the bowl empty.</x:v>
      </x:c>
      <x:c r="T107" s="11" t="str">
        <x:f>'Evaluation Plan'!T107</x:f>
        <x:v>Two same-category candidates share the non-queried state axis; only the held-out state word identifies the target. The orthogonal orientation axis is fixed: every object is RU.</x:v>
      </x:c>
      <x:c r="U107" s="11" t="n">
        <x:f>'Evaluation Plan'!U107</x:f>
        <x:v>0</x:v>
      </x:c>
    </x:row>
    <x:row r="108" ht="51" customHeight="1">
      <x:c r="A108" s="5" t="s">
        <x:v>181</x:v>
      </x:c>
      <x:c r="B108" s="4" t="n">
        <x:f>'Evaluation Plan'!B108</x:f>
        <x:v>106</x:v>
      </x:c>
      <x:c r="C108" s="5" t="str">
        <x:f>'Evaluation Plan'!C108</x:f>
        <x:v>Place the closed brown cup in the bowl.</x:v>
      </x:c>
      <x:c r="D108" s="5" t="str">
        <x:f>'Evaluation Plan'!D108</x:f>
        <x:v>brown cup A (C, RU); brown cup B (O, RU); yellow-white striped cup A (C, RU)</x:v>
      </x:c>
      <x:c r="E108" s="4" t="n">
        <x:f>'Evaluation Plan'!E108</x:f>
        <x:v>0</x:v>
      </x:c>
      <x:c r="F108" s="4" t="str">
        <x:f>'Evaluation Plan'!F108</x:f>
        <x:v>129</x:v>
      </x:c>
      <x:c r="G108" s="5" t="str">
        <x:f>'Evaluation Plan'!G108</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8" s="5" t="str">
        <x:f>'Evaluation Plan'!H108</x:f>
        <x:v>brown cup A</x:v>
      </x:c>
      <x:c r="I108" s="5"/>
      <x:c r="J108" s="12" t="str">
        <x:f>'Evaluation Plan'!J108</x:f>
        <x:v>Concept/compositional transfer</x:v>
      </x:c>
      <x:c r="K108" s="4" t="str">
        <x:f>'Evaluation Plan'!K108</x:f>
        <x:v>SR-CT47</x:v>
      </x:c>
      <x:c r="L108" s="4" t="str">
        <x:f>'Evaluation Plan'!L108</x:f>
        <x:v>C</x:v>
      </x:c>
      <x:c r="M108" s="4" t="str">
        <x:f>'Evaluation Plan'!M108</x:f>
        <x:v>brown cup</x:v>
      </x:c>
      <x:c r="N108" s="4" t="n">
        <x:f>'Evaluation Plan'!N108</x:f>
        <x:v>3</x:v>
      </x:c>
      <x:c r="O108" s="4" t="n">
        <x:f>'Evaluation Plan'!O108</x:f>
        <x:v>1</x:v>
      </x:c>
      <x:c r="P108" s="4" t="str">
        <x:f>'Evaluation Plan'!P108</x:f>
        <x:v>Empty</x:v>
      </x:c>
      <x:c r="Q108" s="5" t="str">
        <x:f>'Evaluation Plan'!Q108</x:f>
        <x:v>Primary held-out state-object composition</x:v>
      </x:c>
      <x:c r="R108" s="4" t="n">
        <x:f>'Evaluation Plan'!R108</x:f>
        <x:v>4</x:v>
      </x:c>
      <x:c r="S108" s="5" t="str">
        <x:f>'Evaluation Plan'!S108</x:f>
        <x:v>Build the listed same-category discrimination scene with the bowl empty.</x:v>
      </x:c>
      <x:c r="T108" s="5" t="str">
        <x:f>'Evaluation Plan'!T108</x:f>
        <x:v>Two same-category candidates share the non-queried state axis; only the held-out state word identifies the target. The orthogonal orientation axis is fixed: every object is RU.</x:v>
      </x:c>
      <x:c r="U108" s="5" t="n">
        <x:f>'Evaluation Plan'!U108</x:f>
        <x:v>0</x:v>
      </x:c>
    </x:row>
    <x:row r="109" ht="51" customHeight="1">
      <x:c r="A109" s="11" t="s">
        <x:v>181</x:v>
      </x:c>
      <x:c r="B109" s="10" t="n">
        <x:f>'Evaluation Plan'!B109</x:f>
        <x:v>107</x:v>
      </x:c>
      <x:c r="C109" s="11" t="str">
        <x:f>'Evaluation Plan'!C109</x:f>
        <x:v>Place the upright glass spice container in the bowl.</x:v>
      </x:c>
      <x:c r="D109" s="11" t="str">
        <x:f>'Evaluation Plan'!D109</x:f>
        <x:v>glass spice container B (O, RU); glass spice container A (O, UD); brown cup B (O, UD); white cup A (C, RU)</x:v>
      </x:c>
      <x:c r="E109" s="10" t="n">
        <x:f>'Evaluation Plan'!E109</x:f>
        <x:v>0</x:v>
      </x:c>
      <x:c r="F109" s="10" t="str">
        <x:f>'Evaluation Plan'!F109</x:f>
        <x:v>157</x:v>
      </x:c>
      <x:c r="G109" s="11" t="str">
        <x:f>'Evaluation Plan'!G109</x:f>
        <x:v>Physical-state and manipulation-trajectory reference under a direct category prompt; the evaluated state word × object-category cell is intentionally absent from training.</x:v>
      </x:c>
      <x:c r="H109" s="11" t="str">
        <x:f>'Evaluation Plan'!H109</x:f>
        <x:v>glass spice container B</x:v>
      </x:c>
      <x:c r="I109" s="11"/>
      <x:c r="J109" s="12" t="str">
        <x:f>'Evaluation Plan'!J109</x:f>
        <x:v>Concept/compositional transfer</x:v>
      </x:c>
      <x:c r="K109" s="10" t="str">
        <x:f>'Evaluation Plan'!K109</x:f>
        <x:v>SR-CT48</x:v>
      </x:c>
      <x:c r="L109" s="10" t="str">
        <x:f>'Evaluation Plan'!L109</x:f>
        <x:v>RU</x:v>
      </x:c>
      <x:c r="M109" s="10" t="str">
        <x:f>'Evaluation Plan'!M109</x:f>
        <x:v>glass spice container</x:v>
      </x:c>
      <x:c r="N109" s="10" t="n">
        <x:f>'Evaluation Plan'!N109</x:f>
        <x:v>4</x:v>
      </x:c>
      <x:c r="O109" s="10" t="n">
        <x:f>'Evaluation Plan'!O109</x:f>
        <x:v>1</x:v>
      </x:c>
      <x:c r="P109" s="10" t="str">
        <x:f>'Evaluation Plan'!P109</x:f>
        <x:v>Empty</x:v>
      </x:c>
      <x:c r="Q109" s="11" t="str">
        <x:f>'Evaluation Plan'!Q109</x:f>
        <x:v>Primary held-out state-object composition</x:v>
      </x:c>
      <x:c r="R109" s="10" t="n">
        <x:f>'Evaluation Plan'!R109</x:f>
        <x:v>4</x:v>
      </x:c>
      <x:c r="S109" s="11" t="str">
        <x:f>'Evaluation Plan'!S109</x:f>
        <x:v>Build the listed same-category discrimination scene with the bowl empty.</x:v>
      </x:c>
      <x:c r="T109" s="11" t="str">
        <x:f>'Evaluation Plan'!T109</x:f>
        <x:v>Two same-category candidates share the non-queried state axis; only the held-out state word identifies the target. The same-category candidates share the orthogonal C/O state (O).</x:v>
      </x:c>
      <x:c r="U109" s="11" t="n">
        <x:f>'Evaluation Plan'!U109</x:f>
        <x:v>0</x:v>
      </x:c>
    </x:row>
    <x:row r="110" ht="51" customHeight="1">
      <x:c r="A110" s="5" t="s">
        <x:v>181</x:v>
      </x:c>
      <x:c r="B110" s="4" t="n">
        <x:f>'Evaluation Plan'!B110</x:f>
        <x:v>108</x:v>
      </x:c>
      <x:c r="C110" s="5" t="str">
        <x:f>'Evaluation Plan'!C110</x:f>
        <x:v>Place the upside-down white cup in the bowl.</x:v>
      </x:c>
      <x:c r="D110" s="5" t="str">
        <x:f>'Evaluation Plan'!D110</x:f>
        <x:v>white cup A (C, UD); white cup B (C, RU)</x:v>
      </x:c>
      <x:c r="E110" s="4" t="n">
        <x:f>'Evaluation Plan'!E110</x:f>
        <x:v>0</x:v>
      </x:c>
      <x:c r="F110" s="4" t="str">
        <x:f>'Evaluation Plan'!F110</x:f>
        <x:v>35</x:v>
      </x:c>
      <x:c r="G110" s="5" t="str">
        <x:f>'Evaluation Plan'!G110</x:f>
        <x:v>Physical-state and manipulation-trajectory reference under a direct category prompt; the evaluated state word × object-category cell is intentionally absent from training.</x:v>
      </x:c>
      <x:c r="H110" s="5" t="str">
        <x:f>'Evaluation Plan'!H110</x:f>
        <x:v>white cup A</x:v>
      </x:c>
      <x:c r="I110" s="5"/>
      <x:c r="J110" s="12" t="str">
        <x:f>'Evaluation Plan'!J110</x:f>
        <x:v>Concept/compositional transfer</x:v>
      </x:c>
      <x:c r="K110" s="4" t="str">
        <x:f>'Evaluation Plan'!K110</x:f>
        <x:v>SR-CT49</x:v>
      </x:c>
      <x:c r="L110" s="4" t="str">
        <x:f>'Evaluation Plan'!L110</x:f>
        <x:v>UD</x:v>
      </x:c>
      <x:c r="M110" s="4" t="str">
        <x:f>'Evaluation Plan'!M110</x:f>
        <x:v>white cup</x:v>
      </x:c>
      <x:c r="N110" s="4" t="n">
        <x:f>'Evaluation Plan'!N110</x:f>
        <x:v>2</x:v>
      </x:c>
      <x:c r="O110" s="4" t="n">
        <x:f>'Evaluation Plan'!O110</x:f>
        <x:v>1</x:v>
      </x:c>
      <x:c r="P110" s="4" t="str">
        <x:f>'Evaluation Plan'!P110</x:f>
        <x:v>Empty</x:v>
      </x:c>
      <x:c r="Q110" s="5" t="str">
        <x:f>'Evaluation Plan'!Q110</x:f>
        <x:v>Primary held-out state-object composition</x:v>
      </x:c>
      <x:c r="R110" s="4" t="n">
        <x:f>'Evaluation Plan'!R110</x:f>
        <x:v>4</x:v>
      </x:c>
      <x:c r="S110" s="5" t="str">
        <x:f>'Evaluation Plan'!S110</x:f>
        <x:v>Build the listed same-category discrimination scene with the bowl empty.</x:v>
      </x:c>
      <x:c r="T110" s="5" t="str">
        <x:f>'Evaluation Plan'!T110</x:f>
        <x:v>Two same-category candidates share the non-queried state axis; only the held-out state word identifies the target. The same-category candidates share the orthogonal C/O state (C).</x:v>
      </x:c>
      <x:c r="U110" s="5" t="n">
        <x:f>'Evaluation Plan'!U110</x:f>
        <x:v>0</x:v>
      </x:c>
    </x:row>
    <x:row r="111" ht="51" customHeight="1">
      <x:c r="A111" s="11" t="s">
        <x:v>181</x:v>
      </x:c>
      <x:c r="B111" s="10" t="n">
        <x:f>'Evaluation Plan'!B111</x:f>
        <x:v>109</x:v>
      </x:c>
      <x:c r="C111" s="11" t="str">
        <x:f>'Evaluation Plan'!C111</x:f>
        <x:v>Place the open yellow-white striped cup in the bowl.</x:v>
      </x:c>
      <x:c r="D111" s="11" t="str">
        <x:f>'Evaluation Plan'!D111</x:f>
        <x:v>yellow-white striped cup B (O, RU); yellow-white striped cup A (C, RU); brown cup B (O, RU)</x:v>
      </x:c>
      <x:c r="E111" s="10" t="n">
        <x:f>'Evaluation Plan'!E111</x:f>
        <x:v>0</x:v>
      </x:c>
      <x:c r="F111" s="10" t="str">
        <x:f>'Evaluation Plan'!F111</x:f>
        <x:v>64</x:v>
      </x:c>
      <x:c r="G111" s="11" t="str">
        <x:f>'Evaluation Plan'!G111</x:f>
        <x:v>Physical-state and manipulation-trajectory reference under a direct category prompt; the evaluated state word × object-category cell is intentionally absent from training. All objects are upright, matching the context of every explicit open/closed training demonstration.</x:v>
      </x:c>
      <x:c r="H111" s="11" t="str">
        <x:f>'Evaluation Plan'!H111</x:f>
        <x:v>yellow-white striped cup B</x:v>
      </x:c>
      <x:c r="I111" s="11"/>
      <x:c r="J111" s="12" t="str">
        <x:f>'Evaluation Plan'!J111</x:f>
        <x:v>Concept/compositional transfer</x:v>
      </x:c>
      <x:c r="K111" s="10" t="str">
        <x:f>'Evaluation Plan'!K111</x:f>
        <x:v>SR-CT50</x:v>
      </x:c>
      <x:c r="L111" s="10" t="str">
        <x:f>'Evaluation Plan'!L111</x:f>
        <x:v>O</x:v>
      </x:c>
      <x:c r="M111" s="10" t="str">
        <x:f>'Evaluation Plan'!M111</x:f>
        <x:v>yellow-white striped cup</x:v>
      </x:c>
      <x:c r="N111" s="10" t="n">
        <x:f>'Evaluation Plan'!N111</x:f>
        <x:v>3</x:v>
      </x:c>
      <x:c r="O111" s="10" t="n">
        <x:f>'Evaluation Plan'!O111</x:f>
        <x:v>1</x:v>
      </x:c>
      <x:c r="P111" s="10" t="str">
        <x:f>'Evaluation Plan'!P111</x:f>
        <x:v>Empty</x:v>
      </x:c>
      <x:c r="Q111" s="11" t="str">
        <x:f>'Evaluation Plan'!Q111</x:f>
        <x:v>Primary held-out state-object composition</x:v>
      </x:c>
      <x:c r="R111" s="10" t="n">
        <x:f>'Evaluation Plan'!R111</x:f>
        <x:v>4</x:v>
      </x:c>
      <x:c r="S111" s="11" t="str">
        <x:f>'Evaluation Plan'!S111</x:f>
        <x:v>Build the listed same-category discrimination scene with the bowl empty.</x:v>
      </x:c>
      <x:c r="T111" s="11" t="str">
        <x:f>'Evaluation Plan'!T111</x:f>
        <x:v>Two same-category candidates share the non-queried state axis; only the held-out state word identifies the target. The orthogonal orientation axis is fixed: every object is RU.</x:v>
      </x:c>
      <x:c r="U111" s="11" t="n">
        <x:f>'Evaluation Plan'!U111</x:f>
        <x:v>0</x:v>
      </x:c>
    </x:row>
    <x:row r="112" ht="51" customHeight="1">
      <x:c r="A112" s="5" t="s">
        <x:v>181</x:v>
      </x:c>
      <x:c r="B112" s="4" t="n">
        <x:f>'Evaluation Plan'!B112</x:f>
        <x:v>110</x:v>
      </x:c>
      <x:c r="C112" s="5" t="str">
        <x:f>'Evaluation Plan'!C112</x:f>
        <x:v>Place the closed black cup in the bowl.</x:v>
      </x:c>
      <x:c r="D112" s="5" t="str">
        <x:f>'Evaluation Plan'!D112</x:f>
        <x:v>black cup A (C, RU); black cup B (O, RU)</x:v>
      </x:c>
      <x:c r="E112" s="4" t="n">
        <x:f>'Evaluation Plan'!E112</x:f>
        <x:v>0</x:v>
      </x:c>
      <x:c r="F112" s="4" t="n">
        <x:f>'Evaluation Plan'!F112</x:f>
        <x:v>0</x:v>
      </x:c>
      <x:c r="G112" s="5" t="str">
        <x:f>'Evaluation Plan'!G112</x:f>
        <x:v>State-word concept reference from training episode 0; black cups are globally unseen. This is an exact-scene state counterfactual pair, not a direct-name manipulation control.</x:v>
      </x:c>
      <x:c r="H112" s="5" t="str">
        <x:f>'Evaluation Plan'!H112</x:f>
        <x:v>black cup A</x:v>
      </x:c>
      <x:c r="I112" s="5"/>
      <x:c r="J112" s="19" t="str">
        <x:f>'Evaluation Plan'!J112</x:f>
        <x:v>Novel-object state reasoning</x:v>
      </x:c>
      <x:c r="K112" s="4" t="str">
        <x:f>'Evaluation Plan'!K112</x:f>
        <x:v>SR-BLACK-CF01</x:v>
      </x:c>
      <x:c r="L112" s="4" t="str">
        <x:f>'Evaluation Plan'!L112</x:f>
        <x:v>C</x:v>
      </x:c>
      <x:c r="M112" s="4" t="str">
        <x:f>'Evaluation Plan'!M112</x:f>
        <x:v>black cup</x:v>
      </x:c>
      <x:c r="N112" s="4" t="n">
        <x:f>'Evaluation Plan'!N112</x:f>
        <x:v>2</x:v>
      </x:c>
      <x:c r="O112" s="4" t="n">
        <x:f>'Evaluation Plan'!O112</x:f>
        <x:v>1</x:v>
      </x:c>
      <x:c r="P112" s="4" t="str">
        <x:f>'Evaluation Plan'!P112</x:f>
        <x:v>Empty</x:v>
      </x:c>
      <x:c r="Q112" s="5" t="str">
        <x:f>'Evaluation Plan'!Q112</x:f>
        <x:v>Exact-scene counterfactual globally unseen black-cup state reasoning</x:v>
      </x:c>
      <x:c r="R112" s="4" t="n">
        <x:f>'Evaluation Plan'!R112</x:f>
        <x:v>5</x:v>
      </x:c>
      <x:c r="S112" s="5" t="str">
        <x:f>'Evaluation Plan'!S112</x:f>
        <x:v>Build the listed scene with both black cups and an empty bowl.</x:v>
      </x:c>
      <x:c r="T112" s="5" t="str">
        <x:f>'Evaluation Plan'!T112</x:f>
        <x:v>Counterfactual C/O pair: both black cups and every distractor are RU; only the queried state word changes the correct black cup.</x:v>
      </x:c>
      <x:c r="U112" s="5" t="n">
        <x:f>'Evaluation Plan'!U112</x:f>
        <x:v>0</x:v>
      </x:c>
    </x:row>
    <x:row r="113" ht="51" customHeight="1">
      <x:c r="A113" s="11" t="s">
        <x:v>181</x:v>
      </x:c>
      <x:c r="B113" s="10" t="n">
        <x:f>'Evaluation Plan'!B113</x:f>
        <x:v>111</x:v>
      </x:c>
      <x:c r="C113" s="11" t="str">
        <x:f>'Evaluation Plan'!C113</x:f>
        <x:v>Place the open black cup in the bowl.</x:v>
      </x:c>
      <x:c r="D113" s="11" t="str">
        <x:f>'Evaluation Plan'!D113</x:f>
        <x:v>black cup A (C, RU); black cup B (O, RU)</x:v>
      </x:c>
      <x:c r="E113" s="10" t="n">
        <x:f>'Evaluation Plan'!E113</x:f>
        <x:v>110</x:v>
      </x:c>
      <x:c r="F113" s="10" t="n">
        <x:f>'Evaluation Plan'!F113</x:f>
        <x:v>101</x:v>
      </x:c>
      <x:c r="G113" s="11" t="str">
        <x:f>'Evaluation Plan'!G113</x:f>
        <x:v>State-word concept reference from training episode 101; black cups are globally unseen. This is an exact-scene state counterfactual pair, not a direct-name manipulation control.</x:v>
      </x:c>
      <x:c r="H113" s="11" t="str">
        <x:f>'Evaluation Plan'!H113</x:f>
        <x:v>black cup B</x:v>
      </x:c>
      <x:c r="I113" s="11"/>
      <x:c r="J113" s="19" t="str">
        <x:f>'Evaluation Plan'!J113</x:f>
        <x:v>Novel-object state reasoning</x:v>
      </x:c>
      <x:c r="K113" s="10" t="str">
        <x:f>'Evaluation Plan'!K113</x:f>
        <x:v>SR-BLACK-CF01</x:v>
      </x:c>
      <x:c r="L113" s="10" t="str">
        <x:f>'Evaluation Plan'!L113</x:f>
        <x:v>O</x:v>
      </x:c>
      <x:c r="M113" s="10" t="str">
        <x:f>'Evaluation Plan'!M113</x:f>
        <x:v>black cup</x:v>
      </x:c>
      <x:c r="N113" s="10" t="n">
        <x:f>'Evaluation Plan'!N113</x:f>
        <x:v>2</x:v>
      </x:c>
      <x:c r="O113" s="10" t="n">
        <x:f>'Evaluation Plan'!O113</x:f>
        <x:v>1</x:v>
      </x:c>
      <x:c r="P113" s="10" t="str">
        <x:f>'Evaluation Plan'!P113</x:f>
        <x:v>Empty</x:v>
      </x:c>
      <x:c r="Q113" s="11" t="str">
        <x:f>'Evaluation Plan'!Q113</x:f>
        <x:v>Exact-scene counterfactual globally unseen black-cup state reasoning</x:v>
      </x:c>
      <x:c r="R113" s="10" t="n">
        <x:f>'Evaluation Plan'!R113</x:f>
        <x:v>5</x:v>
      </x:c>
      <x:c r="S113" s="11" t="str">
        <x:f>'Evaluation Plan'!S113</x:f>
        <x:v>Reset the moved black cup to its marked pose; preserve the exact scene and change only the state word in the prompt.</x:v>
      </x:c>
      <x:c r="T113" s="11" t="str">
        <x:f>'Evaluation Plan'!T113</x:f>
        <x:v>Counterfactual C/O pair: both black cups and every distractor are RU; only the queried state word changes the correct black cup.</x:v>
      </x:c>
      <x:c r="U113" s="11" t="n">
        <x:f>'Evaluation Plan'!U113</x:f>
        <x:v>0</x:v>
      </x:c>
    </x:row>
    <x:row r="114" ht="51" customHeight="1">
      <x:c r="A114" s="5" t="s">
        <x:v>181</x:v>
      </x:c>
      <x:c r="B114" s="4" t="n">
        <x:f>'Evaluation Plan'!B114</x:f>
        <x:v>112</x:v>
      </x:c>
      <x:c r="C114" s="5" t="str">
        <x:f>'Evaluation Plan'!C114</x:f>
        <x:v>Place the upside-down black cup in the bowl.</x:v>
      </x:c>
      <x:c r="D114" s="5" t="str">
        <x:f>'Evaluation Plan'!D114</x:f>
        <x:v>black cup A (C, UD); black cup B (C, RU); yellow-white striped cup B (O, UD)</x:v>
      </x:c>
      <x:c r="E114" s="4" t="n">
        <x:f>'Evaluation Plan'!E114</x:f>
        <x:v>0</x:v>
      </x:c>
      <x:c r="F114" s="4" t="n">
        <x:f>'Evaluation Plan'!F114</x:f>
        <x:v>78</x:v>
      </x:c>
      <x:c r="G114" s="5" t="str">
        <x:f>'Evaluation Plan'!G114</x:f>
        <x:v>State-word concept reference from training episode 78; black cups are globally unseen. This is an exact-scene state counterfactual pair, not a direct-name manipulation control.</x:v>
      </x:c>
      <x:c r="H114" s="5" t="str">
        <x:f>'Evaluation Plan'!H114</x:f>
        <x:v>black cup A</x:v>
      </x:c>
      <x:c r="I114" s="5"/>
      <x:c r="J114" s="19" t="str">
        <x:f>'Evaluation Plan'!J114</x:f>
        <x:v>Novel-object state reasoning</x:v>
      </x:c>
      <x:c r="K114" s="4" t="str">
        <x:f>'Evaluation Plan'!K114</x:f>
        <x:v>SR-BLACK-CF02</x:v>
      </x:c>
      <x:c r="L114" s="4" t="str">
        <x:f>'Evaluation Plan'!L114</x:f>
        <x:v>UD</x:v>
      </x:c>
      <x:c r="M114" s="4" t="str">
        <x:f>'Evaluation Plan'!M114</x:f>
        <x:v>black cup</x:v>
      </x:c>
      <x:c r="N114" s="4" t="n">
        <x:f>'Evaluation Plan'!N114</x:f>
        <x:v>3</x:v>
      </x:c>
      <x:c r="O114" s="4" t="n">
        <x:f>'Evaluation Plan'!O114</x:f>
        <x:v>1</x:v>
      </x:c>
      <x:c r="P114" s="4" t="str">
        <x:f>'Evaluation Plan'!P114</x:f>
        <x:v>Empty</x:v>
      </x:c>
      <x:c r="Q114" s="5" t="str">
        <x:f>'Evaluation Plan'!Q114</x:f>
        <x:v>Exact-scene counterfactual globally unseen black-cup state reasoning</x:v>
      </x:c>
      <x:c r="R114" s="4" t="n">
        <x:f>'Evaluation Plan'!R114</x:f>
        <x:v>5</x:v>
      </x:c>
      <x:c r="S114" s="5" t="str">
        <x:f>'Evaluation Plan'!S114</x:f>
        <x:v>Build the listed scene with both black cups and an empty bowl.</x:v>
      </x:c>
      <x:c r="T114" s="5" t="str">
        <x:f>'Evaluation Plan'!T114</x:f>
        <x:v>Counterfactual UD/RU pair: both black cups share the orthogonal C/O state (C); only the queried state word changes the correct black cup.</x:v>
      </x:c>
      <x:c r="U114" s="5" t="n">
        <x:f>'Evaluation Plan'!U114</x:f>
        <x:v>0</x:v>
      </x:c>
    </x:row>
    <x:row r="115" ht="51" customHeight="1">
      <x:c r="A115" s="11" t="s">
        <x:v>181</x:v>
      </x:c>
      <x:c r="B115" s="10" t="n">
        <x:f>'Evaluation Plan'!B115</x:f>
        <x:v>113</x:v>
      </x:c>
      <x:c r="C115" s="11" t="str">
        <x:f>'Evaluation Plan'!C115</x:f>
        <x:v>Place the upright black cup in the bowl.</x:v>
      </x:c>
      <x:c r="D115" s="11" t="str">
        <x:f>'Evaluation Plan'!D115</x:f>
        <x:v>black cup A (C, UD); black cup B (C, RU); yellow-white striped cup B (O, UD)</x:v>
      </x:c>
      <x:c r="E115" s="10" t="n">
        <x:f>'Evaluation Plan'!E115</x:f>
        <x:v>112</x:v>
      </x:c>
      <x:c r="F115" s="10" t="n">
        <x:f>'Evaluation Plan'!F115</x:f>
        <x:v>26</x:v>
      </x:c>
      <x:c r="G115" s="11" t="str">
        <x:f>'Evaluation Plan'!G115</x:f>
        <x:v>State-word concept reference from training episode 26; black cups are globally unseen. This is an exact-scene state counterfactual pair, not a direct-name manipulation control.</x:v>
      </x:c>
      <x:c r="H115" s="11" t="str">
        <x:f>'Evaluation Plan'!H115</x:f>
        <x:v>black cup B</x:v>
      </x:c>
      <x:c r="I115" s="11"/>
      <x:c r="J115" s="19" t="str">
        <x:f>'Evaluation Plan'!J115</x:f>
        <x:v>Novel-object state reasoning</x:v>
      </x:c>
      <x:c r="K115" s="10" t="str">
        <x:f>'Evaluation Plan'!K115</x:f>
        <x:v>SR-BLACK-CF02</x:v>
      </x:c>
      <x:c r="L115" s="10" t="str">
        <x:f>'Evaluation Plan'!L115</x:f>
        <x:v>RU</x:v>
      </x:c>
      <x:c r="M115" s="10" t="str">
        <x:f>'Evaluation Plan'!M115</x:f>
        <x:v>black cup</x:v>
      </x:c>
      <x:c r="N115" s="10" t="n">
        <x:f>'Evaluation Plan'!N115</x:f>
        <x:v>3</x:v>
      </x:c>
      <x:c r="O115" s="10" t="n">
        <x:f>'Evaluation Plan'!O115</x:f>
        <x:v>1</x:v>
      </x:c>
      <x:c r="P115" s="10" t="str">
        <x:f>'Evaluation Plan'!P115</x:f>
        <x:v>Empty</x:v>
      </x:c>
      <x:c r="Q115" s="11" t="str">
        <x:f>'Evaluation Plan'!Q115</x:f>
        <x:v>Exact-scene counterfactual globally unseen black-cup state reasoning</x:v>
      </x:c>
      <x:c r="R115" s="10" t="n">
        <x:f>'Evaluation Plan'!R115</x:f>
        <x:v>5</x:v>
      </x:c>
      <x:c r="S115" s="11" t="str">
        <x:f>'Evaluation Plan'!S115</x:f>
        <x:v>Reset the moved black cup to its marked pose; preserve the exact scene and change only the state word in the prompt.</x:v>
      </x:c>
      <x:c r="T115" s="11" t="str">
        <x:f>'Evaluation Plan'!T115</x:f>
        <x:v>Counterfactual UD/RU pair: both black cups share the orthogonal C/O state (C); only the queried state word changes the correct black cup.</x:v>
      </x:c>
      <x:c r="U115" s="11" t="n">
        <x:f>'Evaluation Plan'!U115</x:f>
        <x:v>0</x:v>
      </x:c>
    </x:row>
    <x:row r="116" ht="51" customHeight="1">
      <x:c r="A116" s="5" t="s">
        <x:v>181</x:v>
      </x:c>
      <x:c r="B116" s="4" t="n">
        <x:f>'Evaluation Plan'!B116</x:f>
        <x:v>114</x:v>
      </x:c>
      <x:c r="C116" s="5" t="str">
        <x:f>'Evaluation Plan'!C116</x:f>
        <x:v>Place the closed black cup in the bowl.</x:v>
      </x:c>
      <x:c r="D116" s="5" t="str">
        <x:f>'Evaluation Plan'!D116</x:f>
        <x:v>black cup A (O, RU); black cup B (C, RU); brown cup A (C, RU); glass spice container B (O, RU)</x:v>
      </x:c>
      <x:c r="E116" s="4" t="n">
        <x:f>'Evaluation Plan'!E116</x:f>
        <x:v>0</x:v>
      </x:c>
      <x:c r="F116" s="4" t="n">
        <x:f>'Evaluation Plan'!F116</x:f>
        <x:v>0</x:v>
      </x:c>
      <x:c r="G116" s="5" t="str">
        <x:f>'Evaluation Plan'!G116</x:f>
        <x:v>State-word concept reference from training episode 0; black cups are globally unseen. This is an exact-scene state counterfactual pair, not a direct-name manipulation control.</x:v>
      </x:c>
      <x:c r="H116" s="5" t="str">
        <x:f>'Evaluation Plan'!H116</x:f>
        <x:v>black cup B</x:v>
      </x:c>
      <x:c r="I116" s="5"/>
      <x:c r="J116" s="19" t="str">
        <x:f>'Evaluation Plan'!J116</x:f>
        <x:v>Novel-object state reasoning</x:v>
      </x:c>
      <x:c r="K116" s="4" t="str">
        <x:f>'Evaluation Plan'!K116</x:f>
        <x:v>SR-BLACK-CF03</x:v>
      </x:c>
      <x:c r="L116" s="4" t="str">
        <x:f>'Evaluation Plan'!L116</x:f>
        <x:v>C</x:v>
      </x:c>
      <x:c r="M116" s="4" t="str">
        <x:f>'Evaluation Plan'!M116</x:f>
        <x:v>black cup</x:v>
      </x:c>
      <x:c r="N116" s="4" t="n">
        <x:f>'Evaluation Plan'!N116</x:f>
        <x:v>4</x:v>
      </x:c>
      <x:c r="O116" s="4" t="n">
        <x:f>'Evaluation Plan'!O116</x:f>
        <x:v>1</x:v>
      </x:c>
      <x:c r="P116" s="4" t="str">
        <x:f>'Evaluation Plan'!P116</x:f>
        <x:v>Empty</x:v>
      </x:c>
      <x:c r="Q116" s="5" t="str">
        <x:f>'Evaluation Plan'!Q116</x:f>
        <x:v>Exact-scene counterfactual globally unseen black-cup state reasoning</x:v>
      </x:c>
      <x:c r="R116" s="4" t="n">
        <x:f>'Evaluation Plan'!R116</x:f>
        <x:v>5</x:v>
      </x:c>
      <x:c r="S116" s="5" t="str">
        <x:f>'Evaluation Plan'!S116</x:f>
        <x:v>Build the listed scene with both black cups and an empty bowl.</x:v>
      </x:c>
      <x:c r="T116" s="5" t="str">
        <x:f>'Evaluation Plan'!T116</x:f>
        <x:v>Counterfactual C/O pair: both black cups and every distractor are RU; only the queried state word changes the correct black cup.</x:v>
      </x:c>
      <x:c r="U116" s="5" t="n">
        <x:f>'Evaluation Plan'!U116</x:f>
        <x:v>0</x:v>
      </x:c>
    </x:row>
    <x:row r="117" ht="51" customHeight="1">
      <x:c r="A117" s="11" t="s">
        <x:v>181</x:v>
      </x:c>
      <x:c r="B117" s="10" t="n">
        <x:f>'Evaluation Plan'!B117</x:f>
        <x:v>115</x:v>
      </x:c>
      <x:c r="C117" s="11" t="str">
        <x:f>'Evaluation Plan'!C117</x:f>
        <x:v>Place the open black cup in the bowl.</x:v>
      </x:c>
      <x:c r="D117" s="11" t="str">
        <x:f>'Evaluation Plan'!D117</x:f>
        <x:v>black cup A (O, RU); black cup B (C, RU); brown cup A (C, RU); glass spice container B (O, RU)</x:v>
      </x:c>
      <x:c r="E117" s="10" t="n">
        <x:f>'Evaluation Plan'!E117</x:f>
        <x:v>114</x:v>
      </x:c>
      <x:c r="F117" s="10" t="n">
        <x:f>'Evaluation Plan'!F117</x:f>
        <x:v>101</x:v>
      </x:c>
      <x:c r="G117" s="11" t="str">
        <x:f>'Evaluation Plan'!G117</x:f>
        <x:v>State-word concept reference from training episode 101; black cups are globally unseen. This is an exact-scene state counterfactual pair, not a direct-name manipulation control.</x:v>
      </x:c>
      <x:c r="H117" s="11" t="str">
        <x:f>'Evaluation Plan'!H117</x:f>
        <x:v>black cup A</x:v>
      </x:c>
      <x:c r="I117" s="11"/>
      <x:c r="J117" s="19" t="str">
        <x:f>'Evaluation Plan'!J117</x:f>
        <x:v>Novel-object state reasoning</x:v>
      </x:c>
      <x:c r="K117" s="10" t="str">
        <x:f>'Evaluation Plan'!K117</x:f>
        <x:v>SR-BLACK-CF03</x:v>
      </x:c>
      <x:c r="L117" s="10" t="str">
        <x:f>'Evaluation Plan'!L117</x:f>
        <x:v>O</x:v>
      </x:c>
      <x:c r="M117" s="10" t="str">
        <x:f>'Evaluation Plan'!M117</x:f>
        <x:v>black cup</x:v>
      </x:c>
      <x:c r="N117" s="10" t="n">
        <x:f>'Evaluation Plan'!N117</x:f>
        <x:v>4</x:v>
      </x:c>
      <x:c r="O117" s="10" t="n">
        <x:f>'Evaluation Plan'!O117</x:f>
        <x:v>1</x:v>
      </x:c>
      <x:c r="P117" s="10" t="str">
        <x:f>'Evaluation Plan'!P117</x:f>
        <x:v>Empty</x:v>
      </x:c>
      <x:c r="Q117" s="11" t="str">
        <x:f>'Evaluation Plan'!Q117</x:f>
        <x:v>Exact-scene counterfactual globally unseen black-cup state reasoning</x:v>
      </x:c>
      <x:c r="R117" s="10" t="n">
        <x:f>'Evaluation Plan'!R117</x:f>
        <x:v>5</x:v>
      </x:c>
      <x:c r="S117" s="11" t="str">
        <x:f>'Evaluation Plan'!S117</x:f>
        <x:v>Reset the moved black cup to its marked pose; preserve the exact scene and change only the state word in the prompt.</x:v>
      </x:c>
      <x:c r="T117" s="11" t="str">
        <x:f>'Evaluation Plan'!T117</x:f>
        <x:v>Counterfactual C/O pair: both black cups and every distractor are RU; only the queried state word changes the correct black cup.</x:v>
      </x:c>
      <x:c r="U117" s="11" t="n">
        <x:f>'Evaluation Plan'!U117</x:f>
        <x:v>0</x:v>
      </x:c>
    </x:row>
    <x:row r="118" ht="51" customHeight="1">
      <x:c r="A118" s="5" t="s">
        <x:v>181</x:v>
      </x:c>
      <x:c r="B118" s="4" t="n">
        <x:f>'Evaluation Plan'!B118</x:f>
        <x:v>116</x:v>
      </x:c>
      <x:c r="C118" s="5" t="str">
        <x:f>'Evaluation Plan'!C118</x:f>
        <x:v>Place the upside-down black cup in the bowl.</x:v>
      </x:c>
      <x:c r="D118" s="5" t="str">
        <x:f>'Evaluation Plan'!D118</x:f>
        <x:v>black cup A (O, RU); black cup B (O, UD)</x:v>
      </x:c>
      <x:c r="E118" s="4" t="n">
        <x:f>'Evaluation Plan'!E118</x:f>
        <x:v>0</x:v>
      </x:c>
      <x:c r="F118" s="4" t="n">
        <x:f>'Evaluation Plan'!F118</x:f>
        <x:v>78</x:v>
      </x:c>
      <x:c r="G118" s="5" t="str">
        <x:f>'Evaluation Plan'!G118</x:f>
        <x:v>State-word concept reference from training episode 78; black cups are globally unseen. This is an exact-scene state counterfactual pair, not a direct-name manipulation control.</x:v>
      </x:c>
      <x:c r="H118" s="5" t="str">
        <x:f>'Evaluation Plan'!H118</x:f>
        <x:v>black cup B</x:v>
      </x:c>
      <x:c r="I118" s="5"/>
      <x:c r="J118" s="19" t="str">
        <x:f>'Evaluation Plan'!J118</x:f>
        <x:v>Novel-object state reasoning</x:v>
      </x:c>
      <x:c r="K118" s="4" t="str">
        <x:f>'Evaluation Plan'!K118</x:f>
        <x:v>SR-BLACK-CF04</x:v>
      </x:c>
      <x:c r="L118" s="4" t="str">
        <x:f>'Evaluation Plan'!L118</x:f>
        <x:v>UD</x:v>
      </x:c>
      <x:c r="M118" s="4" t="str">
        <x:f>'Evaluation Plan'!M118</x:f>
        <x:v>black cup</x:v>
      </x:c>
      <x:c r="N118" s="4" t="n">
        <x:f>'Evaluation Plan'!N118</x:f>
        <x:v>2</x:v>
      </x:c>
      <x:c r="O118" s="4" t="n">
        <x:f>'Evaluation Plan'!O118</x:f>
        <x:v>1</x:v>
      </x:c>
      <x:c r="P118" s="4" t="str">
        <x:f>'Evaluation Plan'!P118</x:f>
        <x:v>Empty</x:v>
      </x:c>
      <x:c r="Q118" s="5" t="str">
        <x:f>'Evaluation Plan'!Q118</x:f>
        <x:v>Exact-scene counterfactual globally unseen black-cup state reasoning</x:v>
      </x:c>
      <x:c r="R118" s="4" t="n">
        <x:f>'Evaluation Plan'!R118</x:f>
        <x:v>5</x:v>
      </x:c>
      <x:c r="S118" s="5" t="str">
        <x:f>'Evaluation Plan'!S118</x:f>
        <x:v>Build the listed scene with both black cups and an empty bowl.</x:v>
      </x:c>
      <x:c r="T118" s="5" t="str">
        <x:f>'Evaluation Plan'!T118</x:f>
        <x:v>Counterfactual UD/RU pair: both black cups share the orthogonal C/O state (O); only the queried state word changes the correct black cup.</x:v>
      </x:c>
      <x:c r="U118" s="5" t="n">
        <x:f>'Evaluation Plan'!U118</x:f>
        <x:v>0</x:v>
      </x:c>
    </x:row>
    <x:row r="119" ht="51" customHeight="1">
      <x:c r="A119" s="11" t="s">
        <x:v>181</x:v>
      </x:c>
      <x:c r="B119" s="10" t="n">
        <x:f>'Evaluation Plan'!B119</x:f>
        <x:v>117</x:v>
      </x:c>
      <x:c r="C119" s="11" t="str">
        <x:f>'Evaluation Plan'!C119</x:f>
        <x:v>Place the upright black cup in the bowl.</x:v>
      </x:c>
      <x:c r="D119" s="11" t="str">
        <x:f>'Evaluation Plan'!D119</x:f>
        <x:v>black cup A (O, RU); black cup B (O, UD)</x:v>
      </x:c>
      <x:c r="E119" s="10" t="n">
        <x:f>'Evaluation Plan'!E119</x:f>
        <x:v>116</x:v>
      </x:c>
      <x:c r="F119" s="10" t="n">
        <x:f>'Evaluation Plan'!F119</x:f>
        <x:v>26</x:v>
      </x:c>
      <x:c r="G119" s="11" t="str">
        <x:f>'Evaluation Plan'!G119</x:f>
        <x:v>State-word concept reference from training episode 26; black cups are globally unseen. This is an exact-scene state counterfactual pair, not a direct-name manipulation control.</x:v>
      </x:c>
      <x:c r="H119" s="11" t="str">
        <x:f>'Evaluation Plan'!H119</x:f>
        <x:v>black cup A</x:v>
      </x:c>
      <x:c r="I119" s="11"/>
      <x:c r="J119" s="19" t="str">
        <x:f>'Evaluation Plan'!J119</x:f>
        <x:v>Novel-object state reasoning</x:v>
      </x:c>
      <x:c r="K119" s="10" t="str">
        <x:f>'Evaluation Plan'!K119</x:f>
        <x:v>SR-BLACK-CF04</x:v>
      </x:c>
      <x:c r="L119" s="10" t="str">
        <x:f>'Evaluation Plan'!L119</x:f>
        <x:v>RU</x:v>
      </x:c>
      <x:c r="M119" s="10" t="str">
        <x:f>'Evaluation Plan'!M119</x:f>
        <x:v>black cup</x:v>
      </x:c>
      <x:c r="N119" s="10" t="n">
        <x:f>'Evaluation Plan'!N119</x:f>
        <x:v>2</x:v>
      </x:c>
      <x:c r="O119" s="10" t="n">
        <x:f>'Evaluation Plan'!O119</x:f>
        <x:v>1</x:v>
      </x:c>
      <x:c r="P119" s="10" t="str">
        <x:f>'Evaluation Plan'!P119</x:f>
        <x:v>Empty</x:v>
      </x:c>
      <x:c r="Q119" s="11" t="str">
        <x:f>'Evaluation Plan'!Q119</x:f>
        <x:v>Exact-scene counterfactual globally unseen black-cup state reasoning</x:v>
      </x:c>
      <x:c r="R119" s="10" t="n">
        <x:f>'Evaluation Plan'!R119</x:f>
        <x:v>5</x:v>
      </x:c>
      <x:c r="S119" s="11" t="str">
        <x:f>'Evaluation Plan'!S119</x:f>
        <x:v>Reset the moved black cup to its marked pose; preserve the exact scene and change only the state word in the prompt.</x:v>
      </x:c>
      <x:c r="T119" s="11" t="str">
        <x:f>'Evaluation Plan'!T119</x:f>
        <x:v>Counterfactual UD/RU pair: both black cups share the orthogonal C/O state (O); only the queried state word changes the correct black cup.</x:v>
      </x:c>
      <x:c r="U119" s="11" t="n">
        <x:f>'Evaluation Plan'!U119</x:f>
        <x:v>0</x:v>
      </x:c>
    </x:row>
    <x:row r="120" ht="51" customHeight="1">
      <x:c r="A120" s="5" t="s">
        <x:v>181</x:v>
      </x:c>
      <x:c r="B120" s="4" t="n">
        <x:f>'Evaluation Plan'!B120</x:f>
        <x:v>118</x:v>
      </x:c>
      <x:c r="C120" s="5" t="str">
        <x:f>'Evaluation Plan'!C120</x:f>
        <x:v>Place the closed black cup in the bowl.</x:v>
      </x:c>
      <x:c r="D120" s="5" t="str">
        <x:f>'Evaluation Plan'!D120</x:f>
        <x:v>black cup A (C, RU); black cup B (O, RU); white cup A (C, RU)</x:v>
      </x:c>
      <x:c r="E120" s="4" t="n">
        <x:f>'Evaluation Plan'!E120</x:f>
        <x:v>0</x:v>
      </x:c>
      <x:c r="F120" s="4" t="n">
        <x:f>'Evaluation Plan'!F120</x:f>
        <x:v>0</x:v>
      </x:c>
      <x:c r="G120" s="5" t="str">
        <x:f>'Evaluation Plan'!G120</x:f>
        <x:v>State-word concept reference from training episode 0; black cups are globally unseen. This is an exact-scene state counterfactual pair, not a direct-name manipulation control.</x:v>
      </x:c>
      <x:c r="H120" s="5" t="str">
        <x:f>'Evaluation Plan'!H120</x:f>
        <x:v>black cup A</x:v>
      </x:c>
      <x:c r="I120" s="5"/>
      <x:c r="J120" s="19" t="str">
        <x:f>'Evaluation Plan'!J120</x:f>
        <x:v>Novel-object state reasoning</x:v>
      </x:c>
      <x:c r="K120" s="4" t="str">
        <x:f>'Evaluation Plan'!K120</x:f>
        <x:v>SR-BLACK-CF05</x:v>
      </x:c>
      <x:c r="L120" s="4" t="str">
        <x:f>'Evaluation Plan'!L120</x:f>
        <x:v>C</x:v>
      </x:c>
      <x:c r="M120" s="4" t="str">
        <x:f>'Evaluation Plan'!M120</x:f>
        <x:v>black cup</x:v>
      </x:c>
      <x:c r="N120" s="4" t="n">
        <x:f>'Evaluation Plan'!N120</x:f>
        <x:v>3</x:v>
      </x:c>
      <x:c r="O120" s="4" t="n">
        <x:f>'Evaluation Plan'!O120</x:f>
        <x:v>1</x:v>
      </x:c>
      <x:c r="P120" s="4" t="str">
        <x:f>'Evaluation Plan'!P120</x:f>
        <x:v>Empty</x:v>
      </x:c>
      <x:c r="Q120" s="5" t="str">
        <x:f>'Evaluation Plan'!Q120</x:f>
        <x:v>Exact-scene counterfactual globally unseen black-cup state reasoning</x:v>
      </x:c>
      <x:c r="R120" s="4" t="n">
        <x:f>'Evaluation Plan'!R120</x:f>
        <x:v>5</x:v>
      </x:c>
      <x:c r="S120" s="5" t="str">
        <x:f>'Evaluation Plan'!S120</x:f>
        <x:v>Build the listed scene with both black cups and an empty bowl.</x:v>
      </x:c>
      <x:c r="T120" s="5" t="str">
        <x:f>'Evaluation Plan'!T120</x:f>
        <x:v>Counterfactual C/O pair: both black cups and every distractor are RU; only the queried state word changes the correct black cup.</x:v>
      </x:c>
      <x:c r="U120" s="5" t="n">
        <x:f>'Evaluation Plan'!U120</x:f>
        <x:v>0</x:v>
      </x:c>
    </x:row>
    <x:row r="121" ht="51" customHeight="1">
      <x:c r="A121" s="11" t="s">
        <x:v>181</x:v>
      </x:c>
      <x:c r="B121" s="10" t="n">
        <x:f>'Evaluation Plan'!B121</x:f>
        <x:v>119</x:v>
      </x:c>
      <x:c r="C121" s="11" t="str">
        <x:f>'Evaluation Plan'!C121</x:f>
        <x:v>Place the open black cup in the bowl.</x:v>
      </x:c>
      <x:c r="D121" s="11" t="str">
        <x:f>'Evaluation Plan'!D121</x:f>
        <x:v>black cup A (C, RU); black cup B (O, RU); white cup A (C, RU)</x:v>
      </x:c>
      <x:c r="E121" s="10" t="n">
        <x:f>'Evaluation Plan'!E121</x:f>
        <x:v>118</x:v>
      </x:c>
      <x:c r="F121" s="10" t="n">
        <x:f>'Evaluation Plan'!F121</x:f>
        <x:v>101</x:v>
      </x:c>
      <x:c r="G121" s="11" t="str">
        <x:f>'Evaluation Plan'!G121</x:f>
        <x:v>State-word concept reference from training episode 101; black cups are globally unseen. This is an exact-scene state counterfactual pair, not a direct-name manipulation control.</x:v>
      </x:c>
      <x:c r="H121" s="11" t="str">
        <x:f>'Evaluation Plan'!H121</x:f>
        <x:v>black cup B</x:v>
      </x:c>
      <x:c r="I121" s="11"/>
      <x:c r="J121" s="19" t="str">
        <x:f>'Evaluation Plan'!J121</x:f>
        <x:v>Novel-object state reasoning</x:v>
      </x:c>
      <x:c r="K121" s="10" t="str">
        <x:f>'Evaluation Plan'!K121</x:f>
        <x:v>SR-BLACK-CF05</x:v>
      </x:c>
      <x:c r="L121" s="10" t="str">
        <x:f>'Evaluation Plan'!L121</x:f>
        <x:v>O</x:v>
      </x:c>
      <x:c r="M121" s="10" t="str">
        <x:f>'Evaluation Plan'!M121</x:f>
        <x:v>black cup</x:v>
      </x:c>
      <x:c r="N121" s="10" t="n">
        <x:f>'Evaluation Plan'!N121</x:f>
        <x:v>3</x:v>
      </x:c>
      <x:c r="O121" s="10" t="n">
        <x:f>'Evaluation Plan'!O121</x:f>
        <x:v>1</x:v>
      </x:c>
      <x:c r="P121" s="10" t="str">
        <x:f>'Evaluation Plan'!P121</x:f>
        <x:v>Empty</x:v>
      </x:c>
      <x:c r="Q121" s="11" t="str">
        <x:f>'Evaluation Plan'!Q121</x:f>
        <x:v>Exact-scene counterfactual globally unseen black-cup state reasoning</x:v>
      </x:c>
      <x:c r="R121" s="10" t="n">
        <x:f>'Evaluation Plan'!R121</x:f>
        <x:v>5</x:v>
      </x:c>
      <x:c r="S121" s="11" t="str">
        <x:f>'Evaluation Plan'!S121</x:f>
        <x:v>Reset the moved black cup to its marked pose; preserve the exact scene and change only the state word in the prompt.</x:v>
      </x:c>
      <x:c r="T121" s="11" t="str">
        <x:f>'Evaluation Plan'!T121</x:f>
        <x:v>Counterfactual C/O pair: both black cups and every distractor are RU; only the queried state word changes the correct black cup.</x:v>
      </x:c>
      <x:c r="U121" s="11" t="n">
        <x:f>'Evaluation Plan'!U121</x:f>
        <x:v>0</x:v>
      </x:c>
    </x:row>
    <x:row r="122" ht="51" customHeight="1">
      <x:c r="A122" s="5" t="s">
        <x:v>181</x:v>
      </x:c>
      <x:c r="B122" s="4" t="n">
        <x:f>'Evaluation Plan'!B122</x:f>
        <x:v>120</x:v>
      </x:c>
      <x:c r="C122" s="5" t="str">
        <x:f>'Evaluation Plan'!C122</x:f>
        <x:v>Place the upside-down black cup in the bowl.</x:v>
      </x:c>
      <x:c r="D122" s="5" t="str">
        <x:f>'Evaluation Plan'!D122</x:f>
        <x:v>black cup A (C, UD); black cup B (C, RU); yellow-white striped cup B (O, UD); brown cup A (C, RU)</x:v>
      </x:c>
      <x:c r="E122" s="4" t="n">
        <x:f>'Evaluation Plan'!E122</x:f>
        <x:v>0</x:v>
      </x:c>
      <x:c r="F122" s="4" t="n">
        <x:f>'Evaluation Plan'!F122</x:f>
        <x:v>78</x:v>
      </x:c>
      <x:c r="G122" s="5" t="str">
        <x:f>'Evaluation Plan'!G122</x:f>
        <x:v>State-word concept reference from training episode 78; black cups are globally unseen. This is an exact-scene state counterfactual pair, not a direct-name manipulation control.</x:v>
      </x:c>
      <x:c r="H122" s="5" t="str">
        <x:f>'Evaluation Plan'!H122</x:f>
        <x:v>black cup A</x:v>
      </x:c>
      <x:c r="I122" s="5"/>
      <x:c r="J122" s="19" t="str">
        <x:f>'Evaluation Plan'!J122</x:f>
        <x:v>Novel-object state reasoning</x:v>
      </x:c>
      <x:c r="K122" s="4" t="str">
        <x:f>'Evaluation Plan'!K122</x:f>
        <x:v>SR-BLACK-CF06</x:v>
      </x:c>
      <x:c r="L122" s="4" t="str">
        <x:f>'Evaluation Plan'!L122</x:f>
        <x:v>UD</x:v>
      </x:c>
      <x:c r="M122" s="4" t="str">
        <x:f>'Evaluation Plan'!M122</x:f>
        <x:v>black cup</x:v>
      </x:c>
      <x:c r="N122" s="4" t="n">
        <x:f>'Evaluation Plan'!N122</x:f>
        <x:v>4</x:v>
      </x:c>
      <x:c r="O122" s="4" t="n">
        <x:f>'Evaluation Plan'!O122</x:f>
        <x:v>1</x:v>
      </x:c>
      <x:c r="P122" s="4" t="str">
        <x:f>'Evaluation Plan'!P122</x:f>
        <x:v>Empty</x:v>
      </x:c>
      <x:c r="Q122" s="5" t="str">
        <x:f>'Evaluation Plan'!Q122</x:f>
        <x:v>Exact-scene counterfactual globally unseen black-cup state reasoning</x:v>
      </x:c>
      <x:c r="R122" s="4" t="n">
        <x:f>'Evaluation Plan'!R122</x:f>
        <x:v>5</x:v>
      </x:c>
      <x:c r="S122" s="5" t="str">
        <x:f>'Evaluation Plan'!S122</x:f>
        <x:v>Build the listed scene with both black cups and an empty bowl.</x:v>
      </x:c>
      <x:c r="T122" s="5" t="str">
        <x:f>'Evaluation Plan'!T122</x:f>
        <x:v>Counterfactual UD/RU pair: both black cups share the orthogonal C/O state (C); only the queried state word changes the correct black cup.</x:v>
      </x:c>
      <x:c r="U122" s="5" t="n">
        <x:f>'Evaluation Plan'!U122</x:f>
        <x:v>0</x:v>
      </x:c>
    </x:row>
    <x:row r="123" ht="51" customHeight="1">
      <x:c r="A123" s="11" t="s">
        <x:v>181</x:v>
      </x:c>
      <x:c r="B123" s="10" t="n">
        <x:f>'Evaluation Plan'!B123</x:f>
        <x:v>121</x:v>
      </x:c>
      <x:c r="C123" s="11" t="str">
        <x:f>'Evaluation Plan'!C123</x:f>
        <x:v>Place the upright black cup in the bowl.</x:v>
      </x:c>
      <x:c r="D123" s="11" t="str">
        <x:f>'Evaluation Plan'!D123</x:f>
        <x:v>black cup A (C, UD); black cup B (C, RU); yellow-white striped cup B (O, UD); brown cup A (C, RU)</x:v>
      </x:c>
      <x:c r="E123" s="10" t="n">
        <x:f>'Evaluation Plan'!E123</x:f>
        <x:v>120</x:v>
      </x:c>
      <x:c r="F123" s="10" t="n">
        <x:f>'Evaluation Plan'!F123</x:f>
        <x:v>26</x:v>
      </x:c>
      <x:c r="G123" s="11" t="str">
        <x:f>'Evaluation Plan'!G123</x:f>
        <x:v>State-word concept reference from training episode 26; black cups are globally unseen. This is an exact-scene state counterfactual pair, not a direct-name manipulation control.</x:v>
      </x:c>
      <x:c r="H123" s="11" t="str">
        <x:f>'Evaluation Plan'!H123</x:f>
        <x:v>black cup B</x:v>
      </x:c>
      <x:c r="I123" s="11"/>
      <x:c r="J123" s="19" t="str">
        <x:f>'Evaluation Plan'!J123</x:f>
        <x:v>Novel-object state reasoning</x:v>
      </x:c>
      <x:c r="K123" s="10" t="str">
        <x:f>'Evaluation Plan'!K123</x:f>
        <x:v>SR-BLACK-CF06</x:v>
      </x:c>
      <x:c r="L123" s="10" t="str">
        <x:f>'Evaluation Plan'!L123</x:f>
        <x:v>RU</x:v>
      </x:c>
      <x:c r="M123" s="10" t="str">
        <x:f>'Evaluation Plan'!M123</x:f>
        <x:v>black cup</x:v>
      </x:c>
      <x:c r="N123" s="10" t="n">
        <x:f>'Evaluation Plan'!N123</x:f>
        <x:v>4</x:v>
      </x:c>
      <x:c r="O123" s="10" t="n">
        <x:f>'Evaluation Plan'!O123</x:f>
        <x:v>1</x:v>
      </x:c>
      <x:c r="P123" s="10" t="str">
        <x:f>'Evaluation Plan'!P123</x:f>
        <x:v>Empty</x:v>
      </x:c>
      <x:c r="Q123" s="11" t="str">
        <x:f>'Evaluation Plan'!Q123</x:f>
        <x:v>Exact-scene counterfactual globally unseen black-cup state reasoning</x:v>
      </x:c>
      <x:c r="R123" s="10" t="n">
        <x:f>'Evaluation Plan'!R123</x:f>
        <x:v>5</x:v>
      </x:c>
      <x:c r="S123" s="11" t="str">
        <x:f>'Evaluation Plan'!S123</x:f>
        <x:v>Reset the moved black cup to its marked pose; preserve the exact scene and change only the state word in the prompt.</x:v>
      </x:c>
      <x:c r="T123" s="11" t="str">
        <x:f>'Evaluation Plan'!T123</x:f>
        <x:v>Counterfactual UD/RU pair: both black cups share the orthogonal C/O state (C); only the queried state word changes the correct black cup.</x:v>
      </x:c>
      <x:c r="U123" s="11" t="n">
        <x:f>'Evaluation Plan'!U123</x:f>
        <x:v>0</x:v>
      </x:c>
    </x:row>
    <x:row r="124" ht="51" customHeight="1">
      <x:c r="A124" s="5" t="s">
        <x:v>181</x:v>
      </x:c>
      <x:c r="B124" s="4" t="n">
        <x:f>'Evaluation Plan'!B124</x:f>
        <x:v>122</x:v>
      </x:c>
      <x:c r="C124" s="5" t="str">
        <x:f>'Evaluation Plan'!C124</x:f>
        <x:v>Place the closed black cup in the bowl.</x:v>
      </x:c>
      <x:c r="D124" s="5" t="str">
        <x:f>'Evaluation Plan'!D124</x:f>
        <x:v>black cup A (O, RU); black cup B (C, RU)</x:v>
      </x:c>
      <x:c r="E124" s="4" t="n">
        <x:f>'Evaluation Plan'!E124</x:f>
        <x:v>0</x:v>
      </x:c>
      <x:c r="F124" s="4" t="n">
        <x:f>'Evaluation Plan'!F124</x:f>
        <x:v>0</x:v>
      </x:c>
      <x:c r="G124" s="5" t="str">
        <x:f>'Evaluation Plan'!G124</x:f>
        <x:v>State-word concept reference from training episode 0; black cups are globally unseen. This is an exact-scene state counterfactual pair, not a direct-name manipulation control.</x:v>
      </x:c>
      <x:c r="H124" s="5" t="str">
        <x:f>'Evaluation Plan'!H124</x:f>
        <x:v>black cup B</x:v>
      </x:c>
      <x:c r="I124" s="5"/>
      <x:c r="J124" s="19" t="str">
        <x:f>'Evaluation Plan'!J124</x:f>
        <x:v>Novel-object state reasoning</x:v>
      </x:c>
      <x:c r="K124" s="4" t="str">
        <x:f>'Evaluation Plan'!K124</x:f>
        <x:v>SR-BLACK-CF07</x:v>
      </x:c>
      <x:c r="L124" s="4" t="str">
        <x:f>'Evaluation Plan'!L124</x:f>
        <x:v>C</x:v>
      </x:c>
      <x:c r="M124" s="4" t="str">
        <x:f>'Evaluation Plan'!M124</x:f>
        <x:v>black cup</x:v>
      </x:c>
      <x:c r="N124" s="4" t="n">
        <x:f>'Evaluation Plan'!N124</x:f>
        <x:v>2</x:v>
      </x:c>
      <x:c r="O124" s="4" t="n">
        <x:f>'Evaluation Plan'!O124</x:f>
        <x:v>1</x:v>
      </x:c>
      <x:c r="P124" s="4" t="str">
        <x:f>'Evaluation Plan'!P124</x:f>
        <x:v>Empty</x:v>
      </x:c>
      <x:c r="Q124" s="5" t="str">
        <x:f>'Evaluation Plan'!Q124</x:f>
        <x:v>Exact-scene counterfactual globally unseen black-cup state reasoning</x:v>
      </x:c>
      <x:c r="R124" s="4" t="n">
        <x:f>'Evaluation Plan'!R124</x:f>
        <x:v>5</x:v>
      </x:c>
      <x:c r="S124" s="5" t="str">
        <x:f>'Evaluation Plan'!S124</x:f>
        <x:v>Build the listed scene with both black cups and an empty bowl.</x:v>
      </x:c>
      <x:c r="T124" s="5" t="str">
        <x:f>'Evaluation Plan'!T124</x:f>
        <x:v>Counterfactual C/O pair: both black cups and every distractor are RU; only the queried state word changes the correct black cup.</x:v>
      </x:c>
      <x:c r="U124" s="5" t="n">
        <x:f>'Evaluation Plan'!U124</x:f>
        <x:v>0</x:v>
      </x:c>
    </x:row>
    <x:row r="125" ht="51" customHeight="1">
      <x:c r="A125" s="11" t="s">
        <x:v>181</x:v>
      </x:c>
      <x:c r="B125" s="10" t="n">
        <x:f>'Evaluation Plan'!B125</x:f>
        <x:v>123</x:v>
      </x:c>
      <x:c r="C125" s="11" t="str">
        <x:f>'Evaluation Plan'!C125</x:f>
        <x:v>Place the open black cup in the bowl.</x:v>
      </x:c>
      <x:c r="D125" s="11" t="str">
        <x:f>'Evaluation Plan'!D125</x:f>
        <x:v>black cup A (O, RU); black cup B (C, RU)</x:v>
      </x:c>
      <x:c r="E125" s="10" t="n">
        <x:f>'Evaluation Plan'!E125</x:f>
        <x:v>122</x:v>
      </x:c>
      <x:c r="F125" s="10" t="n">
        <x:f>'Evaluation Plan'!F125</x:f>
        <x:v>101</x:v>
      </x:c>
      <x:c r="G125" s="11" t="str">
        <x:f>'Evaluation Plan'!G125</x:f>
        <x:v>State-word concept reference from training episode 101; black cups are globally unseen. This is an exact-scene state counterfactual pair, not a direct-name manipulation control.</x:v>
      </x:c>
      <x:c r="H125" s="11" t="str">
        <x:f>'Evaluation Plan'!H125</x:f>
        <x:v>black cup A</x:v>
      </x:c>
      <x:c r="I125" s="11"/>
      <x:c r="J125" s="19" t="str">
        <x:f>'Evaluation Plan'!J125</x:f>
        <x:v>Novel-object state reasoning</x:v>
      </x:c>
      <x:c r="K125" s="10" t="str">
        <x:f>'Evaluation Plan'!K125</x:f>
        <x:v>SR-BLACK-CF07</x:v>
      </x:c>
      <x:c r="L125" s="10" t="str">
        <x:f>'Evaluation Plan'!L125</x:f>
        <x:v>O</x:v>
      </x:c>
      <x:c r="M125" s="10" t="str">
        <x:f>'Evaluation Plan'!M125</x:f>
        <x:v>black cup</x:v>
      </x:c>
      <x:c r="N125" s="10" t="n">
        <x:f>'Evaluation Plan'!N125</x:f>
        <x:v>2</x:v>
      </x:c>
      <x:c r="O125" s="10" t="n">
        <x:f>'Evaluation Plan'!O125</x:f>
        <x:v>1</x:v>
      </x:c>
      <x:c r="P125" s="10" t="str">
        <x:f>'Evaluation Plan'!P125</x:f>
        <x:v>Empty</x:v>
      </x:c>
      <x:c r="Q125" s="11" t="str">
        <x:f>'Evaluation Plan'!Q125</x:f>
        <x:v>Exact-scene counterfactual globally unseen black-cup state reasoning</x:v>
      </x:c>
      <x:c r="R125" s="10" t="n">
        <x:f>'Evaluation Plan'!R125</x:f>
        <x:v>5</x:v>
      </x:c>
      <x:c r="S125" s="11" t="str">
        <x:f>'Evaluation Plan'!S125</x:f>
        <x:v>Reset the moved black cup to its marked pose; preserve the exact scene and change only the state word in the prompt.</x:v>
      </x:c>
      <x:c r="T125" s="11" t="str">
        <x:f>'Evaluation Plan'!T125</x:f>
        <x:v>Counterfactual C/O pair: both black cups and every distractor are RU; only the queried state word changes the correct black cup.</x:v>
      </x:c>
      <x:c r="U125" s="11" t="n">
        <x:f>'Evaluation Plan'!U125</x:f>
        <x:v>0</x:v>
      </x:c>
    </x:row>
    <x:row r="126" ht="51" customHeight="1">
      <x:c r="A126" s="5" t="s">
        <x:v>181</x:v>
      </x:c>
      <x:c r="B126" s="4" t="n">
        <x:f>'Evaluation Plan'!B126</x:f>
        <x:v>124</x:v>
      </x:c>
      <x:c r="C126" s="5" t="str">
        <x:f>'Evaluation Plan'!C126</x:f>
        <x:v>Place the upside-down black cup in the bowl.</x:v>
      </x:c>
      <x:c r="D126" s="5" t="str">
        <x:f>'Evaluation Plan'!D126</x:f>
        <x:v>black cup A (O, RU); black cup B (O, UD); glass spice container B (O, UD)</x:v>
      </x:c>
      <x:c r="E126" s="4" t="n">
        <x:f>'Evaluation Plan'!E126</x:f>
        <x:v>0</x:v>
      </x:c>
      <x:c r="F126" s="4" t="n">
        <x:f>'Evaluation Plan'!F126</x:f>
        <x:v>78</x:v>
      </x:c>
      <x:c r="G126" s="5" t="str">
        <x:f>'Evaluation Plan'!G126</x:f>
        <x:v>State-word concept reference from training episode 78; black cups are globally unseen. This is an exact-scene state counterfactual pair, not a direct-name manipulation control.</x:v>
      </x:c>
      <x:c r="H126" s="5" t="str">
        <x:f>'Evaluation Plan'!H126</x:f>
        <x:v>black cup B</x:v>
      </x:c>
      <x:c r="I126" s="5"/>
      <x:c r="J126" s="19" t="str">
        <x:f>'Evaluation Plan'!J126</x:f>
        <x:v>Novel-object state reasoning</x:v>
      </x:c>
      <x:c r="K126" s="4" t="str">
        <x:f>'Evaluation Plan'!K126</x:f>
        <x:v>SR-BLACK-CF08</x:v>
      </x:c>
      <x:c r="L126" s="4" t="str">
        <x:f>'Evaluation Plan'!L126</x:f>
        <x:v>UD</x:v>
      </x:c>
      <x:c r="M126" s="4" t="str">
        <x:f>'Evaluation Plan'!M126</x:f>
        <x:v>black cup</x:v>
      </x:c>
      <x:c r="N126" s="4" t="n">
        <x:f>'Evaluation Plan'!N126</x:f>
        <x:v>3</x:v>
      </x:c>
      <x:c r="O126" s="4" t="n">
        <x:f>'Evaluation Plan'!O126</x:f>
        <x:v>1</x:v>
      </x:c>
      <x:c r="P126" s="4" t="str">
        <x:f>'Evaluation Plan'!P126</x:f>
        <x:v>Empty</x:v>
      </x:c>
      <x:c r="Q126" s="5" t="str">
        <x:f>'Evaluation Plan'!Q126</x:f>
        <x:v>Exact-scene counterfactual globally unseen black-cup state reasoning</x:v>
      </x:c>
      <x:c r="R126" s="4" t="n">
        <x:f>'Evaluation Plan'!R126</x:f>
        <x:v>5</x:v>
      </x:c>
      <x:c r="S126" s="5" t="str">
        <x:f>'Evaluation Plan'!S126</x:f>
        <x:v>Build the listed scene with both black cups and an empty bowl.</x:v>
      </x:c>
      <x:c r="T126" s="5" t="str">
        <x:f>'Evaluation Plan'!T126</x:f>
        <x:v>Counterfactual UD/RU pair: both black cups share the orthogonal C/O state (O); only the queried state word changes the correct black cup.</x:v>
      </x:c>
      <x:c r="U126" s="5" t="n">
        <x:f>'Evaluation Plan'!U126</x:f>
        <x:v>0</x:v>
      </x:c>
    </x:row>
    <x:row r="127" ht="51" customHeight="1">
      <x:c r="A127" s="11" t="s">
        <x:v>181</x:v>
      </x:c>
      <x:c r="B127" s="10" t="n">
        <x:f>'Evaluation Plan'!B127</x:f>
        <x:v>125</x:v>
      </x:c>
      <x:c r="C127" s="11" t="str">
        <x:f>'Evaluation Plan'!C127</x:f>
        <x:v>Place the upright black cup in the bowl.</x:v>
      </x:c>
      <x:c r="D127" s="11" t="str">
        <x:f>'Evaluation Plan'!D127</x:f>
        <x:v>black cup A (O, RU); black cup B (O, UD); glass spice container B (O, UD)</x:v>
      </x:c>
      <x:c r="E127" s="10" t="n">
        <x:f>'Evaluation Plan'!E127</x:f>
        <x:v>124</x:v>
      </x:c>
      <x:c r="F127" s="10" t="n">
        <x:f>'Evaluation Plan'!F127</x:f>
        <x:v>26</x:v>
      </x:c>
      <x:c r="G127" s="11" t="str">
        <x:f>'Evaluation Plan'!G127</x:f>
        <x:v>State-word concept reference from training episode 26; black cups are globally unseen. This is an exact-scene state counterfactual pair, not a direct-name manipulation control.</x:v>
      </x:c>
      <x:c r="H127" s="11" t="str">
        <x:f>'Evaluation Plan'!H127</x:f>
        <x:v>black cup A</x:v>
      </x:c>
      <x:c r="I127" s="11"/>
      <x:c r="J127" s="19" t="str">
        <x:f>'Evaluation Plan'!J127</x:f>
        <x:v>Novel-object state reasoning</x:v>
      </x:c>
      <x:c r="K127" s="10" t="str">
        <x:f>'Evaluation Plan'!K127</x:f>
        <x:v>SR-BLACK-CF08</x:v>
      </x:c>
      <x:c r="L127" s="10" t="str">
        <x:f>'Evaluation Plan'!L127</x:f>
        <x:v>RU</x:v>
      </x:c>
      <x:c r="M127" s="10" t="str">
        <x:f>'Evaluation Plan'!M127</x:f>
        <x:v>black cup</x:v>
      </x:c>
      <x:c r="N127" s="10" t="n">
        <x:f>'Evaluation Plan'!N127</x:f>
        <x:v>3</x:v>
      </x:c>
      <x:c r="O127" s="10" t="n">
        <x:f>'Evaluation Plan'!O127</x:f>
        <x:v>1</x:v>
      </x:c>
      <x:c r="P127" s="10" t="str">
        <x:f>'Evaluation Plan'!P127</x:f>
        <x:v>Empty</x:v>
      </x:c>
      <x:c r="Q127" s="11" t="str">
        <x:f>'Evaluation Plan'!Q127</x:f>
        <x:v>Exact-scene counterfactual globally unseen black-cup state reasoning</x:v>
      </x:c>
      <x:c r="R127" s="10" t="n">
        <x:f>'Evaluation Plan'!R127</x:f>
        <x:v>5</x:v>
      </x:c>
      <x:c r="S127" s="11" t="str">
        <x:f>'Evaluation Plan'!S127</x:f>
        <x:v>Reset the moved black cup to its marked pose; preserve the exact scene and change only the state word in the prompt.</x:v>
      </x:c>
      <x:c r="T127" s="11" t="str">
        <x:f>'Evaluation Plan'!T127</x:f>
        <x:v>Counterfactual UD/RU pair: both black cups share the orthogonal C/O state (O); only the queried state word changes the correct black cup.</x:v>
      </x:c>
      <x:c r="U127" s="11" t="n">
        <x:f>'Evaluation Plan'!U127</x:f>
        <x:v>0</x:v>
      </x:c>
    </x:row>
    <x:row r="128" ht="51" customHeight="1">
      <x:c r="A128" s="5" t="s">
        <x:v>181</x:v>
      </x:c>
      <x:c r="B128" s="4" t="n">
        <x:f>'Evaluation Plan'!B128</x:f>
        <x:v>126</x:v>
      </x:c>
      <x:c r="C128" s="5" t="str">
        <x:f>'Evaluation Plan'!C128</x:f>
        <x:v>Place the closed black cup in the bowl.</x:v>
      </x:c>
      <x:c r="D128" s="5" t="str">
        <x:f>'Evaluation Plan'!D128</x:f>
        <x:v>black cup A (C, RU); black cup B (O, RU); white cup A (C, RU); yellow-white striped cup B (O, RU)</x:v>
      </x:c>
      <x:c r="E128" s="4" t="n">
        <x:f>'Evaluation Plan'!E128</x:f>
        <x:v>0</x:v>
      </x:c>
      <x:c r="F128" s="4" t="n">
        <x:f>'Evaluation Plan'!F128</x:f>
        <x:v>0</x:v>
      </x:c>
      <x:c r="G128" s="5" t="str">
        <x:f>'Evaluation Plan'!G128</x:f>
        <x:v>State-word concept reference from training episode 0; black cups are globally unseen. This is an exact-scene state counterfactual pair, not a direct-name manipulation control.</x:v>
      </x:c>
      <x:c r="H128" s="5" t="str">
        <x:f>'Evaluation Plan'!H128</x:f>
        <x:v>black cup A</x:v>
      </x:c>
      <x:c r="I128" s="5"/>
      <x:c r="J128" s="19" t="str">
        <x:f>'Evaluation Plan'!J128</x:f>
        <x:v>Novel-object state reasoning</x:v>
      </x:c>
      <x:c r="K128" s="4" t="str">
        <x:f>'Evaluation Plan'!K128</x:f>
        <x:v>SR-BLACK-CF09</x:v>
      </x:c>
      <x:c r="L128" s="4" t="str">
        <x:f>'Evaluation Plan'!L128</x:f>
        <x:v>C</x:v>
      </x:c>
      <x:c r="M128" s="4" t="str">
        <x:f>'Evaluation Plan'!M128</x:f>
        <x:v>black cup</x:v>
      </x:c>
      <x:c r="N128" s="4" t="n">
        <x:f>'Evaluation Plan'!N128</x:f>
        <x:v>4</x:v>
      </x:c>
      <x:c r="O128" s="4" t="n">
        <x:f>'Evaluation Plan'!O128</x:f>
        <x:v>1</x:v>
      </x:c>
      <x:c r="P128" s="4" t="str">
        <x:f>'Evaluation Plan'!P128</x:f>
        <x:v>Empty</x:v>
      </x:c>
      <x:c r="Q128" s="5" t="str">
        <x:f>'Evaluation Plan'!Q128</x:f>
        <x:v>Exact-scene counterfactual globally unseen black-cup state reasoning</x:v>
      </x:c>
      <x:c r="R128" s="4" t="n">
        <x:f>'Evaluation Plan'!R128</x:f>
        <x:v>5</x:v>
      </x:c>
      <x:c r="S128" s="5" t="str">
        <x:f>'Evaluation Plan'!S128</x:f>
        <x:v>Build the listed scene with both black cups and an empty bowl.</x:v>
      </x:c>
      <x:c r="T128" s="5" t="str">
        <x:f>'Evaluation Plan'!T128</x:f>
        <x:v>Counterfactual C/O pair: both black cups and every distractor are RU; only the queried state word changes the correct black cup.</x:v>
      </x:c>
      <x:c r="U128" s="5" t="n">
        <x:f>'Evaluation Plan'!U128</x:f>
        <x:v>0</x:v>
      </x:c>
    </x:row>
    <x:row r="129" ht="51" customHeight="1">
      <x:c r="A129" s="11" t="s">
        <x:v>181</x:v>
      </x:c>
      <x:c r="B129" s="10" t="n">
        <x:f>'Evaluation Plan'!B129</x:f>
        <x:v>127</x:v>
      </x:c>
      <x:c r="C129" s="11" t="str">
        <x:f>'Evaluation Plan'!C129</x:f>
        <x:v>Place the open black cup in the bowl.</x:v>
      </x:c>
      <x:c r="D129" s="11" t="str">
        <x:f>'Evaluation Plan'!D129</x:f>
        <x:v>black cup A (C, RU); black cup B (O, RU); white cup A (C, RU); yellow-white striped cup B (O, RU)</x:v>
      </x:c>
      <x:c r="E129" s="10" t="n">
        <x:f>'Evaluation Plan'!E129</x:f>
        <x:v>126</x:v>
      </x:c>
      <x:c r="F129" s="10" t="n">
        <x:f>'Evaluation Plan'!F129</x:f>
        <x:v>101</x:v>
      </x:c>
      <x:c r="G129" s="11" t="str">
        <x:f>'Evaluation Plan'!G129</x:f>
        <x:v>State-word concept reference from training episode 101; black cups are globally unseen. This is an exact-scene state counterfactual pair, not a direct-name manipulation control.</x:v>
      </x:c>
      <x:c r="H129" s="11" t="str">
        <x:f>'Evaluation Plan'!H129</x:f>
        <x:v>black cup B</x:v>
      </x:c>
      <x:c r="I129" s="11"/>
      <x:c r="J129" s="19" t="str">
        <x:f>'Evaluation Plan'!J129</x:f>
        <x:v>Novel-object state reasoning</x:v>
      </x:c>
      <x:c r="K129" s="10" t="str">
        <x:f>'Evaluation Plan'!K129</x:f>
        <x:v>SR-BLACK-CF09</x:v>
      </x:c>
      <x:c r="L129" s="10" t="str">
        <x:f>'Evaluation Plan'!L129</x:f>
        <x:v>O</x:v>
      </x:c>
      <x:c r="M129" s="10" t="str">
        <x:f>'Evaluation Plan'!M129</x:f>
        <x:v>black cup</x:v>
      </x:c>
      <x:c r="N129" s="10" t="n">
        <x:f>'Evaluation Plan'!N129</x:f>
        <x:v>4</x:v>
      </x:c>
      <x:c r="O129" s="10" t="n">
        <x:f>'Evaluation Plan'!O129</x:f>
        <x:v>1</x:v>
      </x:c>
      <x:c r="P129" s="10" t="str">
        <x:f>'Evaluation Plan'!P129</x:f>
        <x:v>Empty</x:v>
      </x:c>
      <x:c r="Q129" s="11" t="str">
        <x:f>'Evaluation Plan'!Q129</x:f>
        <x:v>Exact-scene counterfactual globally unseen black-cup state reasoning</x:v>
      </x:c>
      <x:c r="R129" s="10" t="n">
        <x:f>'Evaluation Plan'!R129</x:f>
        <x:v>5</x:v>
      </x:c>
      <x:c r="S129" s="11" t="str">
        <x:f>'Evaluation Plan'!S129</x:f>
        <x:v>Reset the moved black cup to its marked pose; preserve the exact scene and change only the state word in the prompt.</x:v>
      </x:c>
      <x:c r="T129" s="11" t="str">
        <x:f>'Evaluation Plan'!T129</x:f>
        <x:v>Counterfactual C/O pair: both black cups and every distractor are RU; only the queried state word changes the correct black cup.</x:v>
      </x:c>
      <x:c r="U129" s="11" t="n">
        <x:f>'Evaluation Plan'!U129</x:f>
        <x:v>0</x:v>
      </x:c>
    </x:row>
    <x:row r="130" ht="51" customHeight="1">
      <x:c r="A130" s="5" t="s">
        <x:v>181</x:v>
      </x:c>
      <x:c r="B130" s="4" t="n">
        <x:f>'Evaluation Plan'!B130</x:f>
        <x:v>128</x:v>
      </x:c>
      <x:c r="C130" s="5" t="str">
        <x:f>'Evaluation Plan'!C130</x:f>
        <x:v>Place the upside-down black cup in the bowl.</x:v>
      </x:c>
      <x:c r="D130" s="5" t="str">
        <x:f>'Evaluation Plan'!D130</x:f>
        <x:v>black cup A (C, UD); black cup B (C, RU); yellow-white striped cup B (O, UD)</x:v>
      </x:c>
      <x:c r="E130" s="4" t="n">
        <x:f>'Evaluation Plan'!E130</x:f>
        <x:v>0</x:v>
      </x:c>
      <x:c r="F130" s="4" t="n">
        <x:f>'Evaluation Plan'!F130</x:f>
        <x:v>78</x:v>
      </x:c>
      <x:c r="G130" s="5" t="str">
        <x:f>'Evaluation Plan'!G130</x:f>
        <x:v>State-word concept reference from training episode 78; black cups are globally unseen. This is an exact-scene state counterfactual pair, not a direct-name manipulation control.</x:v>
      </x:c>
      <x:c r="H130" s="5" t="str">
        <x:f>'Evaluation Plan'!H130</x:f>
        <x:v>black cup A</x:v>
      </x:c>
      <x:c r="I130" s="5"/>
      <x:c r="J130" s="19" t="str">
        <x:f>'Evaluation Plan'!J130</x:f>
        <x:v>Novel-object state reasoning</x:v>
      </x:c>
      <x:c r="K130" s="4" t="str">
        <x:f>'Evaluation Plan'!K130</x:f>
        <x:v>SR-BLACK-CF10</x:v>
      </x:c>
      <x:c r="L130" s="4" t="str">
        <x:f>'Evaluation Plan'!L130</x:f>
        <x:v>UD</x:v>
      </x:c>
      <x:c r="M130" s="4" t="str">
        <x:f>'Evaluation Plan'!M130</x:f>
        <x:v>black cup</x:v>
      </x:c>
      <x:c r="N130" s="4" t="n">
        <x:f>'Evaluation Plan'!N130</x:f>
        <x:v>3</x:v>
      </x:c>
      <x:c r="O130" s="4" t="n">
        <x:f>'Evaluation Plan'!O130</x:f>
        <x:v>1</x:v>
      </x:c>
      <x:c r="P130" s="4" t="str">
        <x:f>'Evaluation Plan'!P130</x:f>
        <x:v>Empty</x:v>
      </x:c>
      <x:c r="Q130" s="5" t="str">
        <x:f>'Evaluation Plan'!Q130</x:f>
        <x:v>Exact-scene counterfactual globally unseen black-cup state reasoning</x:v>
      </x:c>
      <x:c r="R130" s="4" t="n">
        <x:f>'Evaluation Plan'!R130</x:f>
        <x:v>5</x:v>
      </x:c>
      <x:c r="S130" s="5" t="str">
        <x:f>'Evaluation Plan'!S130</x:f>
        <x:v>Build the listed scene with both black cups and an empty bowl.</x:v>
      </x:c>
      <x:c r="T130" s="5" t="str">
        <x:f>'Evaluation Plan'!T130</x:f>
        <x:v>Counterfactual UD/RU pair: both black cups share the orthogonal C/O state (C); only the queried state word changes the correct black cup.</x:v>
      </x:c>
      <x:c r="U130" s="5" t="n">
        <x:f>'Evaluation Plan'!U130</x:f>
        <x:v>0</x:v>
      </x:c>
    </x:row>
    <x:row r="131" ht="51" customHeight="1">
      <x:c r="A131" s="11" t="s">
        <x:v>181</x:v>
      </x:c>
      <x:c r="B131" s="10" t="n">
        <x:f>'Evaluation Plan'!B131</x:f>
        <x:v>129</x:v>
      </x:c>
      <x:c r="C131" s="11" t="str">
        <x:f>'Evaluation Plan'!C131</x:f>
        <x:v>Place the upright black cup in the bowl.</x:v>
      </x:c>
      <x:c r="D131" s="11" t="str">
        <x:f>'Evaluation Plan'!D131</x:f>
        <x:v>black cup A (C, UD); black cup B (C, RU); yellow-white striped cup B (O, UD)</x:v>
      </x:c>
      <x:c r="E131" s="10" t="n">
        <x:f>'Evaluation Plan'!E131</x:f>
        <x:v>128</x:v>
      </x:c>
      <x:c r="F131" s="10" t="n">
        <x:f>'Evaluation Plan'!F131</x:f>
        <x:v>26</x:v>
      </x:c>
      <x:c r="G131" s="11" t="str">
        <x:f>'Evaluation Plan'!G131</x:f>
        <x:v>State-word concept reference from training episode 26; black cups are globally unseen. This is an exact-scene state counterfactual pair, not a direct-name manipulation control.</x:v>
      </x:c>
      <x:c r="H131" s="11" t="str">
        <x:f>'Evaluation Plan'!H131</x:f>
        <x:v>black cup B</x:v>
      </x:c>
      <x:c r="I131" s="11"/>
      <x:c r="J131" s="19" t="str">
        <x:f>'Evaluation Plan'!J131</x:f>
        <x:v>Novel-object state reasoning</x:v>
      </x:c>
      <x:c r="K131" s="10" t="str">
        <x:f>'Evaluation Plan'!K131</x:f>
        <x:v>SR-BLACK-CF10</x:v>
      </x:c>
      <x:c r="L131" s="10" t="str">
        <x:f>'Evaluation Plan'!L131</x:f>
        <x:v>RU</x:v>
      </x:c>
      <x:c r="M131" s="10" t="str">
        <x:f>'Evaluation Plan'!M131</x:f>
        <x:v>black cup</x:v>
      </x:c>
      <x:c r="N131" s="10" t="n">
        <x:f>'Evaluation Plan'!N131</x:f>
        <x:v>3</x:v>
      </x:c>
      <x:c r="O131" s="10" t="n">
        <x:f>'Evaluation Plan'!O131</x:f>
        <x:v>1</x:v>
      </x:c>
      <x:c r="P131" s="10" t="str">
        <x:f>'Evaluation Plan'!P131</x:f>
        <x:v>Empty</x:v>
      </x:c>
      <x:c r="Q131" s="11" t="str">
        <x:f>'Evaluation Plan'!Q131</x:f>
        <x:v>Exact-scene counterfactual globally unseen black-cup state reasoning</x:v>
      </x:c>
      <x:c r="R131" s="10" t="n">
        <x:f>'Evaluation Plan'!R131</x:f>
        <x:v>5</x:v>
      </x:c>
      <x:c r="S131" s="11" t="str">
        <x:f>'Evaluation Plan'!S131</x:f>
        <x:v>Reset the moved black cup to its marked pose; preserve the exact scene and change only the state word in the prompt.</x:v>
      </x:c>
      <x:c r="T131" s="11" t="str">
        <x:f>'Evaluation Plan'!T131</x:f>
        <x:v>Counterfactual UD/RU pair: both black cups share the orthogonal C/O state (C); only the queried state word changes the correct black cup.</x:v>
      </x:c>
      <x:c r="U131" s="11" t="n">
        <x:f>'Evaluation Plan'!U131</x:f>
        <x:v>0</x:v>
      </x:c>
    </x:row>
    <x:row r="132" ht="51" customHeight="1">
      <x:c r="A132" s="5" t="s">
        <x:v>181</x:v>
      </x:c>
      <x:c r="B132" s="4" t="n">
        <x:f>'Evaluation Plan'!B132</x:f>
        <x:v>130</x:v>
      </x:c>
      <x:c r="C132" s="5" t="str">
        <x:f>'Evaluation Plan'!C132</x:f>
        <x:v>Place the closed white cup in the bowl.</x:v>
      </x:c>
      <x:c r="D132" s="5" t="str">
        <x:f>'Evaluation Plan'!D132</x:f>
        <x:v>white cup A (O, RU); white cup B (O, RU)</x:v>
      </x:c>
      <x:c r="E132" s="4" t="n">
        <x:f>'Evaluation Plan'!E132</x:f>
        <x:v>0</x:v>
      </x:c>
      <x:c r="F132" s="4" t="str">
        <x:f>'Evaluation Plan'!F132</x:f>
        <x:v>0</x:v>
      </x:c>
      <x:c r="G132" s="5" t="str">
        <x:f>'Evaluation Plan'!G132</x:f>
        <x:v>The state-object concept is explicitly trained, but training does not contain a no-satisfying-target abstention trajectory. All objects are upright, matching the context of every explicit open/closed training demonstration.</x:v>
      </x:c>
      <x:c r="H132" s="5" t="str">
        <x:f>'Evaluation Plan'!H132</x:f>
        <x:v>NO-OP; no object has state C, so nothing should be picked up</x:v>
      </x:c>
      <x:c r="I132" s="5"/>
      <x:c r="J132" s="7" t="str">
        <x:f>'Evaluation Plan'!J132</x:f>
        <x:v>No valid target / no movement</x:v>
      </x:c>
      <x:c r="K132" s="4" t="str">
        <x:f>'Evaluation Plan'!K132</x:f>
        <x:v>SR-NOOP01</x:v>
      </x:c>
      <x:c r="L132" s="4" t="str">
        <x:f>'Evaluation Plan'!L132</x:f>
        <x:v>C</x:v>
      </x:c>
      <x:c r="M132" s="4" t="str">
        <x:f>'Evaluation Plan'!M132</x:f>
        <x:v>white cup</x:v>
      </x:c>
      <x:c r="N132" s="4" t="n">
        <x:f>'Evaluation Plan'!N132</x:f>
        <x:v>2</x:v>
      </x:c>
      <x:c r="O132" s="4" t="n">
        <x:f>'Evaluation Plan'!O132</x:f>
        <x:v>0</x:v>
      </x:c>
      <x:c r="P132" s="4" t="str">
        <x:f>'Evaluation Plan'!P132</x:f>
        <x:v>Empty</x:v>
      </x:c>
      <x:c r="Q132" s="5" t="str">
        <x:f>'Evaluation Plan'!Q132</x:f>
        <x:v>No satisfying state present; bowl remains empty</x:v>
      </x:c>
      <x:c r="R132" s="4" t="n">
        <x:f>'Evaluation Plan'!R132</x:f>
        <x:v>6</x:v>
      </x:c>
      <x:c r="S132" s="5" t="str">
        <x:f>'Evaluation Plan'!S132</x:f>
        <x:v>Build the listed no-match scene and confirm the bowl is empty.</x:v>
      </x:c>
      <x:c r="T132" s="5" t="str">
        <x:f>'Evaluation Plan'!T132</x:f>
        <x:v>No object in the entire scene has the queried state. The prompt uses the same canonical frame as active trials, and the queried state-object cell is training-supported. The orthogonal orientation axis is fixed: every object is RU.</x:v>
      </x:c>
      <x:c r="U132" s="5" t="n">
        <x:f>'Evaluation Plan'!U132</x:f>
        <x:v>0</x:v>
      </x:c>
    </x:row>
    <x:row r="133" ht="51" customHeight="1">
      <x:c r="A133" s="11" t="s">
        <x:v>181</x:v>
      </x:c>
      <x:c r="B133" s="10" t="n">
        <x:f>'Evaluation Plan'!B133</x:f>
        <x:v>131</x:v>
      </x:c>
      <x:c r="C133" s="11" t="str">
        <x:f>'Evaluation Plan'!C133</x:f>
        <x:v>Place the upside-down yellow-white striped cup in the bowl.</x:v>
      </x:c>
      <x:c r="D133" s="11" t="str">
        <x:f>'Evaluation Plan'!D133</x:f>
        <x:v>yellow-white striped cup A (C, RU); yellow-white striped cup B (C, RU); brown cup B (O, RU)</x:v>
      </x:c>
      <x:c r="E133" s="10" t="n">
        <x:f>'Evaluation Plan'!E133</x:f>
        <x:v>0</x:v>
      </x:c>
      <x:c r="F133" s="10" t="str">
        <x:f>'Evaluation Plan'!F133</x:f>
        <x:v>78</x:v>
      </x:c>
      <x:c r="G133" s="11" t="str">
        <x:f>'Evaluation Plan'!G133</x:f>
        <x:v>The state-object concept is explicitly trained, but training does not contain a no-satisfying-target abstention trajectory.</x:v>
      </x:c>
      <x:c r="H133" s="11" t="str">
        <x:f>'Evaluation Plan'!H133</x:f>
        <x:v>NO-OP; no object has state UD, so nothing should be picked up</x:v>
      </x:c>
      <x:c r="I133" s="11"/>
      <x:c r="J133" s="7" t="str">
        <x:f>'Evaluation Plan'!J133</x:f>
        <x:v>No valid target / no movement</x:v>
      </x:c>
      <x:c r="K133" s="10" t="str">
        <x:f>'Evaluation Plan'!K133</x:f>
        <x:v>SR-NOOP02</x:v>
      </x:c>
      <x:c r="L133" s="10" t="str">
        <x:f>'Evaluation Plan'!L133</x:f>
        <x:v>UD</x:v>
      </x:c>
      <x:c r="M133" s="10" t="str">
        <x:f>'Evaluation Plan'!M133</x:f>
        <x:v>yellow-white striped cup</x:v>
      </x:c>
      <x:c r="N133" s="10" t="n">
        <x:f>'Evaluation Plan'!N133</x:f>
        <x:v>3</x:v>
      </x:c>
      <x:c r="O133" s="10" t="n">
        <x:f>'Evaluation Plan'!O133</x:f>
        <x:v>0</x:v>
      </x:c>
      <x:c r="P133" s="10" t="str">
        <x:f>'Evaluation Plan'!P133</x:f>
        <x:v>Empty</x:v>
      </x:c>
      <x:c r="Q133" s="11" t="str">
        <x:f>'Evaluation Plan'!Q133</x:f>
        <x:v>No satisfying state present; bowl remains empty</x:v>
      </x:c>
      <x:c r="R133" s="10" t="n">
        <x:f>'Evaluation Plan'!R133</x:f>
        <x:v>6</x:v>
      </x:c>
      <x:c r="S133" s="11" t="str">
        <x:f>'Evaluation Plan'!S133</x:f>
        <x:v>Build the listed no-match scene and confirm the bowl is empty.</x:v>
      </x:c>
      <x:c r="T133" s="11" t="str">
        <x:f>'Evaluation Plan'!T133</x:f>
        <x:v>No object in the entire scene has the queried state. The prompt uses the same canonical frame as active trials, and the queried state-object cell is training-supported. The same-category candidates share the orthogonal C/O state (C).</x:v>
      </x:c>
      <x:c r="U133" s="11" t="n">
        <x:f>'Evaluation Plan'!U133</x:f>
        <x:v>0</x:v>
      </x:c>
    </x:row>
    <x:row r="134" ht="51" customHeight="1">
      <x:c r="A134" s="5" t="s">
        <x:v>181</x:v>
      </x:c>
      <x:c r="B134" s="4" t="n">
        <x:f>'Evaluation Plan'!B134</x:f>
        <x:v>132</x:v>
      </x:c>
      <x:c r="C134" s="5" t="str">
        <x:f>'Evaluation Plan'!C134</x:f>
        <x:v>Place the open brown cup in the bowl.</x:v>
      </x:c>
      <x:c r="D134" s="5" t="str">
        <x:f>'Evaluation Plan'!D134</x:f>
        <x:v>brown cup A (C, RU); brown cup B (C, RU); glass spice container A (C, RU); white cup B (C, RU)</x:v>
      </x:c>
      <x:c r="E134" s="4" t="n">
        <x:f>'Evaluation Plan'!E134</x:f>
        <x:v>0</x:v>
      </x:c>
      <x:c r="F134" s="4" t="str">
        <x:f>'Evaluation Plan'!F134</x:f>
        <x:v>101</x:v>
      </x:c>
      <x:c r="G134" s="5" t="str">
        <x:f>'Evaluation Plan'!G134</x:f>
        <x:v>The state-object concept is explicitly trained, but training does not contain a no-satisfying-target abstention trajectory. All objects are upright, matching the context of every explicit open/closed training demonstration.</x:v>
      </x:c>
      <x:c r="H134" s="5" t="str">
        <x:f>'Evaluation Plan'!H134</x:f>
        <x:v>NO-OP; no object has state O, so nothing should be picked up</x:v>
      </x:c>
      <x:c r="I134" s="5"/>
      <x:c r="J134" s="7" t="str">
        <x:f>'Evaluation Plan'!J134</x:f>
        <x:v>No valid target / no movement</x:v>
      </x:c>
      <x:c r="K134" s="4" t="str">
        <x:f>'Evaluation Plan'!K134</x:f>
        <x:v>SR-NOOP03</x:v>
      </x:c>
      <x:c r="L134" s="4" t="str">
        <x:f>'Evaluation Plan'!L134</x:f>
        <x:v>O</x:v>
      </x:c>
      <x:c r="M134" s="4" t="str">
        <x:f>'Evaluation Plan'!M134</x:f>
        <x:v>brown cup</x:v>
      </x:c>
      <x:c r="N134" s="4" t="n">
        <x:f>'Evaluation Plan'!N134</x:f>
        <x:v>4</x:v>
      </x:c>
      <x:c r="O134" s="4" t="n">
        <x:f>'Evaluation Plan'!O134</x:f>
        <x:v>0</x:v>
      </x:c>
      <x:c r="P134" s="4" t="str">
        <x:f>'Evaluation Plan'!P134</x:f>
        <x:v>Empty</x:v>
      </x:c>
      <x:c r="Q134" s="5" t="str">
        <x:f>'Evaluation Plan'!Q134</x:f>
        <x:v>No satisfying state present; bowl remains empty</x:v>
      </x:c>
      <x:c r="R134" s="4" t="n">
        <x:f>'Evaluation Plan'!R134</x:f>
        <x:v>6</x:v>
      </x:c>
      <x:c r="S134" s="5" t="str">
        <x:f>'Evaluation Plan'!S134</x:f>
        <x:v>Build the listed no-match scene and confirm the bowl is empty.</x:v>
      </x:c>
      <x:c r="T134" s="5" t="str">
        <x:f>'Evaluation Plan'!T134</x:f>
        <x:v>No object in the entire scene has the queried state. The prompt uses the same canonical frame as active trials, and the queried state-object cell is training-supported. The orthogonal orientation axis is fixed: every object is RU.</x:v>
      </x:c>
      <x:c r="U134" s="5" t="n">
        <x:f>'Evaluation Plan'!U134</x:f>
        <x:v>0</x:v>
      </x:c>
    </x:row>
    <x:row r="135" ht="51" customHeight="1">
      <x:c r="A135" s="11" t="s">
        <x:v>181</x:v>
      </x:c>
      <x:c r="B135" s="10" t="n">
        <x:f>'Evaluation Plan'!B135</x:f>
        <x:v>133</x:v>
      </x:c>
      <x:c r="C135" s="11" t="str">
        <x:f>'Evaluation Plan'!C135</x:f>
        <x:v>Place the closed glass spice container in the bowl.</x:v>
      </x:c>
      <x:c r="D135" s="11" t="str">
        <x:f>'Evaluation Plan'!D135</x:f>
        <x:v>glass spice container A (O, RU); glass spice container B (O, RU)</x:v>
      </x:c>
      <x:c r="E135" s="10" t="n">
        <x:f>'Evaluation Plan'!E135</x:f>
        <x:v>0</x:v>
      </x:c>
      <x:c r="F135" s="10" t="str">
        <x:f>'Evaluation Plan'!F135</x:f>
        <x:v>151</x:v>
      </x:c>
      <x:c r="G135" s="11" t="str">
        <x:f>'Evaluation Plan'!G135</x:f>
        <x:v>The state-object concept is explicitly trained, but training does not contain a no-satisfying-target abstention trajectory. All objects are upright, matching the context of every explicit open/closed training demonstration.</x:v>
      </x:c>
      <x:c r="H135" s="11" t="str">
        <x:f>'Evaluation Plan'!H135</x:f>
        <x:v>NO-OP; no object has state C, so nothing should be picked up</x:v>
      </x:c>
      <x:c r="I135" s="11"/>
      <x:c r="J135" s="7" t="str">
        <x:f>'Evaluation Plan'!J135</x:f>
        <x:v>No valid target / no movement</x:v>
      </x:c>
      <x:c r="K135" s="10" t="str">
        <x:f>'Evaluation Plan'!K135</x:f>
        <x:v>SR-NOOP04</x:v>
      </x:c>
      <x:c r="L135" s="10" t="str">
        <x:f>'Evaluation Plan'!L135</x:f>
        <x:v>C</x:v>
      </x:c>
      <x:c r="M135" s="10" t="str">
        <x:f>'Evaluation Plan'!M135</x:f>
        <x:v>glass spice container</x:v>
      </x:c>
      <x:c r="N135" s="10" t="n">
        <x:f>'Evaluation Plan'!N135</x:f>
        <x:v>2</x:v>
      </x:c>
      <x:c r="O135" s="10" t="n">
        <x:f>'Evaluation Plan'!O135</x:f>
        <x:v>0</x:v>
      </x:c>
      <x:c r="P135" s="10" t="str">
        <x:f>'Evaluation Plan'!P135</x:f>
        <x:v>Empty</x:v>
      </x:c>
      <x:c r="Q135" s="11" t="str">
        <x:f>'Evaluation Plan'!Q135</x:f>
        <x:v>No satisfying state present; bowl remains empty</x:v>
      </x:c>
      <x:c r="R135" s="10" t="n">
        <x:f>'Evaluation Plan'!R135</x:f>
        <x:v>6</x:v>
      </x:c>
      <x:c r="S135" s="11" t="str">
        <x:f>'Evaluation Plan'!S135</x:f>
        <x:v>Build the listed no-match scene and confirm the bowl is empty.</x:v>
      </x:c>
      <x:c r="T135" s="11" t="str">
        <x:f>'Evaluation Plan'!T135</x:f>
        <x:v>No object in the entire scene has the queried state. The prompt uses the same canonical frame as active trials, and the queried state-object cell is training-supported. The orthogonal orientation axis is fixed: every object is RU.</x:v>
      </x:c>
      <x:c r="U135" s="11" t="n">
        <x:f>'Evaluation Plan'!U135</x:f>
        <x:v>0</x:v>
      </x:c>
    </x:row>
    <x:row r="136" ht="51" customHeight="1">
      <x:c r="A136" s="5" t="s">
        <x:v>181</x:v>
      </x:c>
      <x:c r="B136" s="4" t="n">
        <x:f>'Evaluation Plan'!B136</x:f>
        <x:v>134</x:v>
      </x:c>
      <x:c r="C136" s="5" t="str">
        <x:f>'Evaluation Plan'!C136</x:f>
        <x:v>Place the open white cup in the bowl.</x:v>
      </x:c>
      <x:c r="D136" s="5" t="str">
        <x:f>'Evaluation Plan'!D136</x:f>
        <x:v>white cup A (C, RU); white cup B (C, RU); glass spice container B (C, RU)</x:v>
      </x:c>
      <x:c r="E136" s="4" t="n">
        <x:f>'Evaluation Plan'!E136</x:f>
        <x:v>0</x:v>
      </x:c>
      <x:c r="F136" s="4" t="str">
        <x:f>'Evaluation Plan'!F136</x:f>
        <x:v>1</x:v>
      </x:c>
      <x:c r="G136" s="5" t="str">
        <x:f>'Evaluation Plan'!G136</x:f>
        <x:v>The state-object concept is explicitly trained, but training does not contain a no-satisfying-target abstention trajectory. All objects are upright, matching the context of every explicit open/closed training demonstration.</x:v>
      </x:c>
      <x:c r="H136" s="5" t="str">
        <x:f>'Evaluation Plan'!H136</x:f>
        <x:v>NO-OP; no object has state O, so nothing should be picked up</x:v>
      </x:c>
      <x:c r="I136" s="5"/>
      <x:c r="J136" s="7" t="str">
        <x:f>'Evaluation Plan'!J136</x:f>
        <x:v>No valid target / no movement</x:v>
      </x:c>
      <x:c r="K136" s="4" t="str">
        <x:f>'Evaluation Plan'!K136</x:f>
        <x:v>SR-NOOP05</x:v>
      </x:c>
      <x:c r="L136" s="4" t="str">
        <x:f>'Evaluation Plan'!L136</x:f>
        <x:v>O</x:v>
      </x:c>
      <x:c r="M136" s="4" t="str">
        <x:f>'Evaluation Plan'!M136</x:f>
        <x:v>white cup</x:v>
      </x:c>
      <x:c r="N136" s="4" t="n">
        <x:f>'Evaluation Plan'!N136</x:f>
        <x:v>3</x:v>
      </x:c>
      <x:c r="O136" s="4" t="n">
        <x:f>'Evaluation Plan'!O136</x:f>
        <x:v>0</x:v>
      </x:c>
      <x:c r="P136" s="4" t="str">
        <x:f>'Evaluation Plan'!P136</x:f>
        <x:v>Empty</x:v>
      </x:c>
      <x:c r="Q136" s="5" t="str">
        <x:f>'Evaluation Plan'!Q136</x:f>
        <x:v>No satisfying state present; bowl remains empty</x:v>
      </x:c>
      <x:c r="R136" s="4" t="n">
        <x:f>'Evaluation Plan'!R136</x:f>
        <x:v>6</x:v>
      </x:c>
      <x:c r="S136" s="5" t="str">
        <x:f>'Evaluation Plan'!S136</x:f>
        <x:v>Build the listed no-match scene and confirm the bowl is empty.</x:v>
      </x:c>
      <x:c r="T136" s="5" t="str">
        <x:f>'Evaluation Plan'!T136</x:f>
        <x:v>No object in the entire scene has the queried state. The prompt uses the same canonical frame as active trials, and the queried state-object cell is training-supported. The orthogonal orientation axis is fixed: every object is RU.</x:v>
      </x:c>
      <x:c r="U136" s="5" t="n">
        <x:f>'Evaluation Plan'!U136</x:f>
        <x:v>0</x:v>
      </x:c>
    </x:row>
    <x:row r="137" ht="51" customHeight="1">
      <x:c r="A137" s="11" t="s">
        <x:v>181</x:v>
      </x:c>
      <x:c r="B137" s="10" t="n">
        <x:f>'Evaluation Plan'!B137</x:f>
        <x:v>135</x:v>
      </x:c>
      <x:c r="C137" s="11" t="str">
        <x:f>'Evaluation Plan'!C137</x:f>
        <x:v>Place the upright yellow-white striped cup in the bowl.</x:v>
      </x:c>
      <x:c r="D137" s="11" t="str">
        <x:f>'Evaluation Plan'!D137</x:f>
        <x:v>yellow-white striped cup A (O, UD); yellow-white striped cup B (O, UD); white cup A (C, UD); brown cup B (O, UD)</x:v>
      </x:c>
      <x:c r="E137" s="10" t="n">
        <x:f>'Evaluation Plan'!E137</x:f>
        <x:v>0</x:v>
      </x:c>
      <x:c r="F137" s="10" t="str">
        <x:f>'Evaluation Plan'!F137</x:f>
        <x:v>75</x:v>
      </x:c>
      <x:c r="G137" s="11" t="str">
        <x:f>'Evaluation Plan'!G137</x:f>
        <x:v>The state-object concept is explicitly trained, but training does not contain a no-satisfying-target abstention trajectory.</x:v>
      </x:c>
      <x:c r="H137" s="11" t="str">
        <x:f>'Evaluation Plan'!H137</x:f>
        <x:v>NO-OP; no object has state RU, so nothing should be picked up</x:v>
      </x:c>
      <x:c r="I137" s="11"/>
      <x:c r="J137" s="7" t="str">
        <x:f>'Evaluation Plan'!J137</x:f>
        <x:v>No valid target / no movement</x:v>
      </x:c>
      <x:c r="K137" s="10" t="str">
        <x:f>'Evaluation Plan'!K137</x:f>
        <x:v>SR-NOOP06</x:v>
      </x:c>
      <x:c r="L137" s="10" t="str">
        <x:f>'Evaluation Plan'!L137</x:f>
        <x:v>RU</x:v>
      </x:c>
      <x:c r="M137" s="10" t="str">
        <x:f>'Evaluation Plan'!M137</x:f>
        <x:v>yellow-white striped cup</x:v>
      </x:c>
      <x:c r="N137" s="10" t="n">
        <x:f>'Evaluation Plan'!N137</x:f>
        <x:v>4</x:v>
      </x:c>
      <x:c r="O137" s="10" t="n">
        <x:f>'Evaluation Plan'!O137</x:f>
        <x:v>0</x:v>
      </x:c>
      <x:c r="P137" s="10" t="str">
        <x:f>'Evaluation Plan'!P137</x:f>
        <x:v>Empty</x:v>
      </x:c>
      <x:c r="Q137" s="11" t="str">
        <x:f>'Evaluation Plan'!Q137</x:f>
        <x:v>No satisfying state present; bowl remains empty</x:v>
      </x:c>
      <x:c r="R137" s="10" t="n">
        <x:f>'Evaluation Plan'!R137</x:f>
        <x:v>6</x:v>
      </x:c>
      <x:c r="S137" s="11" t="str">
        <x:f>'Evaluation Plan'!S137</x:f>
        <x:v>Build the listed no-match scene and confirm the bowl is empty.</x:v>
      </x:c>
      <x:c r="T137" s="11" t="str">
        <x:f>'Evaluation Plan'!T137</x:f>
        <x:v>No object in the entire scene has the queried state. The prompt uses the same canonical frame as active trials, and the queried state-object cell is training-supported. The same-category candidates share the orthogonal C/O state (O).</x:v>
      </x:c>
      <x:c r="U137" s="11" t="n">
        <x:f>'Evaluation Plan'!U137</x:f>
        <x:v>0</x:v>
      </x:c>
    </x:row>
    <x:row r="138" ht="51" customHeight="1">
      <x:c r="A138" s="5" t="s">
        <x:v>181</x:v>
      </x:c>
      <x:c r="B138" s="4" t="n">
        <x:f>'Evaluation Plan'!B138</x:f>
        <x:v>136</x:v>
      </x:c>
      <x:c r="C138" s="5" t="str">
        <x:f>'Evaluation Plan'!C138</x:f>
        <x:v>Place the upside-down brown cup in the bowl.</x:v>
      </x:c>
      <x:c r="D138" s="5" t="str">
        <x:f>'Evaluation Plan'!D138</x:f>
        <x:v>brown cup A (O, RU); brown cup B (O, RU)</x:v>
      </x:c>
      <x:c r="E138" s="4" t="n">
        <x:f>'Evaluation Plan'!E138</x:f>
        <x:v>0</x:v>
      </x:c>
      <x:c r="F138" s="4" t="str">
        <x:f>'Evaluation Plan'!F138</x:f>
        <x:v>125</x:v>
      </x:c>
      <x:c r="G138" s="5" t="str">
        <x:f>'Evaluation Plan'!G138</x:f>
        <x:v>The state-object concept is explicitly trained, but training does not contain a no-satisfying-target abstention trajectory.</x:v>
      </x:c>
      <x:c r="H138" s="5" t="str">
        <x:f>'Evaluation Plan'!H138</x:f>
        <x:v>NO-OP; no object has state UD, so nothing should be picked up</x:v>
      </x:c>
      <x:c r="I138" s="5"/>
      <x:c r="J138" s="7" t="str">
        <x:f>'Evaluation Plan'!J138</x:f>
        <x:v>No valid target / no movement</x:v>
      </x:c>
      <x:c r="K138" s="4" t="str">
        <x:f>'Evaluation Plan'!K138</x:f>
        <x:v>SR-NOOP07</x:v>
      </x:c>
      <x:c r="L138" s="4" t="str">
        <x:f>'Evaluation Plan'!L138</x:f>
        <x:v>UD</x:v>
      </x:c>
      <x:c r="M138" s="4" t="str">
        <x:f>'Evaluation Plan'!M138</x:f>
        <x:v>brown cup</x:v>
      </x:c>
      <x:c r="N138" s="4" t="n">
        <x:f>'Evaluation Plan'!N138</x:f>
        <x:v>2</x:v>
      </x:c>
      <x:c r="O138" s="4" t="n">
        <x:f>'Evaluation Plan'!O138</x:f>
        <x:v>0</x:v>
      </x:c>
      <x:c r="P138" s="4" t="str">
        <x:f>'Evaluation Plan'!P138</x:f>
        <x:v>Empty</x:v>
      </x:c>
      <x:c r="Q138" s="5" t="str">
        <x:f>'Evaluation Plan'!Q138</x:f>
        <x:v>No satisfying state present; bowl remains empty</x:v>
      </x:c>
      <x:c r="R138" s="4" t="n">
        <x:f>'Evaluation Plan'!R138</x:f>
        <x:v>6</x:v>
      </x:c>
      <x:c r="S138" s="5" t="str">
        <x:f>'Evaluation Plan'!S138</x:f>
        <x:v>Build the listed no-match scene and confirm the bowl is empty.</x:v>
      </x:c>
      <x:c r="T138" s="5" t="str">
        <x:f>'Evaluation Plan'!T138</x:f>
        <x:v>No object in the entire scene has the queried state. The prompt uses the same canonical frame as active trials, and the queried state-object cell is training-supported. The same-category candidates share the orthogonal C/O state (O).</x:v>
      </x:c>
      <x:c r="U138" s="5" t="n">
        <x:f>'Evaluation Plan'!U138</x:f>
        <x:v>0</x:v>
      </x:c>
    </x:row>
    <x:row r="139" ht="51" customHeight="1">
      <x:c r="A139" s="11" t="s">
        <x:v>181</x:v>
      </x:c>
      <x:c r="B139" s="10" t="n">
        <x:f>'Evaluation Plan'!B139</x:f>
        <x:v>137</x:v>
      </x:c>
      <x:c r="C139" s="11" t="str">
        <x:f>'Evaluation Plan'!C139</x:f>
        <x:v>Place the open glass spice container in the bowl.</x:v>
      </x:c>
      <x:c r="D139" s="11" t="str">
        <x:f>'Evaluation Plan'!D139</x:f>
        <x:v>glass spice container A (C, RU); glass spice container B (C, RU); brown cup A (C, RU)</x:v>
      </x:c>
      <x:c r="E139" s="10" t="n">
        <x:f>'Evaluation Plan'!E139</x:f>
        <x:v>0</x:v>
      </x:c>
      <x:c r="F139" s="10" t="str">
        <x:f>'Evaluation Plan'!F139</x:f>
        <x:v>150</x:v>
      </x:c>
      <x:c r="G139" s="11" t="str">
        <x:f>'Evaluation Plan'!G139</x:f>
        <x:v>The state-object concept is explicitly trained, but training does not contain a no-satisfying-target abstention trajectory. All objects are upright, matching the context of every explicit open/closed training demonstration.</x:v>
      </x:c>
      <x:c r="H139" s="11" t="str">
        <x:f>'Evaluation Plan'!H139</x:f>
        <x:v>NO-OP; no object has state O, so nothing should be picked up</x:v>
      </x:c>
      <x:c r="I139" s="11"/>
      <x:c r="J139" s="7" t="str">
        <x:f>'Evaluation Plan'!J139</x:f>
        <x:v>No valid target / no movement</x:v>
      </x:c>
      <x:c r="K139" s="10" t="str">
        <x:f>'Evaluation Plan'!K139</x:f>
        <x:v>SR-NOOP08</x:v>
      </x:c>
      <x:c r="L139" s="10" t="str">
        <x:f>'Evaluation Plan'!L139</x:f>
        <x:v>O</x:v>
      </x:c>
      <x:c r="M139" s="10" t="str">
        <x:f>'Evaluation Plan'!M139</x:f>
        <x:v>glass spice container</x:v>
      </x:c>
      <x:c r="N139" s="10" t="n">
        <x:f>'Evaluation Plan'!N139</x:f>
        <x:v>3</x:v>
      </x:c>
      <x:c r="O139" s="10" t="n">
        <x:f>'Evaluation Plan'!O139</x:f>
        <x:v>0</x:v>
      </x:c>
      <x:c r="P139" s="10" t="str">
        <x:f>'Evaluation Plan'!P139</x:f>
        <x:v>Empty</x:v>
      </x:c>
      <x:c r="Q139" s="11" t="str">
        <x:f>'Evaluation Plan'!Q139</x:f>
        <x:v>No satisfying state present; bowl remains empty</x:v>
      </x:c>
      <x:c r="R139" s="10" t="n">
        <x:f>'Evaluation Plan'!R139</x:f>
        <x:v>6</x:v>
      </x:c>
      <x:c r="S139" s="11" t="str">
        <x:f>'Evaluation Plan'!S139</x:f>
        <x:v>Build the listed no-match scene and confirm the bowl is empty.</x:v>
      </x:c>
      <x:c r="T139" s="11" t="str">
        <x:f>'Evaluation Plan'!T139</x:f>
        <x:v>No object in the entire scene has the queried state. The prompt uses the same canonical frame as active trials, and the queried state-object cell is training-supported. The orthogonal orientation axis is fixed: every object is RU.</x:v>
      </x:c>
      <x:c r="U139" s="11" t="n">
        <x:f>'Evaluation Plan'!U139</x:f>
        <x:v>0</x:v>
      </x:c>
    </x:row>
    <x:row r="140" ht="51" customHeight="1">
      <x:c r="A140" s="5" t="s">
        <x:v>181</x:v>
      </x:c>
      <x:c r="B140" s="4" t="n">
        <x:f>'Evaluation Plan'!B140</x:f>
        <x:v>138</x:v>
      </x:c>
      <x:c r="C140" s="5" t="str">
        <x:f>'Evaluation Plan'!C140</x:f>
        <x:v>Place the upright white cup in the bowl.</x:v>
      </x:c>
      <x:c r="D140" s="5" t="str">
        <x:f>'Evaluation Plan'!D140</x:f>
        <x:v>white cup A (C, UD); white cup B (C, UD); brown cup A (C, UD); glass spice container B (O, UD)</x:v>
      </x:c>
      <x:c r="E140" s="4" t="n">
        <x:f>'Evaluation Plan'!E140</x:f>
        <x:v>0</x:v>
      </x:c>
      <x:c r="F140" s="4" t="str">
        <x:f>'Evaluation Plan'!F140</x:f>
        <x:v>26</x:v>
      </x:c>
      <x:c r="G140" s="5" t="str">
        <x:f>'Evaluation Plan'!G140</x:f>
        <x:v>The state-object concept is explicitly trained, but training does not contain a no-satisfying-target abstention trajectory.</x:v>
      </x:c>
      <x:c r="H140" s="5" t="str">
        <x:f>'Evaluation Plan'!H140</x:f>
        <x:v>NO-OP; no object has state RU, so nothing should be picked up</x:v>
      </x:c>
      <x:c r="I140" s="5"/>
      <x:c r="J140" s="7" t="str">
        <x:f>'Evaluation Plan'!J140</x:f>
        <x:v>No valid target / no movement</x:v>
      </x:c>
      <x:c r="K140" s="4" t="str">
        <x:f>'Evaluation Plan'!K140</x:f>
        <x:v>SR-NOOP09</x:v>
      </x:c>
      <x:c r="L140" s="4" t="str">
        <x:f>'Evaluation Plan'!L140</x:f>
        <x:v>RU</x:v>
      </x:c>
      <x:c r="M140" s="4" t="str">
        <x:f>'Evaluation Plan'!M140</x:f>
        <x:v>white cup</x:v>
      </x:c>
      <x:c r="N140" s="4" t="n">
        <x:f>'Evaluation Plan'!N140</x:f>
        <x:v>4</x:v>
      </x:c>
      <x:c r="O140" s="4" t="n">
        <x:f>'Evaluation Plan'!O140</x:f>
        <x:v>0</x:v>
      </x:c>
      <x:c r="P140" s="4" t="str">
        <x:f>'Evaluation Plan'!P140</x:f>
        <x:v>Empty</x:v>
      </x:c>
      <x:c r="Q140" s="5" t="str">
        <x:f>'Evaluation Plan'!Q140</x:f>
        <x:v>No satisfying state present; bowl remains empty</x:v>
      </x:c>
      <x:c r="R140" s="4" t="n">
        <x:f>'Evaluation Plan'!R140</x:f>
        <x:v>6</x:v>
      </x:c>
      <x:c r="S140" s="5" t="str">
        <x:f>'Evaluation Plan'!S140</x:f>
        <x:v>Build the listed no-match scene and confirm the bowl is empty.</x:v>
      </x:c>
      <x:c r="T140" s="5" t="str">
        <x:f>'Evaluation Plan'!T140</x:f>
        <x:v>No object in the entire scene has the queried state. The prompt uses the same canonical frame as active trials, and the queried state-object cell is training-supported. The same-category candidates share the orthogonal C/O state (C).</x:v>
      </x:c>
      <x:c r="U140" s="5" t="n">
        <x:f>'Evaluation Plan'!U140</x:f>
        <x:v>0</x:v>
      </x:c>
    </x:row>
    <x:row r="141" ht="51" customHeight="1">
      <x:c r="A141" s="11" t="s">
        <x:v>181</x:v>
      </x:c>
      <x:c r="B141" s="10" t="n">
        <x:f>'Evaluation Plan'!B141</x:f>
        <x:v>139</x:v>
      </x:c>
      <x:c r="C141" s="11" t="str">
        <x:f>'Evaluation Plan'!C141</x:f>
        <x:v>Place the closed yellow-white striped cup in the bowl.</x:v>
      </x:c>
      <x:c r="D141" s="11" t="str">
        <x:f>'Evaluation Plan'!D141</x:f>
        <x:v>yellow-white striped cup A (O, RU); yellow-white striped cup B (O, RU)</x:v>
      </x:c>
      <x:c r="E141" s="10" t="n">
        <x:f>'Evaluation Plan'!E141</x:f>
        <x:v>0</x:v>
      </x:c>
      <x:c r="F141" s="10" t="str">
        <x:f>'Evaluation Plan'!F141</x:f>
        <x:v>51</x:v>
      </x:c>
      <x:c r="G141" s="11" t="str">
        <x:f>'Evaluation Plan'!G141</x:f>
        <x:v>The state-object concept is explicitly trained, but training does not contain a no-satisfying-target abstention trajectory. All objects are upright, matching the context of every explicit open/closed training demonstration.</x:v>
      </x:c>
      <x:c r="H141" s="11" t="str">
        <x:f>'Evaluation Plan'!H141</x:f>
        <x:v>NO-OP; no object has state C, so nothing should be picked up</x:v>
      </x:c>
      <x:c r="I141" s="11"/>
      <x:c r="J141" s="7" t="str">
        <x:f>'Evaluation Plan'!J141</x:f>
        <x:v>No valid target / no movement</x:v>
      </x:c>
      <x:c r="K141" s="10" t="str">
        <x:f>'Evaluation Plan'!K141</x:f>
        <x:v>SR-NOOP10</x:v>
      </x:c>
      <x:c r="L141" s="10" t="str">
        <x:f>'Evaluation Plan'!L141</x:f>
        <x:v>C</x:v>
      </x:c>
      <x:c r="M141" s="10" t="str">
        <x:f>'Evaluation Plan'!M141</x:f>
        <x:v>yellow-white striped cup</x:v>
      </x:c>
      <x:c r="N141" s="10" t="n">
        <x:f>'Evaluation Plan'!N141</x:f>
        <x:v>2</x:v>
      </x:c>
      <x:c r="O141" s="10" t="n">
        <x:f>'Evaluation Plan'!O141</x:f>
        <x:v>0</x:v>
      </x:c>
      <x:c r="P141" s="10" t="str">
        <x:f>'Evaluation Plan'!P141</x:f>
        <x:v>Empty</x:v>
      </x:c>
      <x:c r="Q141" s="11" t="str">
        <x:f>'Evaluation Plan'!Q141</x:f>
        <x:v>No satisfying state present; bowl remains empty</x:v>
      </x:c>
      <x:c r="R141" s="10" t="n">
        <x:f>'Evaluation Plan'!R141</x:f>
        <x:v>6</x:v>
      </x:c>
      <x:c r="S141" s="11" t="str">
        <x:f>'Evaluation Plan'!S141</x:f>
        <x:v>Build the listed no-match scene and confirm the bowl is empty.</x:v>
      </x:c>
      <x:c r="T141" s="11" t="str">
        <x:f>'Evaluation Plan'!T141</x:f>
        <x:v>No object in the entire scene has the queried state. The prompt uses the same canonical frame as active trials, and the queried state-object cell is training-supported. The orthogonal orientation axis is fixed: every object is RU.</x:v>
      </x:c>
      <x:c r="U141" s="11" t="n">
        <x:f>'Evaluation Plan'!U141</x:f>
        <x:v>0</x:v>
      </x:c>
    </x:row>
    <x:row r="142" ht="51" customHeight="1">
      <x:c r="A142" s="5" t="s">
        <x:v>181</x:v>
      </x:c>
      <x:c r="B142" s="4" t="n">
        <x:f>'Evaluation Plan'!B142</x:f>
        <x:v>140</x:v>
      </x:c>
      <x:c r="C142" s="5" t="str">
        <x:f>'Evaluation Plan'!C142</x:f>
        <x:v>Place the upright brown cup in the bowl.</x:v>
      </x:c>
      <x:c r="D142" s="5" t="str">
        <x:f>'Evaluation Plan'!D142</x:f>
        <x:v>brown cup A (C, UD); brown cup B (C, UD); white cup A (C, UD)</x:v>
      </x:c>
      <x:c r="E142" s="4" t="n">
        <x:f>'Evaluation Plan'!E142</x:f>
        <x:v>0</x:v>
      </x:c>
      <x:c r="F142" s="4" t="str">
        <x:f>'Evaluation Plan'!F142</x:f>
        <x:v>128</x:v>
      </x:c>
      <x:c r="G142" s="5" t="str">
        <x:f>'Evaluation Plan'!G142</x:f>
        <x:v>The state-object concept is explicitly trained, but training does not contain a no-satisfying-target abstention trajectory.</x:v>
      </x:c>
      <x:c r="H142" s="5" t="str">
        <x:f>'Evaluation Plan'!H142</x:f>
        <x:v>NO-OP; no object has state RU, so nothing should be picked up</x:v>
      </x:c>
      <x:c r="I142" s="5"/>
      <x:c r="J142" s="7" t="str">
        <x:f>'Evaluation Plan'!J142</x:f>
        <x:v>No valid target / no movement</x:v>
      </x:c>
      <x:c r="K142" s="4" t="str">
        <x:f>'Evaluation Plan'!K142</x:f>
        <x:v>SR-NOOP11</x:v>
      </x:c>
      <x:c r="L142" s="4" t="str">
        <x:f>'Evaluation Plan'!L142</x:f>
        <x:v>RU</x:v>
      </x:c>
      <x:c r="M142" s="4" t="str">
        <x:f>'Evaluation Plan'!M142</x:f>
        <x:v>brown cup</x:v>
      </x:c>
      <x:c r="N142" s="4" t="n">
        <x:f>'Evaluation Plan'!N142</x:f>
        <x:v>3</x:v>
      </x:c>
      <x:c r="O142" s="4" t="n">
        <x:f>'Evaluation Plan'!O142</x:f>
        <x:v>0</x:v>
      </x:c>
      <x:c r="P142" s="4" t="str">
        <x:f>'Evaluation Plan'!P142</x:f>
        <x:v>Empty</x:v>
      </x:c>
      <x:c r="Q142" s="5" t="str">
        <x:f>'Evaluation Plan'!Q142</x:f>
        <x:v>No satisfying state present; bowl remains empty</x:v>
      </x:c>
      <x:c r="R142" s="4" t="n">
        <x:f>'Evaluation Plan'!R142</x:f>
        <x:v>6</x:v>
      </x:c>
      <x:c r="S142" s="5" t="str">
        <x:f>'Evaluation Plan'!S142</x:f>
        <x:v>Build the listed no-match scene and confirm the bowl is empty.</x:v>
      </x:c>
      <x:c r="T142" s="5" t="str">
        <x:f>'Evaluation Plan'!T142</x:f>
        <x:v>No object in the entire scene has the queried state. The prompt uses the same canonical frame as active trials, and the queried state-object cell is training-supported. The same-category candidates share the orthogonal C/O state (C).</x:v>
      </x:c>
      <x:c r="U142" s="5" t="n">
        <x:f>'Evaluation Plan'!U142</x:f>
        <x:v>0</x:v>
      </x:c>
    </x:row>
    <x:row r="143" ht="51" customHeight="1">
      <x:c r="A143" s="11" t="s">
        <x:v>181</x:v>
      </x:c>
      <x:c r="B143" s="10" t="n">
        <x:f>'Evaluation Plan'!B143</x:f>
        <x:v>141</x:v>
      </x:c>
      <x:c r="C143" s="11" t="str">
        <x:f>'Evaluation Plan'!C143</x:f>
        <x:v>Place the upside-down glass spice container in the bowl.</x:v>
      </x:c>
      <x:c r="D143" s="11" t="str">
        <x:f>'Evaluation Plan'!D143</x:f>
        <x:v>glass spice container A (C, RU); glass spice container B (C, RU); yellow-white striped cup B (O, RU); brown cup A (C, RU)</x:v>
      </x:c>
      <x:c r="E143" s="10" t="n">
        <x:f>'Evaluation Plan'!E143</x:f>
        <x:v>0</x:v>
      </x:c>
      <x:c r="F143" s="10" t="str">
        <x:f>'Evaluation Plan'!F143</x:f>
        <x:v>176</x:v>
      </x:c>
      <x:c r="G143" s="11" t="str">
        <x:f>'Evaluation Plan'!G143</x:f>
        <x:v>The state-object concept is explicitly trained, but training does not contain a no-satisfying-target abstention trajectory.</x:v>
      </x:c>
      <x:c r="H143" s="11" t="str">
        <x:f>'Evaluation Plan'!H143</x:f>
        <x:v>NO-OP; no object has state UD, so nothing should be picked up</x:v>
      </x:c>
      <x:c r="I143" s="11"/>
      <x:c r="J143" s="7" t="str">
        <x:f>'Evaluation Plan'!J143</x:f>
        <x:v>No valid target / no movement</x:v>
      </x:c>
      <x:c r="K143" s="10" t="str">
        <x:f>'Evaluation Plan'!K143</x:f>
        <x:v>SR-NOOP12</x:v>
      </x:c>
      <x:c r="L143" s="10" t="str">
        <x:f>'Evaluation Plan'!L143</x:f>
        <x:v>UD</x:v>
      </x:c>
      <x:c r="M143" s="10" t="str">
        <x:f>'Evaluation Plan'!M143</x:f>
        <x:v>glass spice container</x:v>
      </x:c>
      <x:c r="N143" s="10" t="n">
        <x:f>'Evaluation Plan'!N143</x:f>
        <x:v>4</x:v>
      </x:c>
      <x:c r="O143" s="10" t="n">
        <x:f>'Evaluation Plan'!O143</x:f>
        <x:v>0</x:v>
      </x:c>
      <x:c r="P143" s="10" t="str">
        <x:f>'Evaluation Plan'!P143</x:f>
        <x:v>Empty</x:v>
      </x:c>
      <x:c r="Q143" s="11" t="str">
        <x:f>'Evaluation Plan'!Q143</x:f>
        <x:v>No satisfying state present; bowl remains empty</x:v>
      </x:c>
      <x:c r="R143" s="10" t="n">
        <x:f>'Evaluation Plan'!R143</x:f>
        <x:v>6</x:v>
      </x:c>
      <x:c r="S143" s="11" t="str">
        <x:f>'Evaluation Plan'!S143</x:f>
        <x:v>Build the listed no-match scene and confirm the bowl is empty.</x:v>
      </x:c>
      <x:c r="T143" s="11" t="str">
        <x:f>'Evaluation Plan'!T143</x:f>
        <x:v>No object in the entire scene has the queried state. The prompt uses the same canonical frame as active trials, and the queried state-object cell is training-supported. The same-category candidates share the orthogonal C/O state (C).</x:v>
      </x:c>
      <x:c r="U143" s="11" t="n">
        <x:f>'Evaluation Plan'!U143</x:f>
        <x:v>0</x:v>
      </x:c>
    </x:row>
    <x:row r="144" ht="51" customHeight="1">
      <x:c r="A144" s="5" t="s">
        <x:v>181</x:v>
      </x:c>
      <x:c r="B144" s="4" t="n">
        <x:f>'Evaluation Plan'!B144</x:f>
        <x:v>142</x:v>
      </x:c>
      <x:c r="C144" s="5" t="str">
        <x:f>'Evaluation Plan'!C144</x:f>
        <x:v>Place the closed white cup in the bowl.</x:v>
      </x:c>
      <x:c r="D144" s="5" t="str">
        <x:f>'Evaluation Plan'!D144</x:f>
        <x:v>white cup A (O, RU); white cup B (O, RU)</x:v>
      </x:c>
      <x:c r="E144" s="4" t="n">
        <x:f>'Evaluation Plan'!E144</x:f>
        <x:v>0</x:v>
      </x:c>
      <x:c r="F144" s="4" t="str">
        <x:f>'Evaluation Plan'!F144</x:f>
        <x:v>3</x:v>
      </x:c>
      <x:c r="G144" s="5" t="str">
        <x:f>'Evaluation Plan'!G144</x:f>
        <x:v>The state-object concept is explicitly trained, but training does not contain a no-satisfying-target abstention trajectory. All objects are upright, matching the context of every explicit open/closed training demonstration.</x:v>
      </x:c>
      <x:c r="H144" s="5" t="str">
        <x:f>'Evaluation Plan'!H144</x:f>
        <x:v>NO-OP; no object has state C, so nothing should be picked up</x:v>
      </x:c>
      <x:c r="I144" s="5"/>
      <x:c r="J144" s="7" t="str">
        <x:f>'Evaluation Plan'!J144</x:f>
        <x:v>No valid target / no movement</x:v>
      </x:c>
      <x:c r="K144" s="4" t="str">
        <x:f>'Evaluation Plan'!K144</x:f>
        <x:v>SR-NOOP13</x:v>
      </x:c>
      <x:c r="L144" s="4" t="str">
        <x:f>'Evaluation Plan'!L144</x:f>
        <x:v>C</x:v>
      </x:c>
      <x:c r="M144" s="4" t="str">
        <x:f>'Evaluation Plan'!M144</x:f>
        <x:v>white cup</x:v>
      </x:c>
      <x:c r="N144" s="4" t="n">
        <x:f>'Evaluation Plan'!N144</x:f>
        <x:v>2</x:v>
      </x:c>
      <x:c r="O144" s="4" t="n">
        <x:f>'Evaluation Plan'!O144</x:f>
        <x:v>0</x:v>
      </x:c>
      <x:c r="P144" s="4" t="str">
        <x:f>'Evaluation Plan'!P144</x:f>
        <x:v>Empty</x:v>
      </x:c>
      <x:c r="Q144" s="5" t="str">
        <x:f>'Evaluation Plan'!Q144</x:f>
        <x:v>No satisfying state present; bowl remains empty</x:v>
      </x:c>
      <x:c r="R144" s="4" t="n">
        <x:f>'Evaluation Plan'!R144</x:f>
        <x:v>6</x:v>
      </x:c>
      <x:c r="S144" s="5" t="str">
        <x:f>'Evaluation Plan'!S144</x:f>
        <x:v>Build the listed no-match scene and confirm the bowl is empty.</x:v>
      </x:c>
      <x:c r="T144" s="5" t="str">
        <x:f>'Evaluation Plan'!T144</x:f>
        <x:v>No object in the entire scene has the queried state. The prompt uses the same canonical frame as active trials, and the queried state-object cell is training-supported. The orthogonal orientation axis is fixed: every object is RU.</x:v>
      </x:c>
      <x:c r="U144" s="5" t="n">
        <x:f>'Evaluation Plan'!U144</x:f>
        <x:v>0</x:v>
      </x:c>
    </x:row>
    <x:row r="145" ht="51" customHeight="1">
      <x:c r="A145" s="11" t="s">
        <x:v>181</x:v>
      </x:c>
      <x:c r="B145" s="10" t="n">
        <x:f>'Evaluation Plan'!B145</x:f>
        <x:v>143</x:v>
      </x:c>
      <x:c r="C145" s="11" t="str">
        <x:f>'Evaluation Plan'!C145</x:f>
        <x:v>Place the upside-down yellow-white striped cup in the bowl.</x:v>
      </x:c>
      <x:c r="D145" s="11" t="str">
        <x:f>'Evaluation Plan'!D145</x:f>
        <x:v>yellow-white striped cup A (O, RU); yellow-white striped cup B (O, RU); brown cup A (C, RU)</x:v>
      </x:c>
      <x:c r="E145" s="10" t="n">
        <x:f>'Evaluation Plan'!E145</x:f>
        <x:v>0</x:v>
      </x:c>
      <x:c r="F145" s="10" t="str">
        <x:f>'Evaluation Plan'!F145</x:f>
        <x:v>83</x:v>
      </x:c>
      <x:c r="G145" s="11" t="str">
        <x:f>'Evaluation Plan'!G145</x:f>
        <x:v>The state-object concept is explicitly trained, but training does not contain a no-satisfying-target abstention trajectory.</x:v>
      </x:c>
      <x:c r="H145" s="11" t="str">
        <x:f>'Evaluation Plan'!H145</x:f>
        <x:v>NO-OP; no object has state UD, so nothing should be picked up</x:v>
      </x:c>
      <x:c r="I145" s="11"/>
      <x:c r="J145" s="7" t="str">
        <x:f>'Evaluation Plan'!J145</x:f>
        <x:v>No valid target / no movement</x:v>
      </x:c>
      <x:c r="K145" s="10" t="str">
        <x:f>'Evaluation Plan'!K145</x:f>
        <x:v>SR-NOOP14</x:v>
      </x:c>
      <x:c r="L145" s="10" t="str">
        <x:f>'Evaluation Plan'!L145</x:f>
        <x:v>UD</x:v>
      </x:c>
      <x:c r="M145" s="10" t="str">
        <x:f>'Evaluation Plan'!M145</x:f>
        <x:v>yellow-white striped cup</x:v>
      </x:c>
      <x:c r="N145" s="10" t="n">
        <x:f>'Evaluation Plan'!N145</x:f>
        <x:v>3</x:v>
      </x:c>
      <x:c r="O145" s="10" t="n">
        <x:f>'Evaluation Plan'!O145</x:f>
        <x:v>0</x:v>
      </x:c>
      <x:c r="P145" s="10" t="str">
        <x:f>'Evaluation Plan'!P145</x:f>
        <x:v>Empty</x:v>
      </x:c>
      <x:c r="Q145" s="11" t="str">
        <x:f>'Evaluation Plan'!Q145</x:f>
        <x:v>No satisfying state present; bowl remains empty</x:v>
      </x:c>
      <x:c r="R145" s="10" t="n">
        <x:f>'Evaluation Plan'!R145</x:f>
        <x:v>6</x:v>
      </x:c>
      <x:c r="S145" s="11" t="str">
        <x:f>'Evaluation Plan'!S145</x:f>
        <x:v>Build the listed no-match scene and confirm the bowl is empty.</x:v>
      </x:c>
      <x:c r="T145" s="11" t="str">
        <x:f>'Evaluation Plan'!T145</x:f>
        <x:v>No object in the entire scene has the queried state. The prompt uses the same canonical frame as active trials, and the queried state-object cell is training-supported. The same-category candidates share the orthogonal C/O state (O).</x:v>
      </x:c>
      <x:c r="U145" s="11" t="n">
        <x:f>'Evaluation Plan'!U145</x:f>
        <x:v>0</x:v>
      </x:c>
    </x:row>
    <x:row r="146" ht="51" customHeight="1">
      <x:c r="A146" s="5" t="s">
        <x:v>181</x:v>
      </x:c>
      <x:c r="B146" s="4" t="n">
        <x:f>'Evaluation Plan'!B146</x:f>
        <x:v>144</x:v>
      </x:c>
      <x:c r="C146" s="5" t="str">
        <x:f>'Evaluation Plan'!C146</x:f>
        <x:v>Place the upside-down brown cup in the bowl.</x:v>
      </x:c>
      <x:c r="D146" s="5" t="str">
        <x:f>'Evaluation Plan'!D146</x:f>
        <x:v>brown cup A (O, RU); brown cup B (O, RU); glass spice container B (O, RU); white cup A (C, RU)</x:v>
      </x:c>
      <x:c r="E146" s="4" t="n">
        <x:f>'Evaluation Plan'!E146</x:f>
        <x:v>0</x:v>
      </x:c>
      <x:c r="F146" s="4" t="str">
        <x:f>'Evaluation Plan'!F146</x:f>
        <x:v>127</x:v>
      </x:c>
      <x:c r="G146" s="5" t="str">
        <x:f>'Evaluation Plan'!G146</x:f>
        <x:v>The state-object concept is explicitly trained, but training does not contain a no-satisfying-target abstention trajectory.</x:v>
      </x:c>
      <x:c r="H146" s="5" t="str">
        <x:f>'Evaluation Plan'!H146</x:f>
        <x:v>NO-OP; no object has state UD, so nothing should be picked up</x:v>
      </x:c>
      <x:c r="I146" s="5"/>
      <x:c r="J146" s="7" t="str">
        <x:f>'Evaluation Plan'!J146</x:f>
        <x:v>No valid target / no movement</x:v>
      </x:c>
      <x:c r="K146" s="4" t="str">
        <x:f>'Evaluation Plan'!K146</x:f>
        <x:v>SR-NOOP15</x:v>
      </x:c>
      <x:c r="L146" s="4" t="str">
        <x:f>'Evaluation Plan'!L146</x:f>
        <x:v>UD</x:v>
      </x:c>
      <x:c r="M146" s="4" t="str">
        <x:f>'Evaluation Plan'!M146</x:f>
        <x:v>brown cup</x:v>
      </x:c>
      <x:c r="N146" s="4" t="n">
        <x:f>'Evaluation Plan'!N146</x:f>
        <x:v>4</x:v>
      </x:c>
      <x:c r="O146" s="4" t="n">
        <x:f>'Evaluation Plan'!O146</x:f>
        <x:v>0</x:v>
      </x:c>
      <x:c r="P146" s="4" t="str">
        <x:f>'Evaluation Plan'!P146</x:f>
        <x:v>Empty</x:v>
      </x:c>
      <x:c r="Q146" s="5" t="str">
        <x:f>'Evaluation Plan'!Q146</x:f>
        <x:v>No satisfying state present; bowl remains empty</x:v>
      </x:c>
      <x:c r="R146" s="4" t="n">
        <x:f>'Evaluation Plan'!R146</x:f>
        <x:v>6</x:v>
      </x:c>
      <x:c r="S146" s="5" t="str">
        <x:f>'Evaluation Plan'!S146</x:f>
        <x:v>Build the listed no-match scene and confirm the bowl is empty.</x:v>
      </x:c>
      <x:c r="T146" s="5" t="str">
        <x:f>'Evaluation Plan'!T146</x:f>
        <x:v>No object in the entire scene has the queried state. The prompt uses the same canonical frame as active trials, and the queried state-object cell is training-supported. The same-category candidates share the orthogonal C/O state (O).</x:v>
      </x:c>
      <x:c r="U146" s="5" t="n">
        <x:f>'Evaluation Plan'!U146</x:f>
        <x:v>0</x:v>
      </x:c>
    </x:row>
    <x:row r="147" ht="51" customHeight="1">
      <x:c r="A147" s="11" t="s">
        <x:v>181</x:v>
      </x:c>
      <x:c r="B147" s="10" t="n">
        <x:f>'Evaluation Plan'!B147</x:f>
        <x:v>145</x:v>
      </x:c>
      <x:c r="C147" s="11" t="str">
        <x:f>'Evaluation Plan'!C147</x:f>
        <x:v>Place the closed glass spice container in the bowl.</x:v>
      </x:c>
      <x:c r="D147" s="11" t="str">
        <x:f>'Evaluation Plan'!D147</x:f>
        <x:v>glass spice container A (O, RU); glass spice container B (O, RU)</x:v>
      </x:c>
      <x:c r="E147" s="10" t="n">
        <x:f>'Evaluation Plan'!E147</x:f>
        <x:v>0</x:v>
      </x:c>
      <x:c r="F147" s="10" t="str">
        <x:f>'Evaluation Plan'!F147</x:f>
        <x:v>152</x:v>
      </x:c>
      <x:c r="G147" s="11" t="str">
        <x:f>'Evaluation Plan'!G147</x:f>
        <x:v>The state-object concept is explicitly trained, but training does not contain a no-satisfying-target abstention trajectory. All objects are upright, matching the context of every explicit open/closed training demonstration.</x:v>
      </x:c>
      <x:c r="H147" s="11" t="str">
        <x:f>'Evaluation Plan'!H147</x:f>
        <x:v>NO-OP; no object has state C, so nothing should be picked up</x:v>
      </x:c>
      <x:c r="I147" s="11"/>
      <x:c r="J147" s="7" t="str">
        <x:f>'Evaluation Plan'!J147</x:f>
        <x:v>No valid target / no movement</x:v>
      </x:c>
      <x:c r="K147" s="10" t="str">
        <x:f>'Evaluation Plan'!K147</x:f>
        <x:v>SR-NOOP16</x:v>
      </x:c>
      <x:c r="L147" s="10" t="str">
        <x:f>'Evaluation Plan'!L147</x:f>
        <x:v>C</x:v>
      </x:c>
      <x:c r="M147" s="10" t="str">
        <x:f>'Evaluation Plan'!M147</x:f>
        <x:v>glass spice container</x:v>
      </x:c>
      <x:c r="N147" s="10" t="n">
        <x:f>'Evaluation Plan'!N147</x:f>
        <x:v>2</x:v>
      </x:c>
      <x:c r="O147" s="10" t="n">
        <x:f>'Evaluation Plan'!O147</x:f>
        <x:v>0</x:v>
      </x:c>
      <x:c r="P147" s="10" t="str">
        <x:f>'Evaluation Plan'!P147</x:f>
        <x:v>Empty</x:v>
      </x:c>
      <x:c r="Q147" s="11" t="str">
        <x:f>'Evaluation Plan'!Q147</x:f>
        <x:v>No satisfying state present; bowl remains empty</x:v>
      </x:c>
      <x:c r="R147" s="10" t="n">
        <x:f>'Evaluation Plan'!R147</x:f>
        <x:v>6</x:v>
      </x:c>
      <x:c r="S147" s="11" t="str">
        <x:f>'Evaluation Plan'!S147</x:f>
        <x:v>Build the listed no-match scene and confirm the bowl is empty.</x:v>
      </x:c>
      <x:c r="T147" s="11" t="str">
        <x:f>'Evaluation Plan'!T147</x:f>
        <x:v>No object in the entire scene has the queried state. The prompt uses the same canonical frame as active trials, and the queried state-object cell is training-supported. The orthogonal orientation axis is fixed: every object is RU.</x:v>
      </x:c>
      <x:c r="U147" s="11" t="n">
        <x:f>'Evaluation Plan'!U147</x:f>
        <x:v>0</x:v>
      </x:c>
    </x:row>
    <x:row r="148" ht="51" customHeight="1">
      <x:c r="A148" s="5" t="s">
        <x:v>181</x:v>
      </x:c>
      <x:c r="B148" s="4" t="n">
        <x:f>'Evaluation Plan'!B148</x:f>
        <x:v>146</x:v>
      </x:c>
      <x:c r="C148" s="5" t="str">
        <x:f>'Evaluation Plan'!C148</x:f>
        <x:v>Place the open white cup in the bowl.</x:v>
      </x:c>
      <x:c r="D148" s="5" t="str">
        <x:f>'Evaluation Plan'!D148</x:f>
        <x:v>white cup A (C, RU); white cup B (C, RU); glass spice container A (C, RU)</x:v>
      </x:c>
      <x:c r="E148" s="4" t="n">
        <x:f>'Evaluation Plan'!E148</x:f>
        <x:v>0</x:v>
      </x:c>
      <x:c r="F148" s="4" t="str">
        <x:f>'Evaluation Plan'!F148</x:f>
        <x:v>2</x:v>
      </x:c>
      <x:c r="G148" s="5" t="str">
        <x:f>'Evaluation Plan'!G148</x:f>
        <x:v>The state-object concept is explicitly trained, but training does not contain a no-satisfying-target abstention trajectory. All objects are upright, matching the context of every explicit open/closed training demonstration.</x:v>
      </x:c>
      <x:c r="H148" s="5" t="str">
        <x:f>'Evaluation Plan'!H148</x:f>
        <x:v>NO-OP; no object has state O, so nothing should be picked up</x:v>
      </x:c>
      <x:c r="I148" s="5"/>
      <x:c r="J148" s="7" t="str">
        <x:f>'Evaluation Plan'!J148</x:f>
        <x:v>No valid target / no movement</x:v>
      </x:c>
      <x:c r="K148" s="4" t="str">
        <x:f>'Evaluation Plan'!K148</x:f>
        <x:v>SR-NOOP17</x:v>
      </x:c>
      <x:c r="L148" s="4" t="str">
        <x:f>'Evaluation Plan'!L148</x:f>
        <x:v>O</x:v>
      </x:c>
      <x:c r="M148" s="4" t="str">
        <x:f>'Evaluation Plan'!M148</x:f>
        <x:v>white cup</x:v>
      </x:c>
      <x:c r="N148" s="4" t="n">
        <x:f>'Evaluation Plan'!N148</x:f>
        <x:v>3</x:v>
      </x:c>
      <x:c r="O148" s="4" t="n">
        <x:f>'Evaluation Plan'!O148</x:f>
        <x:v>0</x:v>
      </x:c>
      <x:c r="P148" s="4" t="str">
        <x:f>'Evaluation Plan'!P148</x:f>
        <x:v>Empty</x:v>
      </x:c>
      <x:c r="Q148" s="5" t="str">
        <x:f>'Evaluation Plan'!Q148</x:f>
        <x:v>No satisfying state present; bowl remains empty</x:v>
      </x:c>
      <x:c r="R148" s="4" t="n">
        <x:f>'Evaluation Plan'!R148</x:f>
        <x:v>6</x:v>
      </x:c>
      <x:c r="S148" s="5" t="str">
        <x:f>'Evaluation Plan'!S148</x:f>
        <x:v>Build the listed no-match scene and confirm the bowl is empty.</x:v>
      </x:c>
      <x:c r="T148" s="5" t="str">
        <x:f>'Evaluation Plan'!T148</x:f>
        <x:v>No object in the entire scene has the queried state. The prompt uses the same canonical frame as active trials, and the queried state-object cell is training-supported. The orthogonal orientation axis is fixed: every object is RU.</x:v>
      </x:c>
      <x:c r="U148" s="5" t="n">
        <x:f>'Evaluation Plan'!U148</x:f>
        <x:v>0</x:v>
      </x:c>
    </x:row>
    <x:row r="149" ht="51" customHeight="1">
      <x:c r="A149" s="11" t="s">
        <x:v>181</x:v>
      </x:c>
      <x:c r="B149" s="10" t="n">
        <x:f>'Evaluation Plan'!B149</x:f>
        <x:v>147</x:v>
      </x:c>
      <x:c r="C149" s="11" t="str">
        <x:f>'Evaluation Plan'!C149</x:f>
        <x:v>Place the upright yellow-white striped cup in the bowl.</x:v>
      </x:c>
      <x:c r="D149" s="11" t="str">
        <x:f>'Evaluation Plan'!D149</x:f>
        <x:v>yellow-white striped cup A (C, UD); yellow-white striped cup B (C, UD); white cup B (O, UD); brown cup A (C, UD)</x:v>
      </x:c>
      <x:c r="E149" s="10" t="n">
        <x:f>'Evaluation Plan'!E149</x:f>
        <x:v>0</x:v>
      </x:c>
      <x:c r="F149" s="10" t="str">
        <x:f>'Evaluation Plan'!F149</x:f>
        <x:v>76</x:v>
      </x:c>
      <x:c r="G149" s="11" t="str">
        <x:f>'Evaluation Plan'!G149</x:f>
        <x:v>The state-object concept is explicitly trained, but training does not contain a no-satisfying-target abstention trajectory.</x:v>
      </x:c>
      <x:c r="H149" s="11" t="str">
        <x:f>'Evaluation Plan'!H149</x:f>
        <x:v>NO-OP; no object has state RU, so nothing should be picked up</x:v>
      </x:c>
      <x:c r="I149" s="11"/>
      <x:c r="J149" s="7" t="str">
        <x:f>'Evaluation Plan'!J149</x:f>
        <x:v>No valid target / no movement</x:v>
      </x:c>
      <x:c r="K149" s="10" t="str">
        <x:f>'Evaluation Plan'!K149</x:f>
        <x:v>SR-NOOP18</x:v>
      </x:c>
      <x:c r="L149" s="10" t="str">
        <x:f>'Evaluation Plan'!L149</x:f>
        <x:v>RU</x:v>
      </x:c>
      <x:c r="M149" s="10" t="str">
        <x:f>'Evaluation Plan'!M149</x:f>
        <x:v>yellow-white striped cup</x:v>
      </x:c>
      <x:c r="N149" s="10" t="n">
        <x:f>'Evaluation Plan'!N149</x:f>
        <x:v>4</x:v>
      </x:c>
      <x:c r="O149" s="10" t="n">
        <x:f>'Evaluation Plan'!O149</x:f>
        <x:v>0</x:v>
      </x:c>
      <x:c r="P149" s="10" t="str">
        <x:f>'Evaluation Plan'!P149</x:f>
        <x:v>Empty</x:v>
      </x:c>
      <x:c r="Q149" s="11" t="str">
        <x:f>'Evaluation Plan'!Q149</x:f>
        <x:v>No satisfying state present; bowl remains empty</x:v>
      </x:c>
      <x:c r="R149" s="10" t="n">
        <x:f>'Evaluation Plan'!R149</x:f>
        <x:v>6</x:v>
      </x:c>
      <x:c r="S149" s="11" t="str">
        <x:f>'Evaluation Plan'!S149</x:f>
        <x:v>Build the listed no-match scene and confirm the bowl is empty.</x:v>
      </x:c>
      <x:c r="T149" s="11" t="str">
        <x:f>'Evaluation Plan'!T149</x:f>
        <x:v>No object in the entire scene has the queried state. The prompt uses the same canonical frame as active trials, and the queried state-object cell is training-supported. The same-category candidates share the orthogonal C/O state (C).</x:v>
      </x:c>
      <x:c r="U149" s="11" t="n">
        <x:f>'Evaluation Plan'!U149</x:f>
        <x:v>0</x:v>
      </x:c>
    </x:row>
    <x:row r="150" ht="51" customHeight="1">
      <x:c r="A150" s="5" t="s">
        <x:v>181</x:v>
      </x:c>
      <x:c r="B150" s="4" t="n">
        <x:f>'Evaluation Plan'!B150</x:f>
        <x:v>148</x:v>
      </x:c>
      <x:c r="C150" s="5" t="str">
        <x:f>'Evaluation Plan'!C150</x:f>
        <x:v>Place the upright brown cup in the bowl.</x:v>
      </x:c>
      <x:c r="D150" s="5" t="str">
        <x:f>'Evaluation Plan'!D150</x:f>
        <x:v>brown cup A (C, UD); brown cup B (C, UD)</x:v>
      </x:c>
      <x:c r="E150" s="4" t="n">
        <x:f>'Evaluation Plan'!E150</x:f>
        <x:v>0</x:v>
      </x:c>
      <x:c r="F150" s="4" t="str">
        <x:f>'Evaluation Plan'!F150</x:f>
        <x:v>130</x:v>
      </x:c>
      <x:c r="G150" s="5" t="str">
        <x:f>'Evaluation Plan'!G150</x:f>
        <x:v>The state-object concept is explicitly trained, but training does not contain a no-satisfying-target abstention trajectory.</x:v>
      </x:c>
      <x:c r="H150" s="5" t="str">
        <x:f>'Evaluation Plan'!H150</x:f>
        <x:v>NO-OP; no object has state RU, so nothing should be picked up</x:v>
      </x:c>
      <x:c r="I150" s="5"/>
      <x:c r="J150" s="7" t="str">
        <x:f>'Evaluation Plan'!J150</x:f>
        <x:v>No valid target / no movement</x:v>
      </x:c>
      <x:c r="K150" s="4" t="str">
        <x:f>'Evaluation Plan'!K150</x:f>
        <x:v>SR-NOOP19</x:v>
      </x:c>
      <x:c r="L150" s="4" t="str">
        <x:f>'Evaluation Plan'!L150</x:f>
        <x:v>RU</x:v>
      </x:c>
      <x:c r="M150" s="4" t="str">
        <x:f>'Evaluation Plan'!M150</x:f>
        <x:v>brown cup</x:v>
      </x:c>
      <x:c r="N150" s="4" t="n">
        <x:f>'Evaluation Plan'!N150</x:f>
        <x:v>2</x:v>
      </x:c>
      <x:c r="O150" s="4" t="n">
        <x:f>'Evaluation Plan'!O150</x:f>
        <x:v>0</x:v>
      </x:c>
      <x:c r="P150" s="4" t="str">
        <x:f>'Evaluation Plan'!P150</x:f>
        <x:v>Empty</x:v>
      </x:c>
      <x:c r="Q150" s="5" t="str">
        <x:f>'Evaluation Plan'!Q150</x:f>
        <x:v>No satisfying state present; bowl remains empty</x:v>
      </x:c>
      <x:c r="R150" s="4" t="n">
        <x:f>'Evaluation Plan'!R150</x:f>
        <x:v>6</x:v>
      </x:c>
      <x:c r="S150" s="5" t="str">
        <x:f>'Evaluation Plan'!S150</x:f>
        <x:v>Build the listed no-match scene and confirm the bowl is empty.</x:v>
      </x:c>
      <x:c r="T150" s="5" t="str">
        <x:f>'Evaluation Plan'!T150</x:f>
        <x:v>No object in the entire scene has the queried state. The prompt uses the same canonical frame as active trials, and the queried state-object cell is training-supported. The same-category candidates share the orthogonal C/O state (C).</x:v>
      </x:c>
      <x:c r="U150" s="5" t="n">
        <x:f>'Evaluation Plan'!U150</x:f>
        <x:v>0</x:v>
      </x:c>
    </x:row>
    <x:row r="151" ht="51" customHeight="1">
      <x:c r="A151" s="11" t="s">
        <x:v>181</x:v>
      </x:c>
      <x:c r="B151" s="10" t="n">
        <x:f>'Evaluation Plan'!B151</x:f>
        <x:v>149</x:v>
      </x:c>
      <x:c r="C151" s="11" t="str">
        <x:f>'Evaluation Plan'!C151</x:f>
        <x:v>Place the open glass spice container in the bowl.</x:v>
      </x:c>
      <x:c r="D151" s="11" t="str">
        <x:f>'Evaluation Plan'!D151</x:f>
        <x:v>glass spice container A (C, RU); glass spice container B (C, RU); brown cup B (C, RU)</x:v>
      </x:c>
      <x:c r="E151" s="10" t="n">
        <x:f>'Evaluation Plan'!E151</x:f>
        <x:v>0</x:v>
      </x:c>
      <x:c r="F151" s="10" t="str">
        <x:f>'Evaluation Plan'!F151</x:f>
        <x:v>154</x:v>
      </x:c>
      <x:c r="G151" s="11" t="str">
        <x:f>'Evaluation Plan'!G151</x:f>
        <x:v>The state-object concept is explicitly trained, but training does not contain a no-satisfying-target abstention trajectory. All objects are upright, matching the context of every explicit open/closed training demonstration.</x:v>
      </x:c>
      <x:c r="H151" s="11" t="str">
        <x:f>'Evaluation Plan'!H151</x:f>
        <x:v>NO-OP; no object has state O, so nothing should be picked up</x:v>
      </x:c>
      <x:c r="I151" s="11"/>
      <x:c r="J151" s="7" t="str">
        <x:f>'Evaluation Plan'!J151</x:f>
        <x:v>No valid target / no movement</x:v>
      </x:c>
      <x:c r="K151" s="10" t="str">
        <x:f>'Evaluation Plan'!K151</x:f>
        <x:v>SR-NOOP20</x:v>
      </x:c>
      <x:c r="L151" s="10" t="str">
        <x:f>'Evaluation Plan'!L151</x:f>
        <x:v>O</x:v>
      </x:c>
      <x:c r="M151" s="10" t="str">
        <x:f>'Evaluation Plan'!M151</x:f>
        <x:v>glass spice container</x:v>
      </x:c>
      <x:c r="N151" s="10" t="n">
        <x:f>'Evaluation Plan'!N151</x:f>
        <x:v>3</x:v>
      </x:c>
      <x:c r="O151" s="10" t="n">
        <x:f>'Evaluation Plan'!O151</x:f>
        <x:v>0</x:v>
      </x:c>
      <x:c r="P151" s="10" t="str">
        <x:f>'Evaluation Plan'!P151</x:f>
        <x:v>Empty</x:v>
      </x:c>
      <x:c r="Q151" s="11" t="str">
        <x:f>'Evaluation Plan'!Q151</x:f>
        <x:v>No satisfying state present; bowl remains empty</x:v>
      </x:c>
      <x:c r="R151" s="10" t="n">
        <x:f>'Evaluation Plan'!R151</x:f>
        <x:v>6</x:v>
      </x:c>
      <x:c r="S151" s="11" t="str">
        <x:f>'Evaluation Plan'!S151</x:f>
        <x:v>Build the listed no-match scene and confirm the bowl is empty.</x:v>
      </x:c>
      <x:c r="T151" s="11" t="str">
        <x:f>'Evaluation Plan'!T151</x:f>
        <x:v>No object in the entire scene has the queried state. The prompt uses the same canonical frame as active trials, and the queried state-object cell is training-supported. The orthogonal orientation axis is fixed: every object is RU.</x:v>
      </x:c>
      <x:c r="U151" s="11" t="n">
        <x:f>'Evaluation Plan'!U151</x:f>
        <x:v>0</x:v>
      </x:c>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P131">
    <x:cfRule type="expression" dxfId="5" priority="1">
      <x:formula>$A2="Success"</x:formula>
    </x:cfRule>
  </x:conditionalFormatting>
  <x:conditionalFormatting sqref="A2:P131">
    <x:cfRule type="expression" dxfId="6" priority="2">
      <x:formula>$A2="Failure"</x:formula>
    </x:cfRule>
  </x:conditionalFormatting>
  <x:conditionalFormatting sqref="H2:H131">
    <x:cfRule type="containsText" dxfId="8" priority="3" operator="containsText" text="Exact-scene opposite-state contrast">
      <x:formula>NOT(ISERROR(SEARCH(("Exact-scene opposite-state contrast"),(H2))))</x:formula>
    </x:cfRule>
  </x:conditionalFormatting>
  <x:conditionalFormatting sqref="A2:U151">
    <x:cfRule type="expression" dxfId="12" priority="4">
      <x:formula>$A2="Success"</x:formula>
    </x:cfRule>
  </x:conditionalFormatting>
  <x:conditionalFormatting sqref="A2:U151">
    <x:cfRule type="expression" dxfId="13" priority="5">
      <x:formula>$A2="Failure"</x:formula>
    </x:cfRule>
  </x:conditionalFormatting>
  <x:dataValidations count="1">
    <x:dataValidation type="list" allowBlank="1" sqref="A2:A151">
      <x:formula1>"Not collected,Success,Failure"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2.630000114440918" defaultRowHeight="15"/>
  <x:cols>
    <x:col min="1" max="1" width="11.630000114440918" customWidth="1"/>
    <x:col min="2" max="2" width="6.630000114440918" customWidth="1"/>
    <x:col min="3" max="3" width="30" customWidth="1"/>
    <x:col min="4" max="4" width="48.880001068115234" customWidth="1"/>
    <x:col min="5" max="5" width="9.5" customWidth="1"/>
    <x:col min="6" max="6" width="12.75" customWidth="1"/>
    <x:col min="7" max="7" width="40" customWidth="1"/>
    <x:col min="8" max="8" width="25.5" customWidth="1"/>
    <x:col min="9" max="9" width="28.8799991607666" customWidth="1"/>
    <x:col min="10" max="10" width="23.8799991607666" customWidth="1"/>
    <x:col min="11" max="11" width="10.5" customWidth="1"/>
    <x:col min="12" max="12" width="8.880000114440918" customWidth="1"/>
    <x:col min="13" max="13" width="20" customWidth="1"/>
    <x:col min="14" max="14" width="8.380000114440918" customWidth="1"/>
    <x:col min="15" max="15" width="10" customWidth="1"/>
    <x:col min="16" max="16" width="8.880000114440918" customWidth="1"/>
    <x:col min="17" max="17" width="30.5" customWidth="1"/>
    <x:col min="18" max="18" width="9.5" customWidth="1"/>
    <x:col min="19" max="19" width="27.75" customWidth="1"/>
    <x:col min="20" max="20" width="36.630001068115234" customWidth="1"/>
    <x:col min="21" max="21" width="20.5" customWidth="1"/>
    <x:col min="22" max="26" width="8.63000011444091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row>
    <x:row r="2" ht="51" customHeight="1">
      <x:c r="A2" s="5" t="s">
        <x:v>181</x:v>
      </x:c>
      <x:c r="B2" s="4" t="n">
        <x:f>'Evaluation Plan'!B2</x:f>
        <x:v>0</x:v>
      </x:c>
      <x:c r="C2" s="5" t="str">
        <x:f>'Evaluation Plan'!C2</x:f>
        <x:v>Put the open white cup in the bowl.</x:v>
      </x:c>
      <x:c r="D2" s="5" t="str">
        <x:f>'Evaluation Plan'!D2</x:f>
        <x:v>white cup A (O, RU); white cup B (C, RU); glass spice container A (O, RU); yellow-white striped cup B (O, RU)</x:v>
      </x:c>
      <x:c r="E2" s="4" t="n">
        <x:f>'Evaluation Plan'!E2</x:f>
        <x:v>0</x:v>
      </x:c>
      <x:c r="F2" s="4" t="str">
        <x:f>'Evaluation Plan'!F2</x:f>
        <x:v>2</x:v>
      </x:c>
      <x:c r="G2" s="5" t="str">
        <x:f>'Evaluation Plan'!G2</x:f>
        <x:v>Exact manifest episode: trained state-object cell, prompt, same-category candidate structure, and object membership match; physical layout is manually recreated. All objects are upright, matching the context of every explicit open/closed training demonstration.</x:v>
      </x:c>
      <x:c r="H2" s="5" t="str">
        <x:f>'Evaluation Plan'!H2</x:f>
        <x:v>white cup A</x:v>
      </x:c>
      <x:c r="I2" s="5"/>
      <x:c r="J2" s="7" t="str">
        <x:f>'Evaluation Plan'!J2</x:f>
        <x:v>In-distribution concept baseline</x:v>
      </x:c>
      <x:c r="K2" s="4" t="str">
        <x:f>'Evaluation Plan'!K2</x:f>
        <x:v>SR-ID01</x:v>
      </x:c>
      <x:c r="L2" s="4" t="str">
        <x:f>'Evaluation Plan'!L2</x:f>
        <x:v>O</x:v>
      </x:c>
      <x:c r="M2" s="4" t="str">
        <x:f>'Evaluation Plan'!M2</x:f>
        <x:v>white cup</x:v>
      </x:c>
      <x:c r="N2" s="4" t="n">
        <x:f>'Evaluation Plan'!N2</x:f>
        <x:v>4</x:v>
      </x:c>
      <x:c r="O2" s="4" t="n">
        <x:f>'Evaluation Plan'!O2</x:f>
        <x:v>1</x:v>
      </x:c>
      <x:c r="P2" s="4" t="str">
        <x:f>'Evaluation Plan'!P2</x:f>
        <x:v>Empty</x:v>
      </x:c>
      <x:c r="Q2" s="5" t="str">
        <x:f>'Evaluation Plan'!Q2</x:f>
        <x:v>Exact training-supported state-object baseline</x:v>
      </x:c>
      <x:c r="R2" s="4" t="n">
        <x:f>'Evaluation Plan'!R2</x:f>
        <x:v>1</x:v>
      </x:c>
      <x:c r="S2" s="5" t="str">
        <x:f>'Evaluation Plan'!S2</x:f>
        <x:v>Recreate the listed manifest scene with the bowl empty.</x:v>
      </x:c>
      <x:c r="T2" s="5" t="str">
        <x:f>'Evaluation Plan'!T2</x:f>
        <x:v>The queried state-object combination and same-category discrimination structure are explicitly represented in training. The orthogonal orientation axis is fixed: every object is RU.</x:v>
      </x:c>
      <x:c r="U2" s="5" t="n">
        <x:f>'Evaluation Plan'!U2</x:f>
        <x:v>0</x:v>
      </x:c>
    </x:row>
    <x:row r="3" ht="51" customHeight="1">
      <x:c r="A3" s="11" t="s">
        <x:v>181</x:v>
      </x:c>
      <x:c r="B3" s="10" t="n">
        <x:f>'Evaluation Plan'!B3</x:f>
        <x:v>1</x:v>
      </x:c>
      <x:c r="C3" s="11" t="str">
        <x:f>'Evaluation Plan'!C3</x:f>
        <x:v>Put the upright white cup in the bowl.</x:v>
      </x:c>
      <x:c r="D3" s="11" t="str">
        <x:f>'Evaluation Plan'!D3</x:f>
        <x:v>white cup A (O, RU); white cup B (O, UD)</x:v>
      </x:c>
      <x:c r="E3" s="10" t="n">
        <x:f>'Evaluation Plan'!E3</x:f>
        <x:v>0</x:v>
      </x:c>
      <x:c r="F3" s="10" t="str">
        <x:f>'Evaluation Plan'!F3</x:f>
        <x:v>26</x:v>
      </x:c>
      <x:c r="G3" s="11" t="str">
        <x:f>'Evaluation Plan'!G3</x:f>
        <x:v>Exact manifest episode: trained state-object cell, prompt, same-category candidate structure, and object membership match; physical layout is manually recreated.</x:v>
      </x:c>
      <x:c r="H3" s="11" t="str">
        <x:f>'Evaluation Plan'!H3</x:f>
        <x:v>white cup A</x:v>
      </x:c>
      <x:c r="I3" s="11"/>
      <x:c r="J3" s="7" t="str">
        <x:f>'Evaluation Plan'!J3</x:f>
        <x:v>In-distribution concept baseline</x:v>
      </x:c>
      <x:c r="K3" s="10" t="str">
        <x:f>'Evaluation Plan'!K3</x:f>
        <x:v>SR-ID02</x:v>
      </x:c>
      <x:c r="L3" s="10" t="str">
        <x:f>'Evaluation Plan'!L3</x:f>
        <x:v>RU</x:v>
      </x:c>
      <x:c r="M3" s="10" t="str">
        <x:f>'Evaluation Plan'!M3</x:f>
        <x:v>white cup</x:v>
      </x:c>
      <x:c r="N3" s="10" t="n">
        <x:f>'Evaluation Plan'!N3</x:f>
        <x:v>2</x:v>
      </x:c>
      <x:c r="O3" s="10" t="n">
        <x:f>'Evaluation Plan'!O3</x:f>
        <x:v>1</x:v>
      </x:c>
      <x:c r="P3" s="10" t="str">
        <x:f>'Evaluation Plan'!P3</x:f>
        <x:v>Empty</x:v>
      </x:c>
      <x:c r="Q3" s="11" t="str">
        <x:f>'Evaluation Plan'!Q3</x:f>
        <x:v>Exact training-supported state-object baseline</x:v>
      </x:c>
      <x:c r="R3" s="10" t="n">
        <x:f>'Evaluation Plan'!R3</x:f>
        <x:v>1</x:v>
      </x:c>
      <x:c r="S3" s="11" t="str">
        <x:f>'Evaluation Plan'!S3</x:f>
        <x:v>Recreate the listed manifest scene with the bowl empty.</x:v>
      </x:c>
      <x:c r="T3" s="11" t="str">
        <x:f>'Evaluation Plan'!T3</x:f>
        <x:v>The queried state-object combination and same-category discrimination structure are explicitly represented in training. The same-category candidates share the orthogonal C/O state (O).</x:v>
      </x:c>
      <x:c r="U3" s="11" t="n">
        <x:f>'Evaluation Plan'!U3</x:f>
        <x:v>0</x:v>
      </x:c>
    </x:row>
    <x:row r="4" ht="51" customHeight="1">
      <x:c r="A4" s="5" t="s">
        <x:v>181</x:v>
      </x:c>
      <x:c r="B4" s="4" t="n">
        <x:f>'Evaluation Plan'!B4</x:f>
        <x:v>2</x:v>
      </x:c>
      <x:c r="C4" s="5" t="str">
        <x:f>'Evaluation Plan'!C4</x:f>
        <x:v>Move the closed yellow-white striped cup into the bowl.</x:v>
      </x:c>
      <x:c r="D4" s="5" t="str">
        <x:f>'Evaluation Plan'!D4</x:f>
        <x:v>yellow-white striped cup B (C, RU); yellow-white striped cup A (O, RU); white cup A (C, RU)</x:v>
      </x:c>
      <x:c r="E4" s="4" t="n">
        <x:f>'Evaluation Plan'!E4</x:f>
        <x:v>0</x:v>
      </x:c>
      <x:c r="F4" s="4" t="str">
        <x:f>'Evaluation Plan'!F4</x:f>
        <x:v>51</x:v>
      </x:c>
      <x:c r="G4" s="5" t="str">
        <x:f>'Evaluation Plan'!G4</x:f>
        <x:v>Exact manifest episode: trained state-object cell, prompt, same-category candidate structure, and object membership match; physical layout is manually recreated. All objects are upright, matching the context of every explicit open/closed training demonstration.</x:v>
      </x:c>
      <x:c r="H4" s="5" t="str">
        <x:f>'Evaluation Plan'!H4</x:f>
        <x:v>yellow-white striped cup B</x:v>
      </x:c>
      <x:c r="I4" s="5"/>
      <x:c r="J4" s="7" t="str">
        <x:f>'Evaluation Plan'!J4</x:f>
        <x:v>In-distribution concept baseline</x:v>
      </x:c>
      <x:c r="K4" s="4" t="str">
        <x:f>'Evaluation Plan'!K4</x:f>
        <x:v>SR-ID03</x:v>
      </x:c>
      <x:c r="L4" s="4" t="str">
        <x:f>'Evaluation Plan'!L4</x:f>
        <x:v>C</x:v>
      </x:c>
      <x:c r="M4" s="4" t="str">
        <x:f>'Evaluation Plan'!M4</x:f>
        <x:v>yellow-white striped cup</x:v>
      </x:c>
      <x:c r="N4" s="4" t="n">
        <x:f>'Evaluation Plan'!N4</x:f>
        <x:v>3</x:v>
      </x:c>
      <x:c r="O4" s="4" t="n">
        <x:f>'Evaluation Plan'!O4</x:f>
        <x:v>1</x:v>
      </x:c>
      <x:c r="P4" s="4" t="str">
        <x:f>'Evaluation Plan'!P4</x:f>
        <x:v>Empty</x:v>
      </x:c>
      <x:c r="Q4" s="5" t="str">
        <x:f>'Evaluation Plan'!Q4</x:f>
        <x:v>Exact training-supported state-object baseline</x:v>
      </x:c>
      <x:c r="R4" s="4" t="n">
        <x:f>'Evaluation Plan'!R4</x:f>
        <x:v>1</x:v>
      </x:c>
      <x:c r="S4" s="5" t="str">
        <x:f>'Evaluation Plan'!S4</x:f>
        <x:v>Recreate the listed manifest scene with the bowl empty.</x:v>
      </x:c>
      <x:c r="T4" s="5" t="str">
        <x:f>'Evaluation Plan'!T4</x:f>
        <x:v>The queried state-object combination and same-category discrimination structure are explicitly represented in training. The orthogonal orientation axis is fixed: every object is RU.</x:v>
      </x:c>
      <x:c r="U4" s="5" t="n">
        <x:f>'Evaluation Plan'!U4</x:f>
        <x:v>0</x:v>
      </x:c>
    </x:row>
    <x:row r="5" ht="51" customHeight="1">
      <x:c r="A5" s="11" t="s">
        <x:v>181</x:v>
      </x:c>
      <x:c r="B5" s="10" t="n">
        <x:f>'Evaluation Plan'!B5</x:f>
        <x:v>3</x:v>
      </x:c>
      <x:c r="C5" s="11" t="str">
        <x:f>'Evaluation Plan'!C5</x:f>
        <x:v>Move the upside-down yellow-white striped cup into the bowl.</x:v>
      </x:c>
      <x:c r="D5" s="11" t="str">
        <x:f>'Evaluation Plan'!D5</x:f>
        <x:v>yellow-white striped cup B (O, UD); yellow-white striped cup A (O, RU); brown cup B (C, RU); glass spice container A (O, RU)</x:v>
      </x:c>
      <x:c r="E5" s="10" t="n">
        <x:f>'Evaluation Plan'!E5</x:f>
        <x:v>0</x:v>
      </x:c>
      <x:c r="F5" s="10" t="str">
        <x:f>'Evaluation Plan'!F5</x:f>
        <x:v>78</x:v>
      </x:c>
      <x:c r="G5" s="11" t="str">
        <x:f>'Evaluation Plan'!G5</x:f>
        <x:v>Exact manifest episode: trained state-object cell, prompt, same-category candidate structure, and object membership match; physical layout is manually recreated.</x:v>
      </x:c>
      <x:c r="H5" s="11" t="str">
        <x:f>'Evaluation Plan'!H5</x:f>
        <x:v>yellow-white striped cup B</x:v>
      </x:c>
      <x:c r="I5" s="11"/>
      <x:c r="J5" s="7" t="str">
        <x:f>'Evaluation Plan'!J5</x:f>
        <x:v>In-distribution concept baseline</x:v>
      </x:c>
      <x:c r="K5" s="10" t="str">
        <x:f>'Evaluation Plan'!K5</x:f>
        <x:v>SR-ID04</x:v>
      </x:c>
      <x:c r="L5" s="10" t="str">
        <x:f>'Evaluation Plan'!L5</x:f>
        <x:v>UD</x:v>
      </x:c>
      <x:c r="M5" s="10" t="str">
        <x:f>'Evaluation Plan'!M5</x:f>
        <x:v>yellow-white striped cup</x:v>
      </x:c>
      <x:c r="N5" s="10" t="n">
        <x:f>'Evaluation Plan'!N5</x:f>
        <x:v>4</x:v>
      </x:c>
      <x:c r="O5" s="10" t="n">
        <x:f>'Evaluation Plan'!O5</x:f>
        <x:v>1</x:v>
      </x:c>
      <x:c r="P5" s="10" t="str">
        <x:f>'Evaluation Plan'!P5</x:f>
        <x:v>Empty</x:v>
      </x:c>
      <x:c r="Q5" s="11" t="str">
        <x:f>'Evaluation Plan'!Q5</x:f>
        <x:v>Exact training-supported state-object baseline</x:v>
      </x:c>
      <x:c r="R5" s="10" t="n">
        <x:f>'Evaluation Plan'!R5</x:f>
        <x:v>1</x:v>
      </x:c>
      <x:c r="S5" s="11" t="str">
        <x:f>'Evaluation Plan'!S5</x:f>
        <x:v>Recreate the listed manifest scene with the bowl empty.</x:v>
      </x:c>
      <x:c r="T5" s="11" t="str">
        <x:f>'Evaluation Plan'!T5</x:f>
        <x:v>The queried state-object combination and same-category discrimination structure are explicitly represented in training. The same-category candidates share the orthogonal C/O state (O).</x:v>
      </x:c>
      <x:c r="U5" s="11" t="n">
        <x:f>'Evaluation Plan'!U5</x:f>
        <x:v>0</x:v>
      </x:c>
    </x:row>
    <x:row r="6" ht="51" customHeight="1">
      <x:c r="A6" s="5" t="s">
        <x:v>181</x:v>
      </x:c>
      <x:c r="B6" s="4" t="n">
        <x:f>'Evaluation Plan'!B6</x:f>
        <x:v>4</x:v>
      </x:c>
      <x:c r="C6" s="5" t="str">
        <x:f>'Evaluation Plan'!C6</x:f>
        <x:v>Put the open brown cup in the bowl.</x:v>
      </x:c>
      <x:c r="D6" s="5" t="str">
        <x:f>'Evaluation Plan'!D6</x:f>
        <x:v>brown cup B (O, RU); brown cup A (C, RU); glass spice container A (O, RU)</x:v>
      </x:c>
      <x:c r="E6" s="4" t="n">
        <x:f>'Evaluation Plan'!E6</x:f>
        <x:v>0</x:v>
      </x:c>
      <x:c r="F6" s="4" t="str">
        <x:f>'Evaluation Plan'!F6</x:f>
        <x:v>104</x:v>
      </x:c>
      <x:c r="G6" s="5" t="str">
        <x:f>'Evaluation Plan'!G6</x:f>
        <x:v>Exact manifest episode: trained state-object cell, prompt, same-category candidate structure, and object membership match; physical layout is manually recreated. All objects are upright, matching the context of every explicit open/closed training demonstration.</x:v>
      </x:c>
      <x:c r="H6" s="5" t="str">
        <x:f>'Evaluation Plan'!H6</x:f>
        <x:v>brown cup B</x:v>
      </x:c>
      <x:c r="I6" s="5"/>
      <x:c r="J6" s="7" t="str">
        <x:f>'Evaluation Plan'!J6</x:f>
        <x:v>In-distribution concept baseline</x:v>
      </x:c>
      <x:c r="K6" s="4" t="str">
        <x:f>'Evaluation Plan'!K6</x:f>
        <x:v>SR-ID05</x:v>
      </x:c>
      <x:c r="L6" s="4" t="str">
        <x:f>'Evaluation Plan'!L6</x:f>
        <x:v>O</x:v>
      </x:c>
      <x:c r="M6" s="4" t="str">
        <x:f>'Evaluation Plan'!M6</x:f>
        <x:v>brown cup</x:v>
      </x:c>
      <x:c r="N6" s="4" t="n">
        <x:f>'Evaluation Plan'!N6</x:f>
        <x:v>3</x:v>
      </x:c>
      <x:c r="O6" s="4" t="n">
        <x:f>'Evaluation Plan'!O6</x:f>
        <x:v>1</x:v>
      </x:c>
      <x:c r="P6" s="4" t="str">
        <x:f>'Evaluation Plan'!P6</x:f>
        <x:v>Empty</x:v>
      </x:c>
      <x:c r="Q6" s="5" t="str">
        <x:f>'Evaluation Plan'!Q6</x:f>
        <x:v>Exact training-supported state-object baseline</x:v>
      </x:c>
      <x:c r="R6" s="4" t="n">
        <x:f>'Evaluation Plan'!R6</x:f>
        <x:v>1</x:v>
      </x:c>
      <x:c r="S6" s="5" t="str">
        <x:f>'Evaluation Plan'!S6</x:f>
        <x:v>Recreate the listed manifest scene with the bowl empty.</x:v>
      </x:c>
      <x:c r="T6" s="5" t="str">
        <x:f>'Evaluation Plan'!T6</x:f>
        <x:v>The queried state-object combination and same-category discrimination structure are explicitly represented in training. The orthogonal orientation axis is fixed: every object is RU.</x:v>
      </x:c>
      <x:c r="U6" s="5" t="n">
        <x:f>'Evaluation Plan'!U6</x:f>
        <x:v>0</x:v>
      </x:c>
    </x:row>
    <x:row r="7" ht="51" customHeight="1">
      <x:c r="A7" s="11" t="s">
        <x:v>181</x:v>
      </x:c>
      <x:c r="B7" s="10" t="n">
        <x:f>'Evaluation Plan'!B7</x:f>
        <x:v>5</x:v>
      </x:c>
      <x:c r="C7" s="11" t="str">
        <x:f>'Evaluation Plan'!C7</x:f>
        <x:v>Put the upside-down brown cup in the bowl.</x:v>
      </x:c>
      <x:c r="D7" s="11" t="str">
        <x:f>'Evaluation Plan'!D7</x:f>
        <x:v>brown cup A (O, UD); brown cup B (O, RU)</x:v>
      </x:c>
      <x:c r="E7" s="10" t="n">
        <x:f>'Evaluation Plan'!E7</x:f>
        <x:v>0</x:v>
      </x:c>
      <x:c r="F7" s="10" t="str">
        <x:f>'Evaluation Plan'!F7</x:f>
        <x:v>125</x:v>
      </x:c>
      <x:c r="G7" s="11" t="str">
        <x:f>'Evaluation Plan'!G7</x:f>
        <x:v>Exact manifest episode: trained state-object cell, prompt, same-category candidate structure, and object membership match; physical layout is manually recreated.</x:v>
      </x:c>
      <x:c r="H7" s="11" t="str">
        <x:f>'Evaluation Plan'!H7</x:f>
        <x:v>brown cup A</x:v>
      </x:c>
      <x:c r="I7" s="11"/>
      <x:c r="J7" s="7" t="str">
        <x:f>'Evaluation Plan'!J7</x:f>
        <x:v>In-distribution concept baseline</x:v>
      </x:c>
      <x:c r="K7" s="10" t="str">
        <x:f>'Evaluation Plan'!K7</x:f>
        <x:v>SR-ID06</x:v>
      </x:c>
      <x:c r="L7" s="10" t="str">
        <x:f>'Evaluation Plan'!L7</x:f>
        <x:v>UD</x:v>
      </x:c>
      <x:c r="M7" s="10" t="str">
        <x:f>'Evaluation Plan'!M7</x:f>
        <x:v>brown cup</x:v>
      </x:c>
      <x:c r="N7" s="10" t="n">
        <x:f>'Evaluation Plan'!N7</x:f>
        <x:v>2</x:v>
      </x:c>
      <x:c r="O7" s="10" t="n">
        <x:f>'Evaluation Plan'!O7</x:f>
        <x:v>1</x:v>
      </x:c>
      <x:c r="P7" s="10" t="str">
        <x:f>'Evaluation Plan'!P7</x:f>
        <x:v>Empty</x:v>
      </x:c>
      <x:c r="Q7" s="11" t="str">
        <x:f>'Evaluation Plan'!Q7</x:f>
        <x:v>Exact training-supported state-object baseline</x:v>
      </x:c>
      <x:c r="R7" s="10" t="n">
        <x:f>'Evaluation Plan'!R7</x:f>
        <x:v>1</x:v>
      </x:c>
      <x:c r="S7" s="11" t="str">
        <x:f>'Evaluation Plan'!S7</x:f>
        <x:v>Recreate the listed manifest scene with the bowl empty.</x:v>
      </x:c>
      <x:c r="T7" s="11" t="str">
        <x:f>'Evaluation Plan'!T7</x:f>
        <x:v>The queried state-object combination and same-category discrimination structure are explicitly represented in training. The same-category candidates share the orthogonal C/O state (O).</x:v>
      </x:c>
      <x:c r="U7" s="11" t="n">
        <x:f>'Evaluation Plan'!U7</x:f>
        <x:v>0</x:v>
      </x:c>
    </x:row>
    <x:row r="8" ht="51" customHeight="1">
      <x:c r="A8" s="5" t="s">
        <x:v>181</x:v>
      </x:c>
      <x:c r="B8" s="4" t="n">
        <x:f>'Evaluation Plan'!B8</x:f>
        <x:v>6</x:v>
      </x:c>
      <x:c r="C8" s="5" t="str">
        <x:f>'Evaluation Plan'!C8</x:f>
        <x:v>Put the upright brown cup in the bowl.</x:v>
      </x:c>
      <x:c r="D8" s="5" t="str">
        <x:f>'Evaluation Plan'!D8</x:f>
        <x:v>brown cup B (C, RU); brown cup A (C, UD)</x:v>
      </x:c>
      <x:c r="E8" s="4" t="n">
        <x:f>'Evaluation Plan'!E8</x:f>
        <x:v>0</x:v>
      </x:c>
      <x:c r="F8" s="4" t="str">
        <x:f>'Evaluation Plan'!F8</x:f>
        <x:v>134</x:v>
      </x:c>
      <x:c r="G8" s="5" t="str">
        <x:f>'Evaluation Plan'!G8</x:f>
        <x:v>Exact manifest episode: trained state-object cell, prompt, same-category candidate structure, and object membership match; physical layout is manually recreated.</x:v>
      </x:c>
      <x:c r="H8" s="5" t="str">
        <x:f>'Evaluation Plan'!H8</x:f>
        <x:v>brown cup B</x:v>
      </x:c>
      <x:c r="I8" s="5"/>
      <x:c r="J8" s="7" t="str">
        <x:f>'Evaluation Plan'!J8</x:f>
        <x:v>In-distribution concept baseline</x:v>
      </x:c>
      <x:c r="K8" s="4" t="str">
        <x:f>'Evaluation Plan'!K8</x:f>
        <x:v>SR-ID07</x:v>
      </x:c>
      <x:c r="L8" s="4" t="str">
        <x:f>'Evaluation Plan'!L8</x:f>
        <x:v>RU</x:v>
      </x:c>
      <x:c r="M8" s="4" t="str">
        <x:f>'Evaluation Plan'!M8</x:f>
        <x:v>brown cup</x:v>
      </x:c>
      <x:c r="N8" s="4" t="n">
        <x:f>'Evaluation Plan'!N8</x:f>
        <x:v>2</x:v>
      </x:c>
      <x:c r="O8" s="4" t="n">
        <x:f>'Evaluation Plan'!O8</x:f>
        <x:v>1</x:v>
      </x:c>
      <x:c r="P8" s="4" t="str">
        <x:f>'Evaluation Plan'!P8</x:f>
        <x:v>Empty</x:v>
      </x:c>
      <x:c r="Q8" s="5" t="str">
        <x:f>'Evaluation Plan'!Q8</x:f>
        <x:v>Exact training-supported state-object baseline</x:v>
      </x:c>
      <x:c r="R8" s="4" t="n">
        <x:f>'Evaluation Plan'!R8</x:f>
        <x:v>1</x:v>
      </x:c>
      <x:c r="S8" s="5" t="str">
        <x:f>'Evaluation Plan'!S8</x:f>
        <x:v>Recreate the listed manifest scene with the bowl empty.</x:v>
      </x:c>
      <x:c r="T8" s="5" t="str">
        <x:f>'Evaluation Plan'!T8</x:f>
        <x:v>The queried state-object combination and same-category discrimination structure are explicitly represented in training. The same-category candidates share the orthogonal C/O state (C).</x:v>
      </x:c>
      <x:c r="U8" s="5" t="n">
        <x:f>'Evaluation Plan'!U8</x:f>
        <x:v>0</x:v>
      </x:c>
    </x:row>
    <x:row r="9" ht="51" customHeight="1">
      <x:c r="A9" s="11" t="s">
        <x:v>181</x:v>
      </x:c>
      <x:c r="B9" s="10" t="n">
        <x:f>'Evaluation Plan'!B9</x:f>
        <x:v>7</x:v>
      </x:c>
      <x:c r="C9" s="11" t="str">
        <x:f>'Evaluation Plan'!C9</x:f>
        <x:v>Place the closed glass spice container in the bowl.</x:v>
      </x:c>
      <x:c r="D9" s="11" t="str">
        <x:f>'Evaluation Plan'!D9</x:f>
        <x:v>glass spice container A (C, RU); glass spice container B (O, RU); yellow-white striped cup A (C, RU)</x:v>
      </x:c>
      <x:c r="E9" s="10" t="n">
        <x:f>'Evaluation Plan'!E9</x:f>
        <x:v>0</x:v>
      </x:c>
      <x:c r="F9" s="10" t="str">
        <x:f>'Evaluation Plan'!F9</x:f>
        <x:v>151</x:v>
      </x:c>
      <x:c r="G9" s="11" t="str">
        <x:f>'Evaluation Plan'!G9</x:f>
        <x:v>Exact manifest episode: trained state-object cell, prompt, same-category candidate structure, and object membership match; physical layout is manually recreated. All objects are upright, matching the context of every explicit open/closed training demonstration.</x:v>
      </x:c>
      <x:c r="H9" s="11" t="str">
        <x:f>'Evaluation Plan'!H9</x:f>
        <x:v>glass spice container A</x:v>
      </x:c>
      <x:c r="I9" s="11"/>
      <x:c r="J9" s="7" t="str">
        <x:f>'Evaluation Plan'!J9</x:f>
        <x:v>In-distribution concept baseline</x:v>
      </x:c>
      <x:c r="K9" s="10" t="str">
        <x:f>'Evaluation Plan'!K9</x:f>
        <x:v>SR-ID08</x:v>
      </x:c>
      <x:c r="L9" s="10" t="str">
        <x:f>'Evaluation Plan'!L9</x:f>
        <x:v>C</x:v>
      </x:c>
      <x:c r="M9" s="10" t="str">
        <x:f>'Evaluation Plan'!M9</x:f>
        <x:v>glass spice container</x:v>
      </x:c>
      <x:c r="N9" s="10" t="n">
        <x:f>'Evaluation Plan'!N9</x:f>
        <x:v>3</x:v>
      </x:c>
      <x:c r="O9" s="10" t="n">
        <x:f>'Evaluation Plan'!O9</x:f>
        <x:v>1</x:v>
      </x:c>
      <x:c r="P9" s="10" t="str">
        <x:f>'Evaluation Plan'!P9</x:f>
        <x:v>Empty</x:v>
      </x:c>
      <x:c r="Q9" s="11" t="str">
        <x:f>'Evaluation Plan'!Q9</x:f>
        <x:v>Exact training-supported state-object baseline</x:v>
      </x:c>
      <x:c r="R9" s="10" t="n">
        <x:f>'Evaluation Plan'!R9</x:f>
        <x:v>1</x:v>
      </x:c>
      <x:c r="S9" s="11" t="str">
        <x:f>'Evaluation Plan'!S9</x:f>
        <x:v>Recreate the listed manifest scene with the bowl empty.</x:v>
      </x:c>
      <x:c r="T9" s="11" t="str">
        <x:f>'Evaluation Plan'!T9</x:f>
        <x:v>The queried state-object combination and same-category discrimination structure are explicitly represented in training. The orthogonal orientation axis is fixed: every object is RU.</x:v>
      </x:c>
      <x:c r="U9" s="11" t="n">
        <x:f>'Evaluation Plan'!U9</x:f>
        <x:v>0</x:v>
      </x:c>
    </x:row>
    <x:row r="10" ht="51" customHeight="1">
      <x:c r="A10" s="5" t="s">
        <x:v>181</x:v>
      </x:c>
      <x:c r="B10" s="4" t="n">
        <x:f>'Evaluation Plan'!B10</x:f>
        <x:v>8</x:v>
      </x:c>
      <x:c r="C10" s="5" t="str">
        <x:f>'Evaluation Plan'!C10</x:f>
        <x:v>Move the open glass spice container into the bowl.</x:v>
      </x:c>
      <x:c r="D10" s="5" t="str">
        <x:f>'Evaluation Plan'!D10</x:f>
        <x:v>glass spice container B (O, RU); glass spice container A (C, RU); white cup B (O, RU)</x:v>
      </x:c>
      <x:c r="E10" s="4" t="n">
        <x:f>'Evaluation Plan'!E10</x:f>
        <x:v>0</x:v>
      </x:c>
      <x:c r="F10" s="4" t="str">
        <x:f>'Evaluation Plan'!F10</x:f>
        <x:v>156</x:v>
      </x:c>
      <x:c r="G10" s="5" t="str">
        <x:f>'Evaluation Plan'!G10</x:f>
        <x:v>Exact manifest episode: trained state-object cell, prompt, same-category candidate structure, and object membership match; physical layout is manually recreated. All objects are upright, matching the context of every explicit open/closed training demonstration.</x:v>
      </x:c>
      <x:c r="H10" s="5" t="str">
        <x:f>'Evaluation Plan'!H10</x:f>
        <x:v>glass spice container B</x:v>
      </x:c>
      <x:c r="I10" s="5"/>
      <x:c r="J10" s="7" t="str">
        <x:f>'Evaluation Plan'!J10</x:f>
        <x:v>In-distribution concept baseline</x:v>
      </x:c>
      <x:c r="K10" s="4" t="str">
        <x:f>'Evaluation Plan'!K10</x:f>
        <x:v>SR-ID09</x:v>
      </x:c>
      <x:c r="L10" s="4" t="str">
        <x:f>'Evaluation Plan'!L10</x:f>
        <x:v>O</x:v>
      </x:c>
      <x:c r="M10" s="4" t="str">
        <x:f>'Evaluation Plan'!M10</x:f>
        <x:v>glass spice container</x:v>
      </x:c>
      <x:c r="N10" s="4" t="n">
        <x:f>'Evaluation Plan'!N10</x:f>
        <x:v>3</x:v>
      </x:c>
      <x:c r="O10" s="4" t="n">
        <x:f>'Evaluation Plan'!O10</x:f>
        <x:v>1</x:v>
      </x:c>
      <x:c r="P10" s="4" t="str">
        <x:f>'Evaluation Plan'!P10</x:f>
        <x:v>Empty</x:v>
      </x:c>
      <x:c r="Q10" s="5" t="str">
        <x:f>'Evaluation Plan'!Q10</x:f>
        <x:v>Exact training-supported state-object baseline</x:v>
      </x:c>
      <x:c r="R10" s="4" t="n">
        <x:f>'Evaluation Plan'!R10</x:f>
        <x:v>1</x:v>
      </x:c>
      <x:c r="S10" s="5" t="str">
        <x:f>'Evaluation Plan'!S10</x:f>
        <x:v>Recreate the listed manifest scene with the bowl empty.</x:v>
      </x:c>
      <x:c r="T10" s="5" t="str">
        <x:f>'Evaluation Plan'!T10</x:f>
        <x:v>The queried state-object combination and same-category discrimination structure are explicitly represented in training. The orthogonal orientation axis is fixed: every object is RU.</x:v>
      </x:c>
      <x:c r="U10" s="5" t="n">
        <x:f>'Evaluation Plan'!U10</x:f>
        <x:v>0</x:v>
      </x:c>
    </x:row>
    <x:row r="11" ht="51" customHeight="1">
      <x:c r="A11" s="11" t="s">
        <x:v>181</x:v>
      </x:c>
      <x:c r="B11" s="10" t="n">
        <x:f>'Evaluation Plan'!B11</x:f>
        <x:v>9</x:v>
      </x:c>
      <x:c r="C11" s="11" t="str">
        <x:f>'Evaluation Plan'!C11</x:f>
        <x:v>Put the upside-down glass spice container in the bowl.</x:v>
      </x:c>
      <x:c r="D11" s="11" t="str">
        <x:f>'Evaluation Plan'!D11</x:f>
        <x:v>glass spice container B (C, UD); glass spice container A (C, RU)</x:v>
      </x:c>
      <x:c r="E11" s="10" t="n">
        <x:f>'Evaluation Plan'!E11</x:f>
        <x:v>0</x:v>
      </x:c>
      <x:c r="F11" s="10" t="str">
        <x:f>'Evaluation Plan'!F11</x:f>
        <x:v>176</x:v>
      </x:c>
      <x:c r="G11" s="11" t="str">
        <x:f>'Evaluation Plan'!G11</x:f>
        <x:v>Exact manifest episode: trained state-object cell, prompt, same-category candidate structure, and object membership match; physical layout is manually recreated.</x:v>
      </x:c>
      <x:c r="H11" s="11" t="str">
        <x:f>'Evaluation Plan'!H11</x:f>
        <x:v>glass spice container B</x:v>
      </x:c>
      <x:c r="I11" s="11"/>
      <x:c r="J11" s="7" t="str">
        <x:f>'Evaluation Plan'!J11</x:f>
        <x:v>In-distribution concept baseline</x:v>
      </x:c>
      <x:c r="K11" s="10" t="str">
        <x:f>'Evaluation Plan'!K11</x:f>
        <x:v>SR-ID10</x:v>
      </x:c>
      <x:c r="L11" s="10" t="str">
        <x:f>'Evaluation Plan'!L11</x:f>
        <x:v>UD</x:v>
      </x:c>
      <x:c r="M11" s="10" t="str">
        <x:f>'Evaluation Plan'!M11</x:f>
        <x:v>glass spice container</x:v>
      </x:c>
      <x:c r="N11" s="10" t="n">
        <x:f>'Evaluation Plan'!N11</x:f>
        <x:v>2</x:v>
      </x:c>
      <x:c r="O11" s="10" t="n">
        <x:f>'Evaluation Plan'!O11</x:f>
        <x:v>1</x:v>
      </x:c>
      <x:c r="P11" s="10" t="str">
        <x:f>'Evaluation Plan'!P11</x:f>
        <x:v>Empty</x:v>
      </x:c>
      <x:c r="Q11" s="11" t="str">
        <x:f>'Evaluation Plan'!Q11</x:f>
        <x:v>Exact training-supported state-object baseline</x:v>
      </x:c>
      <x:c r="R11" s="10" t="n">
        <x:f>'Evaluation Plan'!R11</x:f>
        <x:v>1</x:v>
      </x:c>
      <x:c r="S11" s="11" t="str">
        <x:f>'Evaluation Plan'!S11</x:f>
        <x:v>Recreate the listed manifest scene with the bowl empty.</x:v>
      </x:c>
      <x:c r="T11" s="11" t="str">
        <x:f>'Evaluation Plan'!T11</x:f>
        <x:v>The queried state-object combination and same-category discrimination structure are explicitly represented in training. The same-category candidates share the orthogonal C/O state (C).</x:v>
      </x:c>
      <x:c r="U11" s="11" t="n">
        <x:f>'Evaluation Plan'!U11</x:f>
        <x:v>0</x:v>
      </x:c>
    </x:row>
    <x:row r="12" ht="51" customHeight="1">
      <x:c r="A12" s="5" t="s">
        <x:v>181</x:v>
      </x:c>
      <x:c r="B12" s="4" t="n">
        <x:f>'Evaluation Plan'!B12</x:f>
        <x:v>10</x:v>
      </x:c>
      <x:c r="C12" s="5" t="str">
        <x:f>'Evaluation Plan'!C12</x:f>
        <x:v>Move the closed white cup into the bowl.</x:v>
      </x:c>
      <x:c r="D12" s="5" t="str">
        <x:f>'Evaluation Plan'!D12</x:f>
        <x:v>white cup B (C, RU); white cup A (O, RU); yellow-white striped cup A (C, RU); brown cup B (C, RU)</x:v>
      </x:c>
      <x:c r="E12" s="4" t="n">
        <x:f>'Evaluation Plan'!E12</x:f>
        <x:v>0</x:v>
      </x:c>
      <x:c r="F12" s="4" t="str">
        <x:f>'Evaluation Plan'!F12</x:f>
        <x:v>0</x:v>
      </x:c>
      <x:c r="G12" s="5" t="str">
        <x:f>'Evaluation Plan'!G12</x:f>
        <x:v>Exact manifest episode: trained state-object cell, prompt, same-category candidate structure, and object membership match; physical layout is manually recreated. All objects are upright, matching the context of every explicit open/closed training demonstration.</x:v>
      </x:c>
      <x:c r="H12" s="5" t="str">
        <x:f>'Evaluation Plan'!H12</x:f>
        <x:v>white cup B</x:v>
      </x:c>
      <x:c r="I12" s="5"/>
      <x:c r="J12" s="7" t="str">
        <x:f>'Evaluation Plan'!J12</x:f>
        <x:v>In-distribution concept baseline</x:v>
      </x:c>
      <x:c r="K12" s="4" t="str">
        <x:f>'Evaluation Plan'!K12</x:f>
        <x:v>SR-ID11</x:v>
      </x:c>
      <x:c r="L12" s="4" t="str">
        <x:f>'Evaluation Plan'!L12</x:f>
        <x:v>C</x:v>
      </x:c>
      <x:c r="M12" s="4" t="str">
        <x:f>'Evaluation Plan'!M12</x:f>
        <x:v>white cup</x:v>
      </x:c>
      <x:c r="N12" s="4" t="n">
        <x:f>'Evaluation Plan'!N12</x:f>
        <x:v>4</x:v>
      </x:c>
      <x:c r="O12" s="4" t="n">
        <x:f>'Evaluation Plan'!O12</x:f>
        <x:v>1</x:v>
      </x:c>
      <x:c r="P12" s="4" t="str">
        <x:f>'Evaluation Plan'!P12</x:f>
        <x:v>Empty</x:v>
      </x:c>
      <x:c r="Q12" s="5" t="str">
        <x:f>'Evaluation Plan'!Q12</x:f>
        <x:v>Exact training-supported state-object baseline</x:v>
      </x:c>
      <x:c r="R12" s="4" t="n">
        <x:f>'Evaluation Plan'!R12</x:f>
        <x:v>1</x:v>
      </x:c>
      <x:c r="S12" s="5" t="str">
        <x:f>'Evaluation Plan'!S12</x:f>
        <x:v>Recreate the listed manifest scene with the bowl empty.</x:v>
      </x:c>
      <x:c r="T12" s="5" t="str">
        <x:f>'Evaluation Plan'!T12</x:f>
        <x:v>The queried state-object combination and same-category discrimination structure are explicitly represented in training. The orthogonal orientation axis is fixed: every object is RU.</x:v>
      </x:c>
      <x:c r="U12" s="5" t="n">
        <x:f>'Evaluation Plan'!U12</x:f>
        <x:v>0</x:v>
      </x:c>
    </x:row>
    <x:row r="13" ht="51" customHeight="1">
      <x:c r="A13" s="11" t="s">
        <x:v>181</x:v>
      </x:c>
      <x:c r="B13" s="10" t="n">
        <x:f>'Evaluation Plan'!B13</x:f>
        <x:v>11</x:v>
      </x:c>
      <x:c r="C13" s="11" t="str">
        <x:f>'Evaluation Plan'!C13</x:f>
        <x:v>Place the closed white cup in the bowl.</x:v>
      </x:c>
      <x:c r="D13" s="11" t="str">
        <x:f>'Evaluation Plan'!D13</x:f>
        <x:v>white cup A (C, RU); white cup B (O, RU); brown cup B (O, RU)</x:v>
      </x:c>
      <x:c r="E13" s="10" t="n">
        <x:f>'Evaluation Plan'!E13</x:f>
        <x:v>0</x:v>
      </x:c>
      <x:c r="F13" s="10" t="str">
        <x:f>'Evaluation Plan'!F13</x:f>
        <x:v>7</x:v>
      </x:c>
      <x:c r="G13" s="11" t="str">
        <x:f>'Evaluation Plan'!G13</x:f>
        <x:v>Exact manifest episode: trained state-object cell, prompt, same-category candidate structure, and object membership match; physical layout is manually recreated. All objects are upright, matching the context of every explicit open/closed training demonstration.</x:v>
      </x:c>
      <x:c r="H13" s="11" t="str">
        <x:f>'Evaluation Plan'!H13</x:f>
        <x:v>white cup A</x:v>
      </x:c>
      <x:c r="I13" s="11"/>
      <x:c r="J13" s="7" t="str">
        <x:f>'Evaluation Plan'!J13</x:f>
        <x:v>In-distribution concept baseline</x:v>
      </x:c>
      <x:c r="K13" s="10" t="str">
        <x:f>'Evaluation Plan'!K13</x:f>
        <x:v>SR-ID12</x:v>
      </x:c>
      <x:c r="L13" s="10" t="str">
        <x:f>'Evaluation Plan'!L13</x:f>
        <x:v>C</x:v>
      </x:c>
      <x:c r="M13" s="10" t="str">
        <x:f>'Evaluation Plan'!M13</x:f>
        <x:v>white cup</x:v>
      </x:c>
      <x:c r="N13" s="10" t="n">
        <x:f>'Evaluation Plan'!N13</x:f>
        <x:v>3</x:v>
      </x:c>
      <x:c r="O13" s="10" t="n">
        <x:f>'Evaluation Plan'!O13</x:f>
        <x:v>1</x:v>
      </x:c>
      <x:c r="P13" s="10" t="str">
        <x:f>'Evaluation Plan'!P13</x:f>
        <x:v>Empty</x:v>
      </x:c>
      <x:c r="Q13" s="11" t="str">
        <x:f>'Evaluation Plan'!Q13</x:f>
        <x:v>Exact training-supported state-object baseline</x:v>
      </x:c>
      <x:c r="R13" s="10" t="n">
        <x:f>'Evaluation Plan'!R13</x:f>
        <x:v>1</x:v>
      </x:c>
      <x:c r="S13" s="11" t="str">
        <x:f>'Evaluation Plan'!S13</x:f>
        <x:v>Recreate the listed manifest scene with the bowl empty.</x:v>
      </x:c>
      <x:c r="T13" s="11" t="str">
        <x:f>'Evaluation Plan'!T13</x:f>
        <x:v>The queried state-object combination and same-category discrimination structure are explicitly represented in training. The orthogonal orientation axis is fixed: every object is RU.</x:v>
      </x:c>
      <x:c r="U13" s="11" t="n">
        <x:f>'Evaluation Plan'!U13</x:f>
        <x:v>0</x:v>
      </x:c>
    </x:row>
    <x:row r="14" ht="51" customHeight="1">
      <x:c r="A14" s="5" t="s">
        <x:v>181</x:v>
      </x:c>
      <x:c r="B14" s="4" t="n">
        <x:f>'Evaluation Plan'!B14</x:f>
        <x:v>12</x:v>
      </x:c>
      <x:c r="C14" s="5" t="str">
        <x:f>'Evaluation Plan'!C14</x:f>
        <x:v>Put the open white cup in the bowl.</x:v>
      </x:c>
      <x:c r="D14" s="5" t="str">
        <x:f>'Evaluation Plan'!D14</x:f>
        <x:v>white cup B (O, RU); white cup A (C, RU); glass spice container B (O, RU)</x:v>
      </x:c>
      <x:c r="E14" s="4" t="n">
        <x:f>'Evaluation Plan'!E14</x:f>
        <x:v>0</x:v>
      </x:c>
      <x:c r="F14" s="4" t="str">
        <x:f>'Evaluation Plan'!F14</x:f>
        <x:v>17</x:v>
      </x:c>
      <x:c r="G14" s="5" t="str">
        <x:f>'Evaluation Plan'!G14</x:f>
        <x:v>Exact manifest episode: trained state-object cell, prompt, same-category candidate structure, and object membership match; physical layout is manually recreated. All objects are upright, matching the context of every explicit open/closed training demonstration.</x:v>
      </x:c>
      <x:c r="H14" s="5" t="str">
        <x:f>'Evaluation Plan'!H14</x:f>
        <x:v>white cup B</x:v>
      </x:c>
      <x:c r="I14" s="5"/>
      <x:c r="J14" s="7" t="str">
        <x:f>'Evaluation Plan'!J14</x:f>
        <x:v>In-distribution concept baseline</x:v>
      </x:c>
      <x:c r="K14" s="4" t="str">
        <x:f>'Evaluation Plan'!K14</x:f>
        <x:v>SR-ID13</x:v>
      </x:c>
      <x:c r="L14" s="4" t="str">
        <x:f>'Evaluation Plan'!L14</x:f>
        <x:v>O</x:v>
      </x:c>
      <x:c r="M14" s="4" t="str">
        <x:f>'Evaluation Plan'!M14</x:f>
        <x:v>white cup</x:v>
      </x:c>
      <x:c r="N14" s="4" t="n">
        <x:f>'Evaluation Plan'!N14</x:f>
        <x:v>3</x:v>
      </x:c>
      <x:c r="O14" s="4" t="n">
        <x:f>'Evaluation Plan'!O14</x:f>
        <x:v>1</x:v>
      </x:c>
      <x:c r="P14" s="4" t="str">
        <x:f>'Evaluation Plan'!P14</x:f>
        <x:v>Empty</x:v>
      </x:c>
      <x:c r="Q14" s="5" t="str">
        <x:f>'Evaluation Plan'!Q14</x:f>
        <x:v>Exact training-supported state-object baseline</x:v>
      </x:c>
      <x:c r="R14" s="4" t="n">
        <x:f>'Evaluation Plan'!R14</x:f>
        <x:v>1</x:v>
      </x:c>
      <x:c r="S14" s="5" t="str">
        <x:f>'Evaluation Plan'!S14</x:f>
        <x:v>Recreate the listed manifest scene with the bowl empty.</x:v>
      </x:c>
      <x:c r="T14" s="5" t="str">
        <x:f>'Evaluation Plan'!T14</x:f>
        <x:v>The queried state-object combination and same-category discrimination structure are explicitly represented in training. The orthogonal orientation axis is fixed: every object is RU.</x:v>
      </x:c>
      <x:c r="U14" s="5" t="n">
        <x:f>'Evaluation Plan'!U14</x:f>
        <x:v>0</x:v>
      </x:c>
    </x:row>
    <x:row r="15" ht="51" customHeight="1">
      <x:c r="A15" s="11" t="s">
        <x:v>181</x:v>
      </x:c>
      <x:c r="B15" s="10" t="n">
        <x:f>'Evaluation Plan'!B15</x:f>
        <x:v>13</x:v>
      </x:c>
      <x:c r="C15" s="11" t="str">
        <x:f>'Evaluation Plan'!C15</x:f>
        <x:v>Place the upside-down yellow-white striped cup in the bowl.</x:v>
      </x:c>
      <x:c r="D15" s="11" t="str">
        <x:f>'Evaluation Plan'!D15</x:f>
        <x:v>yellow-white striped cup A (O, UD); yellow-white striped cup B (O, RU)</x:v>
      </x:c>
      <x:c r="E15" s="10" t="n">
        <x:f>'Evaluation Plan'!E15</x:f>
        <x:v>0</x:v>
      </x:c>
      <x:c r="F15" s="10" t="str">
        <x:f>'Evaluation Plan'!F15</x:f>
        <x:v>88</x:v>
      </x:c>
      <x:c r="G15" s="11" t="str">
        <x:f>'Evaluation Plan'!G15</x:f>
        <x:v>Exact manifest episode: trained state-object cell, prompt, same-category candidate structure, and object membership match; physical layout is manually recreated.</x:v>
      </x:c>
      <x:c r="H15" s="11" t="str">
        <x:f>'Evaluation Plan'!H15</x:f>
        <x:v>yellow-white striped cup A</x:v>
      </x:c>
      <x:c r="I15" s="11"/>
      <x:c r="J15" s="7" t="str">
        <x:f>'Evaluation Plan'!J15</x:f>
        <x:v>In-distribution concept baseline</x:v>
      </x:c>
      <x:c r="K15" s="10" t="str">
        <x:f>'Evaluation Plan'!K15</x:f>
        <x:v>SR-ID14</x:v>
      </x:c>
      <x:c r="L15" s="10" t="str">
        <x:f>'Evaluation Plan'!L15</x:f>
        <x:v>UD</x:v>
      </x:c>
      <x:c r="M15" s="10" t="str">
        <x:f>'Evaluation Plan'!M15</x:f>
        <x:v>yellow-white striped cup</x:v>
      </x:c>
      <x:c r="N15" s="10" t="n">
        <x:f>'Evaluation Plan'!N15</x:f>
        <x:v>2</x:v>
      </x:c>
      <x:c r="O15" s="10" t="n">
        <x:f>'Evaluation Plan'!O15</x:f>
        <x:v>1</x:v>
      </x:c>
      <x:c r="P15" s="10" t="str">
        <x:f>'Evaluation Plan'!P15</x:f>
        <x:v>Empty</x:v>
      </x:c>
      <x:c r="Q15" s="11" t="str">
        <x:f>'Evaluation Plan'!Q15</x:f>
        <x:v>Exact training-supported state-object baseline</x:v>
      </x:c>
      <x:c r="R15" s="10" t="n">
        <x:f>'Evaluation Plan'!R15</x:f>
        <x:v>1</x:v>
      </x:c>
      <x:c r="S15" s="11" t="str">
        <x:f>'Evaluation Plan'!S15</x:f>
        <x:v>Recreate the listed manifest scene with the bowl empty.</x:v>
      </x:c>
      <x:c r="T15" s="11" t="str">
        <x:f>'Evaluation Plan'!T15</x:f>
        <x:v>The queried state-object combination and same-category discrimination structure are explicitly represented in training. The same-category candidates share the orthogonal C/O state (O).</x:v>
      </x:c>
      <x:c r="U15" s="11" t="n">
        <x:f>'Evaluation Plan'!U15</x:f>
        <x:v>0</x:v>
      </x:c>
    </x:row>
    <x:row r="16" ht="51" customHeight="1">
      <x:c r="A16" s="5" t="s">
        <x:v>181</x:v>
      </x:c>
      <x:c r="B16" s="4" t="n">
        <x:f>'Evaluation Plan'!B16</x:f>
        <x:v>14</x:v>
      </x:c>
      <x:c r="C16" s="5" t="str">
        <x:f>'Evaluation Plan'!C16</x:f>
        <x:v>Move the upright yellow-white striped cup into the bowl.</x:v>
      </x:c>
      <x:c r="D16" s="5" t="str">
        <x:f>'Evaluation Plan'!D16</x:f>
        <x:v>yellow-white striped cup A (O, RU); yellow-white striped cup B (O, UD); glass spice container A (O, RU); white cup B (C, UD)</x:v>
      </x:c>
      <x:c r="E16" s="4" t="n">
        <x:f>'Evaluation Plan'!E16</x:f>
        <x:v>0</x:v>
      </x:c>
      <x:c r="F16" s="4" t="str">
        <x:f>'Evaluation Plan'!F16</x:f>
        <x:v>75</x:v>
      </x:c>
      <x:c r="G16" s="5" t="str">
        <x:f>'Evaluation Plan'!G16</x:f>
        <x:v>Exact manifest episode: trained state-object cell, prompt, same-category candidate structure, and object membership match; physical layout is manually recreated.</x:v>
      </x:c>
      <x:c r="H16" s="5" t="str">
        <x:f>'Evaluation Plan'!H16</x:f>
        <x:v>yellow-white striped cup A</x:v>
      </x:c>
      <x:c r="I16" s="5"/>
      <x:c r="J16" s="7" t="str">
        <x:f>'Evaluation Plan'!J16</x:f>
        <x:v>In-distribution concept baseline</x:v>
      </x:c>
      <x:c r="K16" s="4" t="str">
        <x:f>'Evaluation Plan'!K16</x:f>
        <x:v>SR-ID15</x:v>
      </x:c>
      <x:c r="L16" s="4" t="str">
        <x:f>'Evaluation Plan'!L16</x:f>
        <x:v>RU</x:v>
      </x:c>
      <x:c r="M16" s="4" t="str">
        <x:f>'Evaluation Plan'!M16</x:f>
        <x:v>yellow-white striped cup</x:v>
      </x:c>
      <x:c r="N16" s="4" t="n">
        <x:f>'Evaluation Plan'!N16</x:f>
        <x:v>4</x:v>
      </x:c>
      <x:c r="O16" s="4" t="n">
        <x:f>'Evaluation Plan'!O16</x:f>
        <x:v>1</x:v>
      </x:c>
      <x:c r="P16" s="4" t="str">
        <x:f>'Evaluation Plan'!P16</x:f>
        <x:v>Empty</x:v>
      </x:c>
      <x:c r="Q16" s="5" t="str">
        <x:f>'Evaluation Plan'!Q16</x:f>
        <x:v>Exact training-supported state-object baseline</x:v>
      </x:c>
      <x:c r="R16" s="4" t="n">
        <x:f>'Evaluation Plan'!R16</x:f>
        <x:v>1</x:v>
      </x:c>
      <x:c r="S16" s="5" t="str">
        <x:f>'Evaluation Plan'!S16</x:f>
        <x:v>Recreate the listed manifest scene with the bowl empty.</x:v>
      </x:c>
      <x:c r="T16" s="5" t="str">
        <x:f>'Evaluation Plan'!T16</x:f>
        <x:v>The queried state-object combination and same-category discrimination structure are explicitly represented in training. The same-category candidates share the orthogonal C/O state (O).</x:v>
      </x:c>
      <x:c r="U16" s="5" t="n">
        <x:f>'Evaluation Plan'!U16</x:f>
        <x:v>0</x:v>
      </x:c>
    </x:row>
    <x:row r="17" ht="51" customHeight="1">
      <x:c r="A17" s="11" t="s">
        <x:v>181</x:v>
      </x:c>
      <x:c r="B17" s="10" t="n">
        <x:f>'Evaluation Plan'!B17</x:f>
        <x:v>15</x:v>
      </x:c>
      <x:c r="C17" s="11" t="str">
        <x:f>'Evaluation Plan'!C17</x:f>
        <x:v>Put the upright yellow-white striped cup in the bowl.</x:v>
      </x:c>
      <x:c r="D17" s="11" t="str">
        <x:f>'Evaluation Plan'!D17</x:f>
        <x:v>yellow-white striped cup B (C, RU); yellow-white striped cup A (C, UD)</x:v>
      </x:c>
      <x:c r="E17" s="10" t="n">
        <x:f>'Evaluation Plan'!E17</x:f>
        <x:v>0</x:v>
      </x:c>
      <x:c r="F17" s="10" t="str">
        <x:f>'Evaluation Plan'!F17</x:f>
        <x:v>80</x:v>
      </x:c>
      <x:c r="G17" s="11" t="str">
        <x:f>'Evaluation Plan'!G17</x:f>
        <x:v>Exact manifest episode: trained state-object cell, prompt, same-category candidate structure, and object membership match; physical layout is manually recreated.</x:v>
      </x:c>
      <x:c r="H17" s="11" t="str">
        <x:f>'Evaluation Plan'!H17</x:f>
        <x:v>yellow-white striped cup B</x:v>
      </x:c>
      <x:c r="I17" s="11"/>
      <x:c r="J17" s="7" t="str">
        <x:f>'Evaluation Plan'!J17</x:f>
        <x:v>In-distribution concept baseline</x:v>
      </x:c>
      <x:c r="K17" s="10" t="str">
        <x:f>'Evaluation Plan'!K17</x:f>
        <x:v>SR-ID16</x:v>
      </x:c>
      <x:c r="L17" s="10" t="str">
        <x:f>'Evaluation Plan'!L17</x:f>
        <x:v>RU</x:v>
      </x:c>
      <x:c r="M17" s="10" t="str">
        <x:f>'Evaluation Plan'!M17</x:f>
        <x:v>yellow-white striped cup</x:v>
      </x:c>
      <x:c r="N17" s="10" t="n">
        <x:f>'Evaluation Plan'!N17</x:f>
        <x:v>2</x:v>
      </x:c>
      <x:c r="O17" s="10" t="n">
        <x:f>'Evaluation Plan'!O17</x:f>
        <x:v>1</x:v>
      </x:c>
      <x:c r="P17" s="10" t="str">
        <x:f>'Evaluation Plan'!P17</x:f>
        <x:v>Empty</x:v>
      </x:c>
      <x:c r="Q17" s="11" t="str">
        <x:f>'Evaluation Plan'!Q17</x:f>
        <x:v>Exact training-supported state-object baseline</x:v>
      </x:c>
      <x:c r="R17" s="10" t="n">
        <x:f>'Evaluation Plan'!R17</x:f>
        <x:v>1</x:v>
      </x:c>
      <x:c r="S17" s="11" t="str">
        <x:f>'Evaluation Plan'!S17</x:f>
        <x:v>Recreate the listed manifest scene with the bowl empty.</x:v>
      </x:c>
      <x:c r="T17" s="11" t="str">
        <x:f>'Evaluation Plan'!T17</x:f>
        <x:v>The queried state-object combination and same-category discrimination structure are explicitly represented in training. The same-category candidates share the orthogonal C/O state (C).</x:v>
      </x:c>
      <x:c r="U17" s="11" t="n">
        <x:f>'Evaluation Plan'!U17</x:f>
        <x:v>0</x:v>
      </x:c>
    </x:row>
    <x:row r="18" ht="51" customHeight="1">
      <x:c r="A18" s="5" t="s">
        <x:v>181</x:v>
      </x:c>
      <x:c r="B18" s="4" t="n">
        <x:f>'Evaluation Plan'!B18</x:f>
        <x:v>16</x:v>
      </x:c>
      <x:c r="C18" s="5" t="str">
        <x:f>'Evaluation Plan'!C18</x:f>
        <x:v>Move the upside-down brown cup into the bowl.</x:v>
      </x:c>
      <x:c r="D18" s="5" t="str">
        <x:f>'Evaluation Plan'!D18</x:f>
        <x:v>brown cup A (C, UD); brown cup B (C, RU); yellow-white striped cup B (C, UD); glass spice container A (O, RU)</x:v>
      </x:c>
      <x:c r="E18" s="4" t="n">
        <x:f>'Evaluation Plan'!E18</x:f>
        <x:v>0</x:v>
      </x:c>
      <x:c r="F18" s="4" t="str">
        <x:f>'Evaluation Plan'!F18</x:f>
        <x:v>135</x:v>
      </x:c>
      <x:c r="G18" s="5" t="str">
        <x:f>'Evaluation Plan'!G18</x:f>
        <x:v>Exact manifest episode: trained state-object cell, prompt, same-category candidate structure, and object membership match; physical layout is manually recreated.</x:v>
      </x:c>
      <x:c r="H18" s="5" t="str">
        <x:f>'Evaluation Plan'!H18</x:f>
        <x:v>brown cup A</x:v>
      </x:c>
      <x:c r="I18" s="5"/>
      <x:c r="J18" s="7" t="str">
        <x:f>'Evaluation Plan'!J18</x:f>
        <x:v>In-distribution concept baseline</x:v>
      </x:c>
      <x:c r="K18" s="4" t="str">
        <x:f>'Evaluation Plan'!K18</x:f>
        <x:v>SR-ID17</x:v>
      </x:c>
      <x:c r="L18" s="4" t="str">
        <x:f>'Evaluation Plan'!L18</x:f>
        <x:v>UD</x:v>
      </x:c>
      <x:c r="M18" s="4" t="str">
        <x:f>'Evaluation Plan'!M18</x:f>
        <x:v>brown cup</x:v>
      </x:c>
      <x:c r="N18" s="4" t="n">
        <x:f>'Evaluation Plan'!N18</x:f>
        <x:v>4</x:v>
      </x:c>
      <x:c r="O18" s="4" t="n">
        <x:f>'Evaluation Plan'!O18</x:f>
        <x:v>1</x:v>
      </x:c>
      <x:c r="P18" s="4" t="str">
        <x:f>'Evaluation Plan'!P18</x:f>
        <x:v>Empty</x:v>
      </x:c>
      <x:c r="Q18" s="5" t="str">
        <x:f>'Evaluation Plan'!Q18</x:f>
        <x:v>Exact training-supported state-object baseline</x:v>
      </x:c>
      <x:c r="R18" s="4" t="n">
        <x:f>'Evaluation Plan'!R18</x:f>
        <x:v>1</x:v>
      </x:c>
      <x:c r="S18" s="5" t="str">
        <x:f>'Evaluation Plan'!S18</x:f>
        <x:v>Recreate the listed manifest scene with the bowl empty.</x:v>
      </x:c>
      <x:c r="T18" s="5" t="str">
        <x:f>'Evaluation Plan'!T18</x:f>
        <x:v>The queried state-object combination and same-category discrimination structure are explicitly represented in training. The same-category candidates share the orthogonal C/O state (C).</x:v>
      </x:c>
      <x:c r="U18" s="5" t="n">
        <x:f>'Evaluation Plan'!U18</x:f>
        <x:v>0</x:v>
      </x:c>
    </x:row>
    <x:row r="19" ht="51" customHeight="1">
      <x:c r="A19" s="11" t="s">
        <x:v>181</x:v>
      </x:c>
      <x:c r="B19" s="10" t="n">
        <x:f>'Evaluation Plan'!B19</x:f>
        <x:v>17</x:v>
      </x:c>
      <x:c r="C19" s="11" t="str">
        <x:f>'Evaluation Plan'!C19</x:f>
        <x:v>Place the upright brown cup in the bowl.</x:v>
      </x:c>
      <x:c r="D19" s="11" t="str">
        <x:f>'Evaluation Plan'!D19</x:f>
        <x:v>brown cup A (C, RU); brown cup B (C, UD); glass spice container B (C, UD)</x:v>
      </x:c>
      <x:c r="E19" s="10" t="n">
        <x:f>'Evaluation Plan'!E19</x:f>
        <x:v>0</x:v>
      </x:c>
      <x:c r="F19" s="10" t="str">
        <x:f>'Evaluation Plan'!F19</x:f>
        <x:v>139</x:v>
      </x:c>
      <x:c r="G19" s="11" t="str">
        <x:f>'Evaluation Plan'!G19</x:f>
        <x:v>Exact manifest episode: trained state-object cell, prompt, same-category candidate structure, and object membership match; physical layout is manually recreated.</x:v>
      </x:c>
      <x:c r="H19" s="11" t="str">
        <x:f>'Evaluation Plan'!H19</x:f>
        <x:v>brown cup A</x:v>
      </x:c>
      <x:c r="I19" s="11"/>
      <x:c r="J19" s="7" t="str">
        <x:f>'Evaluation Plan'!J19</x:f>
        <x:v>In-distribution concept baseline</x:v>
      </x:c>
      <x:c r="K19" s="10" t="str">
        <x:f>'Evaluation Plan'!K19</x:f>
        <x:v>SR-ID18</x:v>
      </x:c>
      <x:c r="L19" s="10" t="str">
        <x:f>'Evaluation Plan'!L19</x:f>
        <x:v>RU</x:v>
      </x:c>
      <x:c r="M19" s="10" t="str">
        <x:f>'Evaluation Plan'!M19</x:f>
        <x:v>brown cup</x:v>
      </x:c>
      <x:c r="N19" s="10" t="n">
        <x:f>'Evaluation Plan'!N19</x:f>
        <x:v>3</x:v>
      </x:c>
      <x:c r="O19" s="10" t="n">
        <x:f>'Evaluation Plan'!O19</x:f>
        <x:v>1</x:v>
      </x:c>
      <x:c r="P19" s="10" t="str">
        <x:f>'Evaluation Plan'!P19</x:f>
        <x:v>Empty</x:v>
      </x:c>
      <x:c r="Q19" s="11" t="str">
        <x:f>'Evaluation Plan'!Q19</x:f>
        <x:v>Exact training-supported state-object baseline</x:v>
      </x:c>
      <x:c r="R19" s="10" t="n">
        <x:f>'Evaluation Plan'!R19</x:f>
        <x:v>1</x:v>
      </x:c>
      <x:c r="S19" s="11" t="str">
        <x:f>'Evaluation Plan'!S19</x:f>
        <x:v>Recreate the listed manifest scene with the bowl empty.</x:v>
      </x:c>
      <x:c r="T19" s="11" t="str">
        <x:f>'Evaluation Plan'!T19</x:f>
        <x:v>The queried state-object combination and same-category discrimination structure are explicitly represented in training. The same-category candidates share the orthogonal C/O state (C).</x:v>
      </x:c>
      <x:c r="U19" s="11" t="n">
        <x:f>'Evaluation Plan'!U19</x:f>
        <x:v>0</x:v>
      </x:c>
    </x:row>
    <x:row r="20" ht="51" customHeight="1">
      <x:c r="A20" s="5" t="s">
        <x:v>181</x:v>
      </x:c>
      <x:c r="B20" s="4" t="n">
        <x:f>'Evaluation Plan'!B20</x:f>
        <x:v>18</x:v>
      </x:c>
      <x:c r="C20" s="5" t="str">
        <x:f>'Evaluation Plan'!C20</x:f>
        <x:v>Put the closed glass spice container in the bowl.</x:v>
      </x:c>
      <x:c r="D20" s="5" t="str">
        <x:f>'Evaluation Plan'!D20</x:f>
        <x:v>glass spice container A (C, RU); glass spice container B (O, RU); brown cup A (C, RU); white cup B (O, RU)</x:v>
      </x:c>
      <x:c r="E20" s="4" t="n">
        <x:f>'Evaluation Plan'!E20</x:f>
        <x:v>0</x:v>
      </x:c>
      <x:c r="F20" s="4" t="str">
        <x:f>'Evaluation Plan'!F20</x:f>
        <x:v>155</x:v>
      </x:c>
      <x:c r="G20" s="5" t="str">
        <x:f>'Evaluation Plan'!G20</x:f>
        <x:v>Exact manifest episode: trained state-object cell, prompt, same-category candidate structure, and object membership match; physical layout is manually recreated. All objects are upright, matching the context of every explicit open/closed training demonstration.</x:v>
      </x:c>
      <x:c r="H20" s="5" t="str">
        <x:f>'Evaluation Plan'!H20</x:f>
        <x:v>glass spice container A</x:v>
      </x:c>
      <x:c r="I20" s="5"/>
      <x:c r="J20" s="7" t="str">
        <x:f>'Evaluation Plan'!J20</x:f>
        <x:v>In-distribution concept baseline</x:v>
      </x:c>
      <x:c r="K20" s="4" t="str">
        <x:f>'Evaluation Plan'!K20</x:f>
        <x:v>SR-ID19</x:v>
      </x:c>
      <x:c r="L20" s="4" t="str">
        <x:f>'Evaluation Plan'!L20</x:f>
        <x:v>C</x:v>
      </x:c>
      <x:c r="M20" s="4" t="str">
        <x:f>'Evaluation Plan'!M20</x:f>
        <x:v>glass spice container</x:v>
      </x:c>
      <x:c r="N20" s="4" t="n">
        <x:f>'Evaluation Plan'!N20</x:f>
        <x:v>4</x:v>
      </x:c>
      <x:c r="O20" s="4" t="n">
        <x:f>'Evaluation Plan'!O20</x:f>
        <x:v>1</x:v>
      </x:c>
      <x:c r="P20" s="4" t="str">
        <x:f>'Evaluation Plan'!P20</x:f>
        <x:v>Empty</x:v>
      </x:c>
      <x:c r="Q20" s="5" t="str">
        <x:f>'Evaluation Plan'!Q20</x:f>
        <x:v>Exact training-supported state-object baseline</x:v>
      </x:c>
      <x:c r="R20" s="4" t="n">
        <x:f>'Evaluation Plan'!R20</x:f>
        <x:v>1</x:v>
      </x:c>
      <x:c r="S20" s="5" t="str">
        <x:f>'Evaluation Plan'!S20</x:f>
        <x:v>Recreate the listed manifest scene with the bowl empty.</x:v>
      </x:c>
      <x:c r="T20" s="5" t="str">
        <x:f>'Evaluation Plan'!T20</x:f>
        <x:v>The queried state-object combination and same-category discrimination structure are explicitly represented in training. The orthogonal orientation axis is fixed: every object is RU.</x:v>
      </x:c>
      <x:c r="U20" s="5" t="n">
        <x:f>'Evaluation Plan'!U20</x:f>
        <x:v>0</x:v>
      </x:c>
    </x:row>
    <x:row r="21" ht="51" customHeight="1">
      <x:c r="A21" s="11" t="s">
        <x:v>181</x:v>
      </x:c>
      <x:c r="B21" s="10" t="n">
        <x:f>'Evaluation Plan'!B21</x:f>
        <x:v>19</x:v>
      </x:c>
      <x:c r="C21" s="11" t="str">
        <x:f>'Evaluation Plan'!C21</x:f>
        <x:v>Move the open glass spice container into the bowl.</x:v>
      </x:c>
      <x:c r="D21" s="11" t="str">
        <x:f>'Evaluation Plan'!D21</x:f>
        <x:v>glass spice container B (O, RU); glass spice container A (C, RU); white cup B (O, RU); yellow-white striped cup A (O, RU)</x:v>
      </x:c>
      <x:c r="E21" s="10" t="n">
        <x:f>'Evaluation Plan'!E21</x:f>
        <x:v>0</x:v>
      </x:c>
      <x:c r="F21" s="10" t="str">
        <x:f>'Evaluation Plan'!F21</x:f>
        <x:v>162</x:v>
      </x:c>
      <x:c r="G21" s="11" t="str">
        <x:f>'Evaluation Plan'!G21</x:f>
        <x:v>Exact manifest episode: trained state-object cell, prompt, same-category candidate structure, and object membership match; physical layout is manually recreated. All objects are upright, matching the context of every explicit open/closed training demonstration.</x:v>
      </x:c>
      <x:c r="H21" s="11" t="str">
        <x:f>'Evaluation Plan'!H21</x:f>
        <x:v>glass spice container B</x:v>
      </x:c>
      <x:c r="I21" s="11"/>
      <x:c r="J21" s="7" t="str">
        <x:f>'Evaluation Plan'!J21</x:f>
        <x:v>In-distribution concept baseline</x:v>
      </x:c>
      <x:c r="K21" s="10" t="str">
        <x:f>'Evaluation Plan'!K21</x:f>
        <x:v>SR-ID20</x:v>
      </x:c>
      <x:c r="L21" s="10" t="str">
        <x:f>'Evaluation Plan'!L21</x:f>
        <x:v>O</x:v>
      </x:c>
      <x:c r="M21" s="10" t="str">
        <x:f>'Evaluation Plan'!M21</x:f>
        <x:v>glass spice container</x:v>
      </x:c>
      <x:c r="N21" s="10" t="n">
        <x:f>'Evaluation Plan'!N21</x:f>
        <x:v>4</x:v>
      </x:c>
      <x:c r="O21" s="10" t="n">
        <x:f>'Evaluation Plan'!O21</x:f>
        <x:v>1</x:v>
      </x:c>
      <x:c r="P21" s="10" t="str">
        <x:f>'Evaluation Plan'!P21</x:f>
        <x:v>Empty</x:v>
      </x:c>
      <x:c r="Q21" s="11" t="str">
        <x:f>'Evaluation Plan'!Q21</x:f>
        <x:v>Exact training-supported state-object baseline</x:v>
      </x:c>
      <x:c r="R21" s="10" t="n">
        <x:f>'Evaluation Plan'!R21</x:f>
        <x:v>1</x:v>
      </x:c>
      <x:c r="S21" s="11" t="str">
        <x:f>'Evaluation Plan'!S21</x:f>
        <x:v>Recreate the listed manifest scene with the bowl empty.</x:v>
      </x:c>
      <x:c r="T21" s="11" t="str">
        <x:f>'Evaluation Plan'!T21</x:f>
        <x:v>The queried state-object combination and same-category discrimination structure are explicitly represented in training. The orthogonal orientation axis is fixed: every object is RU.</x:v>
      </x:c>
      <x:c r="U21" s="11" t="n">
        <x:f>'Evaluation Plan'!U21</x:f>
        <x:v>0</x:v>
      </x:c>
    </x:row>
    <x:row r="22" ht="51" customHeight="1">
      <x:c r="A22" s="5" t="s">
        <x:v>181</x:v>
      </x:c>
      <x:c r="B22" s="4" t="n">
        <x:f>'Evaluation Plan'!B22</x:f>
        <x:v>20</x:v>
      </x:c>
      <x:c r="C22" s="5" t="str">
        <x:f>'Evaluation Plan'!C22</x:f>
        <x:v>Place the upside-down white cup in the bowl.</x:v>
      </x:c>
      <x:c r="D22" s="5" t="str">
        <x:f>'Evaluation Plan'!D22</x:f>
        <x:v>white cup A (C, UD); white cup B (C, RU)</x:v>
      </x:c>
      <x:c r="E22" s="4" t="n">
        <x:f>'Evaluation Plan'!E22</x:f>
        <x:v>0</x:v>
      </x:c>
      <x:c r="F22" s="4" t="str">
        <x:f>'Evaluation Plan'!F22</x:f>
        <x:v>35</x:v>
      </x:c>
      <x:c r="G22" s="5" t="str">
        <x:f>'Evaluation Plan'!G22</x:f>
        <x:v>Physical-state and manipulation-trajectory reference under a direct category prompt; the evaluated state word × object-category cell is intentionally absent from training.</x:v>
      </x:c>
      <x:c r="H22" s="5" t="str">
        <x:f>'Evaluation Plan'!H22</x:f>
        <x:v>white cup A</x:v>
      </x:c>
      <x:c r="I22" s="5"/>
      <x:c r="J22" s="12" t="str">
        <x:f>'Evaluation Plan'!J22</x:f>
        <x:v>Concept/compositional transfer</x:v>
      </x:c>
      <x:c r="K22" s="4" t="str">
        <x:f>'Evaluation Plan'!K22</x:f>
        <x:v>SR-CT01</x:v>
      </x:c>
      <x:c r="L22" s="4" t="str">
        <x:f>'Evaluation Plan'!L22</x:f>
        <x:v>UD</x:v>
      </x:c>
      <x:c r="M22" s="4" t="str">
        <x:f>'Evaluation Plan'!M22</x:f>
        <x:v>white cup</x:v>
      </x:c>
      <x:c r="N22" s="4" t="n">
        <x:f>'Evaluation Plan'!N22</x:f>
        <x:v>2</x:v>
      </x:c>
      <x:c r="O22" s="4" t="n">
        <x:f>'Evaluation Plan'!O22</x:f>
        <x:v>1</x:v>
      </x:c>
      <x:c r="P22" s="4" t="str">
        <x:f>'Evaluation Plan'!P22</x:f>
        <x:v>Empty</x:v>
      </x:c>
      <x:c r="Q22" s="5" t="str">
        <x:f>'Evaluation Plan'!Q22</x:f>
        <x:v>Primary held-out state-object composition</x:v>
      </x:c>
      <x:c r="R22" s="4" t="n">
        <x:f>'Evaluation Plan'!R22</x:f>
        <x:v>2</x:v>
      </x:c>
      <x:c r="S22" s="5" t="str">
        <x:f>'Evaluation Plan'!S22</x:f>
        <x:v>Build the listed same-category discrimination scene with the bowl empty.</x:v>
      </x:c>
      <x:c r="T22" s="5" t="str">
        <x:f>'Evaluation Plan'!T22</x:f>
        <x:v>Two same-category candidates share the non-queried state axis; only the held-out state word identifies the target. The same-category candidates share the orthogonal C/O state (C).</x:v>
      </x:c>
      <x:c r="U22" s="5" t="n">
        <x:f>'Evaluation Plan'!U22</x:f>
        <x:v>0</x:v>
      </x:c>
    </x:row>
    <x:row r="23" ht="51" customHeight="1">
      <x:c r="A23" s="13" t="s">
        <x:v>181</x:v>
      </x:c>
      <x:c r="B23" s="14" t="n">
        <x:f>'Evaluation Plan'!B23</x:f>
        <x:v>21</x:v>
      </x:c>
      <x:c r="C23" s="13" t="str">
        <x:f>'Evaluation Plan'!C23</x:f>
        <x:v>Put a white cup in the bowl.</x:v>
      </x:c>
      <x:c r="D23" s="13" t="str">
        <x:f>'Evaluation Plan'!D23</x:f>
        <x:v>white cup A (C, UD); yellow-white striped cup A (C, RU)</x:v>
      </x:c>
      <x:c r="E23" s="14" t="n">
        <x:f>'Evaluation Plan'!E23</x:f>
        <x:v>20</x:v>
      </x:c>
      <x:c r="F23" s="14" t="n">
        <x:f>'Evaluation Plan'!F23</x:f>
        <x:v>35</x:v>
      </x:c>
      <x:c r="G23" s="13" t="str">
        <x:f>'Evaluation Plan'!G23</x:f>
        <x:v>Exact direct-category manipulation prompt from training episode 35. The transfer target, state, and pose are preserved; only the competing white cup is replaced by yellow-white striped cup A.</x:v>
      </x:c>
      <x:c r="H23" s="13" t="str">
        <x:f>'Evaluation Plan'!H23</x:f>
        <x:v>white cup A</x:v>
      </x:c>
      <x:c r="I23" s="13"/>
      <x:c r="J23" s="15" t="str">
        <x:f>'Evaluation Plan'!J23</x:f>
        <x:v>Matched manipulation control</x:v>
      </x:c>
      <x:c r="K23" s="14" t="str">
        <x:f>'Evaluation Plan'!K23</x:f>
        <x:v>SR-CT01</x:v>
      </x:c>
      <x:c r="L23" s="14" t="str">
        <x:f>'Evaluation Plan'!L23</x:f>
        <x:v>N/A</x:v>
      </x:c>
      <x:c r="M23" s="14" t="str">
        <x:f>'Evaluation Plan'!M23</x:f>
        <x:v>white cup</x:v>
      </x:c>
      <x:c r="N23" s="14" t="n">
        <x:f>'Evaluation Plan'!N23</x:f>
        <x:v>2</x:v>
      </x:c>
      <x:c r="O23" s="14" t="n">
        <x:f>'Evaluation Plan'!O23</x:f>
        <x:v>1</x:v>
      </x:c>
      <x:c r="P23" s="14" t="str">
        <x:f>'Evaluation Plan'!P23</x:f>
        <x:v>Empty</x:v>
      </x:c>
      <x:c r="Q23" s="13" t="str">
        <x:f>'Evaluation Plan'!Q23</x:f>
        <x:v>One-object-substitution direct-category control</x:v>
      </x:c>
      <x:c r="R23" s="14" t="n">
        <x:f>'Evaluation Plan'!R23</x:f>
        <x:v>2</x:v>
      </x:c>
      <x:c r="S23" s="13" t="str">
        <x:f>'Evaluation Plan'!S23</x:f>
        <x:v>Reset white cup A to its transfer pose. Replace white cup B with yellow-white striped cup A in the same location and use the states listed in this row; preserve all other objects.</x:v>
      </x:c>
      <x:c r="T23" s="13" t="str">
        <x:f>'Evaluation Plan'!T23</x:f>
        <x:v>Pure recognition/manipulation control: the prompt uniquely names the only object from the target category, while the physical target remains identical to the transfer row.</x:v>
      </x:c>
      <x:c r="U23" s="13" t="n">
        <x:f>'Evaluation Plan'!U23</x:f>
        <x:v>0</x:v>
      </x:c>
    </x:row>
    <x:row r="24" ht="51" customHeight="1">
      <x:c r="A24" s="16" t="s">
        <x:v>181</x:v>
      </x:c>
      <x:c r="B24" s="17" t="n">
        <x:f>'Evaluation Plan'!B24</x:f>
        <x:v>22</x:v>
      </x:c>
      <x:c r="C24" s="16" t="str">
        <x:f>'Evaluation Plan'!C24</x:f>
        <x:v>Move the inverted white cup into the bowl.</x:v>
      </x:c>
      <x:c r="D24" s="16" t="str">
        <x:f>'Evaluation Plan'!D24</x:f>
        <x:v>white cup A (C, UD); white cup B (C, RU)</x:v>
      </x:c>
      <x:c r="E24" s="17" t="n">
        <x:f>'Evaluation Plan'!E24</x:f>
        <x:v>20</x:v>
      </x:c>
      <x:c r="F24" s="17" t="str">
        <x:f>'Evaluation Plan'!F24</x:f>
        <x:v>35</x:v>
      </x:c>
      <x:c r="G24" s="16" t="str">
        <x:f>'Evaluation Plan'!G24</x:f>
        <x:v>The canonical transfer scene and masked trajectory reference are unchanged; only the evaluation wording is paraphrased. This remains a language diagnostic and is not pooled into the primary 50.</x:v>
      </x:c>
      <x:c r="H24" s="16" t="str">
        <x:f>'Evaluation Plan'!H24</x:f>
        <x:v>white cup A</x:v>
      </x:c>
      <x:c r="I24" s="16"/>
      <x:c r="J24" s="18" t="str">
        <x:f>'Evaluation Plan'!J24</x:f>
        <x:v>Language robustness</x:v>
      </x:c>
      <x:c r="K24" s="17" t="str">
        <x:f>'Evaluation Plan'!K24</x:f>
        <x:v>SR-CT01</x:v>
      </x:c>
      <x:c r="L24" s="17" t="str">
        <x:f>'Evaluation Plan'!L24</x:f>
        <x:v>UD</x:v>
      </x:c>
      <x:c r="M24" s="17" t="str">
        <x:f>'Evaluation Plan'!M24</x:f>
        <x:v>white cup</x:v>
      </x:c>
      <x:c r="N24" s="17" t="n">
        <x:f>'Evaluation Plan'!N24</x:f>
        <x:v>2</x:v>
      </x:c>
      <x:c r="O24" s="17" t="n">
        <x:f>'Evaluation Plan'!O24</x:f>
        <x:v>1</x:v>
      </x:c>
      <x:c r="P24" s="17" t="str">
        <x:f>'Evaluation Plan'!P24</x:f>
        <x:v>Empty</x:v>
      </x:c>
      <x:c r="Q24" s="16" t="str">
        <x:f>'Evaluation Plan'!Q24</x:f>
        <x:v>Primary compositional-transfer prompt paraphrase</x:v>
      </x:c>
      <x:c r="R24" s="17" t="n">
        <x:f>'Evaluation Plan'!R24</x:f>
        <x:v>2</x:v>
      </x:c>
      <x:c r="S24" s="16" t="str">
        <x:f>'Evaluation Plan'!S24</x:f>
        <x:v>Reset the moved object exactly; preserve every object and state; change only the prompt wording.</x:v>
      </x:c>
      <x:c r="T24" s="16" t="str">
        <x:f>'Evaluation Plan'!T24</x:f>
        <x:v>Exact-scene paraphrase of one of the 50 canonical compositional-transfer trials. The same-category candidates share the orthogonal C/O state (C). The scene is an exact copy of the referenced canonical row.</x:v>
      </x:c>
      <x:c r="U24" s="16" t="n">
        <x:f>'Evaluation Plan'!U24</x:f>
        <x:v>0</x:v>
      </x:c>
    </x:row>
    <x:row r="25" ht="51" customHeight="1">
      <x:c r="A25" s="13" t="s">
        <x:v>181</x:v>
      </x:c>
      <x:c r="B25" s="14" t="n">
        <x:f>'Evaluation Plan'!B25</x:f>
        <x:v>23</x:v>
      </x:c>
      <x:c r="C25" s="13" t="str">
        <x:f>'Evaluation Plan'!C25</x:f>
        <x:v>Transfer the white cup from the table into the bowl.</x:v>
      </x:c>
      <x:c r="D25" s="13" t="str">
        <x:f>'Evaluation Plan'!D25</x:f>
        <x:v>white cup A (C, UD); yellow-white striped cup A (C, RU)</x:v>
      </x:c>
      <x:c r="E25" s="14" t="n">
        <x:f>'Evaluation Plan'!E25</x:f>
        <x:v>21</x:v>
      </x:c>
      <x:c r="F25" s="14" t="n">
        <x:f>'Evaluation Plan'!F25</x:f>
        <x:v>35</x:v>
      </x:c>
      <x:c r="G25" s="13" t="str">
        <x:f>'Evaluation Plan'!G25</x:f>
        <x:v>Paraphrase of the direct-category matched control grounded by training episode 35. The modified control scene and physical target are unchanged.</x:v>
      </x:c>
      <x:c r="H25" s="13" t="str">
        <x:f>'Evaluation Plan'!H25</x:f>
        <x:v>white cup A</x:v>
      </x:c>
      <x:c r="I25" s="13"/>
      <x:c r="J25" s="18" t="str">
        <x:f>'Evaluation Plan'!J25</x:f>
        <x:v>Language robustness</x:v>
      </x:c>
      <x:c r="K25" s="14" t="str">
        <x:f>'Evaluation Plan'!K25</x:f>
        <x:v>SR-CT01</x:v>
      </x:c>
      <x:c r="L25" s="14" t="str">
        <x:f>'Evaluation Plan'!L25</x:f>
        <x:v>N/A</x:v>
      </x:c>
      <x:c r="M25" s="14" t="str">
        <x:f>'Evaluation Plan'!M25</x:f>
        <x:v>white cup</x:v>
      </x:c>
      <x:c r="N25" s="14" t="n">
        <x:f>'Evaluation Plan'!N25</x:f>
        <x:v>2</x:v>
      </x:c>
      <x:c r="O25" s="14" t="n">
        <x:f>'Evaluation Plan'!O25</x:f>
        <x:v>1</x:v>
      </x:c>
      <x:c r="P25" s="14" t="str">
        <x:f>'Evaluation Plan'!P25</x:f>
        <x:v>Empty</x:v>
      </x:c>
      <x:c r="Q25" s="13" t="str">
        <x:f>'Evaluation Plan'!Q25</x:f>
        <x:v>Direct-category matched-control paraphrase</x:v>
      </x:c>
      <x:c r="R25" s="14" t="n">
        <x:f>'Evaluation Plan'!R25</x:f>
        <x:v>2</x:v>
      </x:c>
      <x:c r="S25" s="13" t="str">
        <x:f>'Evaluation Plan'!S25</x:f>
        <x:v>Reset the target to its marked pose; preserve the exact modified control scene and change only the direct instruction wording.</x:v>
      </x:c>
      <x:c r="T25" s="13" t="str">
        <x:f>'Evaluation Plan'!T25</x:f>
        <x:v>Language diagnostic for the pure manipulation control; no state word or state-based selection is required. The scene is an exact copy of the referenced canonical row.</x:v>
      </x:c>
      <x:c r="U25" s="13" t="n">
        <x:f>'Evaluation Plan'!U25</x:f>
        <x:v>0</x:v>
      </x:c>
    </x:row>
    <x:row r="26" ht="51" customHeight="1">
      <x:c r="A26" s="5" t="s">
        <x:v>181</x:v>
      </x:c>
      <x:c r="B26" s="4" t="n">
        <x:f>'Evaluation Plan'!B26</x:f>
        <x:v>24</x:v>
      </x:c>
      <x:c r="C26" s="5" t="str">
        <x:f>'Evaluation Plan'!C26</x:f>
        <x:v>Place the open yellow-white striped cup in the bowl.</x:v>
      </x:c>
      <x:c r="D26" s="5" t="str">
        <x:f>'Evaluation Plan'!D26</x:f>
        <x:v>yellow-white striped cup B (O, RU); yellow-white striped cup A (C, RU); brown cup B (O, RU)</x:v>
      </x:c>
      <x:c r="E26" s="4" t="n">
        <x:f>'Evaluation Plan'!E26</x:f>
        <x:v>0</x:v>
      </x:c>
      <x:c r="F26" s="4" t="str">
        <x:f>'Evaluation Plan'!F26</x:f>
        <x:v>64</x:v>
      </x:c>
      <x:c r="G26" s="5" t="str">
        <x:f>'Evaluation Plan'!G26</x:f>
        <x:v>Physical-state and manipulation-trajectory reference under a direct category prompt; the evaluated state word × object-category cell is intentionally absent from training. All objects are upright, matching the context of every explicit open/closed training demonstration.</x:v>
      </x:c>
      <x:c r="H26" s="5" t="str">
        <x:f>'Evaluation Plan'!H26</x:f>
        <x:v>yellow-white striped cup B</x:v>
      </x:c>
      <x:c r="I26" s="5"/>
      <x:c r="J26" s="12" t="str">
        <x:f>'Evaluation Plan'!J26</x:f>
        <x:v>Concept/compositional transfer</x:v>
      </x:c>
      <x:c r="K26" s="4" t="str">
        <x:f>'Evaluation Plan'!K26</x:f>
        <x:v>SR-CT02</x:v>
      </x:c>
      <x:c r="L26" s="4" t="str">
        <x:f>'Evaluation Plan'!L26</x:f>
        <x:v>O</x:v>
      </x:c>
      <x:c r="M26" s="4" t="str">
        <x:f>'Evaluation Plan'!M26</x:f>
        <x:v>yellow-white striped cup</x:v>
      </x:c>
      <x:c r="N26" s="4" t="n">
        <x:f>'Evaluation Plan'!N26</x:f>
        <x:v>3</x:v>
      </x:c>
      <x:c r="O26" s="4" t="n">
        <x:f>'Evaluation Plan'!O26</x:f>
        <x:v>1</x:v>
      </x:c>
      <x:c r="P26" s="4" t="str">
        <x:f>'Evaluation Plan'!P26</x:f>
        <x:v>Empty</x:v>
      </x:c>
      <x:c r="Q26" s="5" t="str">
        <x:f>'Evaluation Plan'!Q26</x:f>
        <x:v>Primary held-out state-object composition</x:v>
      </x:c>
      <x:c r="R26" s="4" t="n">
        <x:f>'Evaluation Plan'!R26</x:f>
        <x:v>2</x:v>
      </x:c>
      <x:c r="S26" s="5" t="str">
        <x:f>'Evaluation Plan'!S26</x:f>
        <x:v>Build the listed same-category discrimination scene with the bowl empty.</x:v>
      </x:c>
      <x:c r="T26" s="5" t="str">
        <x:f>'Evaluation Plan'!T26</x:f>
        <x:v>Two same-category candidates share the non-queried state axis; only the held-out state word identifies the target. The orthogonal orientation axis is fixed: every object is RU.</x:v>
      </x:c>
      <x:c r="U26" s="5" t="n">
        <x:f>'Evaluation Plan'!U26</x:f>
        <x:v>0</x:v>
      </x:c>
    </x:row>
    <x:row r="27" ht="51" customHeight="1">
      <x:c r="A27" s="13" t="s">
        <x:v>181</x:v>
      </x:c>
      <x:c r="B27" s="14" t="n">
        <x:f>'Evaluation Plan'!B27</x:f>
        <x:v>25</x:v>
      </x:c>
      <x:c r="C27" s="13" t="str">
        <x:f>'Evaluation Plan'!C27</x:f>
        <x:v>Place a yellow-white striped cup in the bowl.</x:v>
      </x:c>
      <x:c r="D27" s="13" t="str">
        <x:f>'Evaluation Plan'!D27</x:f>
        <x:v>yellow-white striped cup B (O, RU); glass spice container B (C, RU); brown cup B (O, RU)</x:v>
      </x:c>
      <x:c r="E27" s="14" t="n">
        <x:f>'Evaluation Plan'!E27</x:f>
        <x:v>24</x:v>
      </x:c>
      <x:c r="F27" s="14" t="n">
        <x:f>'Evaluation Plan'!F27</x:f>
        <x:v>64</x:v>
      </x:c>
      <x:c r="G27" s="13" t="str">
        <x:f>'Evaluation Plan'!G27</x:f>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H27" s="13" t="str">
        <x:f>'Evaluation Plan'!H27</x:f>
        <x:v>yellow-white striped cup B</x:v>
      </x:c>
      <x:c r="I27" s="13"/>
      <x:c r="J27" s="15" t="str">
        <x:f>'Evaluation Plan'!J27</x:f>
        <x:v>Matched manipulation control</x:v>
      </x:c>
      <x:c r="K27" s="14" t="str">
        <x:f>'Evaluation Plan'!K27</x:f>
        <x:v>SR-CT02</x:v>
      </x:c>
      <x:c r="L27" s="14" t="str">
        <x:f>'Evaluation Plan'!L27</x:f>
        <x:v>N/A</x:v>
      </x:c>
      <x:c r="M27" s="14" t="str">
        <x:f>'Evaluation Plan'!M27</x:f>
        <x:v>yellow-white striped cup</x:v>
      </x:c>
      <x:c r="N27" s="14" t="n">
        <x:f>'Evaluation Plan'!N27</x:f>
        <x:v>3</x:v>
      </x:c>
      <x:c r="O27" s="14" t="n">
        <x:f>'Evaluation Plan'!O27</x:f>
        <x:v>1</x:v>
      </x:c>
      <x:c r="P27" s="14" t="str">
        <x:f>'Evaluation Plan'!P27</x:f>
        <x:v>Empty</x:v>
      </x:c>
      <x:c r="Q27" s="13" t="str">
        <x:f>'Evaluation Plan'!Q27</x:f>
        <x:v>One-object-substitution direct-category control</x:v>
      </x:c>
      <x:c r="R27" s="14" t="n">
        <x:f>'Evaluation Plan'!R27</x:f>
        <x:v>2</x:v>
      </x:c>
      <x:c r="S27" s="13" t="str">
        <x:f>'Evaluation Plan'!S27</x:f>
        <x:v>Reset yellow-white striped cup B to its transfer pose. Replace yellow-white striped cup A with glass spice container B in the same location and use the states listed in this row; preserve all other objects.</x:v>
      </x:c>
      <x:c r="T27" s="13" t="str">
        <x:f>'Evaluation Plan'!T27</x:f>
        <x:v>Pure recognition/manipulation control: the prompt uniquely names the only object from the target category, while the physical target remains identical to the transfer row. Every object is RU.</x:v>
      </x:c>
      <x:c r="U27" s="13" t="n">
        <x:f>'Evaluation Plan'!U27</x:f>
        <x:v>0</x:v>
      </x:c>
    </x:row>
    <x:row r="28" ht="51" customHeight="1">
      <x:c r="A28" s="16" t="s">
        <x:v>181</x:v>
      </x:c>
      <x:c r="B28" s="17" t="n">
        <x:f>'Evaluation Plan'!B28</x:f>
        <x:v>26</x:v>
      </x:c>
      <x:c r="C28" s="16" t="str">
        <x:f>'Evaluation Plan'!C28</x:f>
        <x:v>Move the yellow-white striped cup whose opening is uncovered into the bowl.</x:v>
      </x:c>
      <x:c r="D28" s="16" t="str">
        <x:f>'Evaluation Plan'!D28</x:f>
        <x:v>yellow-white striped cup B (O, RU); yellow-white striped cup A (C, RU); brown cup B (O, RU)</x:v>
      </x:c>
      <x:c r="E28" s="17" t="n">
        <x:f>'Evaluation Plan'!E28</x:f>
        <x:v>24</x:v>
      </x:c>
      <x:c r="F28" s="17" t="str">
        <x:f>'Evaluation Plan'!F28</x:f>
        <x:v>64</x:v>
      </x:c>
      <x:c r="G28" s="16" t="str">
        <x:f>'Evaluation Plan'!G28</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28" s="16" t="str">
        <x:f>'Evaluation Plan'!H28</x:f>
        <x:v>yellow-white striped cup B</x:v>
      </x:c>
      <x:c r="I28" s="16"/>
      <x:c r="J28" s="18" t="str">
        <x:f>'Evaluation Plan'!J28</x:f>
        <x:v>Language robustness</x:v>
      </x:c>
      <x:c r="K28" s="17" t="str">
        <x:f>'Evaluation Plan'!K28</x:f>
        <x:v>SR-CT02</x:v>
      </x:c>
      <x:c r="L28" s="17" t="str">
        <x:f>'Evaluation Plan'!L28</x:f>
        <x:v>O</x:v>
      </x:c>
      <x:c r="M28" s="17" t="str">
        <x:f>'Evaluation Plan'!M28</x:f>
        <x:v>yellow-white striped cup</x:v>
      </x:c>
      <x:c r="N28" s="17" t="n">
        <x:f>'Evaluation Plan'!N28</x:f>
        <x:v>3</x:v>
      </x:c>
      <x:c r="O28" s="17" t="n">
        <x:f>'Evaluation Plan'!O28</x:f>
        <x:v>1</x:v>
      </x:c>
      <x:c r="P28" s="17" t="str">
        <x:f>'Evaluation Plan'!P28</x:f>
        <x:v>Empty</x:v>
      </x:c>
      <x:c r="Q28" s="16" t="str">
        <x:f>'Evaluation Plan'!Q28</x:f>
        <x:v>Primary compositional-transfer prompt paraphrase</x:v>
      </x:c>
      <x:c r="R28" s="17" t="n">
        <x:f>'Evaluation Plan'!R28</x:f>
        <x:v>2</x:v>
      </x:c>
      <x:c r="S28" s="16" t="str">
        <x:f>'Evaluation Plan'!S28</x:f>
        <x:v>Reset the moved object exactly; preserve every object and state; change only the prompt wording.</x:v>
      </x:c>
      <x:c r="T28" s="16" t="str">
        <x:f>'Evaluation Plan'!T28</x:f>
        <x:v>Exact-scene paraphrase of one of the 50 canonical compositional-transfer trials. The orthogonal orientation axis is fixed: every object is RU. The scene is an exact copy of the referenced canonical row.</x:v>
      </x:c>
      <x:c r="U28" s="16" t="n">
        <x:f>'Evaluation Plan'!U28</x:f>
        <x:v>0</x:v>
      </x:c>
    </x:row>
    <x:row r="29" ht="51" customHeight="1">
      <x:c r="A29" s="13" t="s">
        <x:v>181</x:v>
      </x:c>
      <x:c r="B29" s="14" t="n">
        <x:f>'Evaluation Plan'!B29</x:f>
        <x:v>27</x:v>
      </x:c>
      <x:c r="C29" s="13" t="str">
        <x:f>'Evaluation Plan'!C29</x:f>
        <x:v>Lift the yellow-white striped cup and set it inside the bowl.</x:v>
      </x:c>
      <x:c r="D29" s="13" t="str">
        <x:f>'Evaluation Plan'!D29</x:f>
        <x:v>yellow-white striped cup B (O, RU); glass spice container B (C, RU); brown cup B (O, RU)</x:v>
      </x:c>
      <x:c r="E29" s="14" t="n">
        <x:f>'Evaluation Plan'!E29</x:f>
        <x:v>25</x:v>
      </x:c>
      <x:c r="F29" s="14" t="n">
        <x:f>'Evaluation Plan'!F29</x:f>
        <x:v>64</x:v>
      </x:c>
      <x:c r="G29" s="13" t="str">
        <x:f>'Evaluation Plan'!G29</x:f>
        <x:v>Paraphrase of the direct-category matched control grounded by training episode 64. The modified control scene and physical target are unchanged.</x:v>
      </x:c>
      <x:c r="H29" s="13" t="str">
        <x:f>'Evaluation Plan'!H29</x:f>
        <x:v>yellow-white striped cup B</x:v>
      </x:c>
      <x:c r="I29" s="13"/>
      <x:c r="J29" s="18" t="str">
        <x:f>'Evaluation Plan'!J29</x:f>
        <x:v>Language robustness</x:v>
      </x:c>
      <x:c r="K29" s="14" t="str">
        <x:f>'Evaluation Plan'!K29</x:f>
        <x:v>SR-CT02</x:v>
      </x:c>
      <x:c r="L29" s="14" t="str">
        <x:f>'Evaluation Plan'!L29</x:f>
        <x:v>N/A</x:v>
      </x:c>
      <x:c r="M29" s="14" t="str">
        <x:f>'Evaluation Plan'!M29</x:f>
        <x:v>yellow-white striped cup</x:v>
      </x:c>
      <x:c r="N29" s="14" t="n">
        <x:f>'Evaluation Plan'!N29</x:f>
        <x:v>3</x:v>
      </x:c>
      <x:c r="O29" s="14" t="n">
        <x:f>'Evaluation Plan'!O29</x:f>
        <x:v>1</x:v>
      </x:c>
      <x:c r="P29" s="14" t="str">
        <x:f>'Evaluation Plan'!P29</x:f>
        <x:v>Empty</x:v>
      </x:c>
      <x:c r="Q29" s="13" t="str">
        <x:f>'Evaluation Plan'!Q29</x:f>
        <x:v>Direct-category matched-control paraphrase</x:v>
      </x:c>
      <x:c r="R29" s="14" t="n">
        <x:f>'Evaluation Plan'!R29</x:f>
        <x:v>2</x:v>
      </x:c>
      <x:c r="S29" s="13" t="str">
        <x:f>'Evaluation Plan'!S29</x:f>
        <x:v>Reset the target to its marked pose; preserve the exact modified control scene and change only the direct instruction wording.</x:v>
      </x:c>
      <x:c r="T29" s="13" t="str">
        <x:f>'Evaluation Plan'!T29</x:f>
        <x:v>Language diagnostic for the pure manipulation control; no state word or state-based selection is required. The scene is an exact copy of the referenced canonical row.</x:v>
      </x:c>
      <x:c r="U29" s="13" t="n">
        <x:f>'Evaluation Plan'!U29</x:f>
        <x:v>0</x:v>
      </x:c>
    </x:row>
    <x:row r="30" ht="51" customHeight="1">
      <x:c r="A30" s="5" t="s">
        <x:v>181</x:v>
      </x:c>
      <x:c r="B30" s="4" t="n">
        <x:f>'Evaluation Plan'!B30</x:f>
        <x:v>28</x:v>
      </x:c>
      <x:c r="C30" s="5" t="str">
        <x:f>'Evaluation Plan'!C30</x:f>
        <x:v>Place the closed brown cup in the bowl.</x:v>
      </x:c>
      <x:c r="D30" s="5" t="str">
        <x:f>'Evaluation Plan'!D30</x:f>
        <x:v>brown cup A (C, RU); brown cup B (O, RU); glass spice container A (C, RU); white cup B (O, RU)</x:v>
      </x:c>
      <x:c r="E30" s="4" t="n">
        <x:f>'Evaluation Plan'!E30</x:f>
        <x:v>0</x:v>
      </x:c>
      <x:c r="F30" s="4" t="str">
        <x:f>'Evaluation Plan'!F30</x:f>
        <x:v>100</x:v>
      </x:c>
      <x:c r="G30" s="5" t="str">
        <x:f>'Evaluation Plan'!G30</x:f>
        <x:v>Physical-state and manipulation-trajectory reference under a direct category prompt; the evaluated state word × object-category cell is intentionally absent from training. All objects are upright, matching the context of every explicit open/closed training demonstration.</x:v>
      </x:c>
      <x:c r="H30" s="5" t="str">
        <x:f>'Evaluation Plan'!H30</x:f>
        <x:v>brown cup A</x:v>
      </x:c>
      <x:c r="I30" s="5"/>
      <x:c r="J30" s="12" t="str">
        <x:f>'Evaluation Plan'!J30</x:f>
        <x:v>Concept/compositional transfer</x:v>
      </x:c>
      <x:c r="K30" s="4" t="str">
        <x:f>'Evaluation Plan'!K30</x:f>
        <x:v>SR-CT03</x:v>
      </x:c>
      <x:c r="L30" s="4" t="str">
        <x:f>'Evaluation Plan'!L30</x:f>
        <x:v>C</x:v>
      </x:c>
      <x:c r="M30" s="4" t="str">
        <x:f>'Evaluation Plan'!M30</x:f>
        <x:v>brown cup</x:v>
      </x:c>
      <x:c r="N30" s="4" t="n">
        <x:f>'Evaluation Plan'!N30</x:f>
        <x:v>4</x:v>
      </x:c>
      <x:c r="O30" s="4" t="n">
        <x:f>'Evaluation Plan'!O30</x:f>
        <x:v>1</x:v>
      </x:c>
      <x:c r="P30" s="4" t="str">
        <x:f>'Evaluation Plan'!P30</x:f>
        <x:v>Empty</x:v>
      </x:c>
      <x:c r="Q30" s="5" t="str">
        <x:f>'Evaluation Plan'!Q30</x:f>
        <x:v>Primary held-out state-object composition</x:v>
      </x:c>
      <x:c r="R30" s="4" t="n">
        <x:f>'Evaluation Plan'!R30</x:f>
        <x:v>2</x:v>
      </x:c>
      <x:c r="S30" s="5" t="str">
        <x:f>'Evaluation Plan'!S30</x:f>
        <x:v>Build the listed same-category discrimination scene with the bowl empty.</x:v>
      </x:c>
      <x:c r="T30" s="5" t="str">
        <x:f>'Evaluation Plan'!T30</x:f>
        <x:v>Two same-category candidates share the non-queried state axis; only the held-out state word identifies the target. The orthogonal orientation axis is fixed: every object is RU.</x:v>
      </x:c>
      <x:c r="U30" s="5" t="n">
        <x:f>'Evaluation Plan'!U30</x:f>
        <x:v>0</x:v>
      </x:c>
    </x:row>
    <x:row r="31" ht="51" customHeight="1">
      <x:c r="A31" s="13" t="s">
        <x:v>181</x:v>
      </x:c>
      <x:c r="B31" s="14" t="n">
        <x:f>'Evaluation Plan'!B31</x:f>
        <x:v>29</x:v>
      </x:c>
      <x:c r="C31" s="13" t="str">
        <x:f>'Evaluation Plan'!C31</x:f>
        <x:v>Place a brown cup in the bowl.</x:v>
      </x:c>
      <x:c r="D31" s="13" t="str">
        <x:f>'Evaluation Plan'!D31</x:f>
        <x:v>brown cup A (C, RU); yellow-white striped cup A (O, RU); glass spice container A (C, RU); white cup B (O, RU)</x:v>
      </x:c>
      <x:c r="E31" s="14" t="n">
        <x:f>'Evaluation Plan'!E31</x:f>
        <x:v>28</x:v>
      </x:c>
      <x:c r="F31" s="14" t="n">
        <x:f>'Evaluation Plan'!F31</x:f>
        <x:v>100</x:v>
      </x:c>
      <x:c r="G31" s="13" t="str">
        <x:f>'Evaluation Plan'!G31</x:f>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H31" s="13" t="str">
        <x:f>'Evaluation Plan'!H31</x:f>
        <x:v>brown cup A</x:v>
      </x:c>
      <x:c r="I31" s="13"/>
      <x:c r="J31" s="15" t="str">
        <x:f>'Evaluation Plan'!J31</x:f>
        <x:v>Matched manipulation control</x:v>
      </x:c>
      <x:c r="K31" s="14" t="str">
        <x:f>'Evaluation Plan'!K31</x:f>
        <x:v>SR-CT03</x:v>
      </x:c>
      <x:c r="L31" s="14" t="str">
        <x:f>'Evaluation Plan'!L31</x:f>
        <x:v>N/A</x:v>
      </x:c>
      <x:c r="M31" s="14" t="str">
        <x:f>'Evaluation Plan'!M31</x:f>
        <x:v>brown cup</x:v>
      </x:c>
      <x:c r="N31" s="14" t="n">
        <x:f>'Evaluation Plan'!N31</x:f>
        <x:v>4</x:v>
      </x:c>
      <x:c r="O31" s="14" t="n">
        <x:f>'Evaluation Plan'!O31</x:f>
        <x:v>1</x:v>
      </x:c>
      <x:c r="P31" s="14" t="str">
        <x:f>'Evaluation Plan'!P31</x:f>
        <x:v>Empty</x:v>
      </x:c>
      <x:c r="Q31" s="13" t="str">
        <x:f>'Evaluation Plan'!Q31</x:f>
        <x:v>One-object-substitution direct-category control</x:v>
      </x:c>
      <x:c r="R31" s="14" t="n">
        <x:f>'Evaluation Plan'!R31</x:f>
        <x:v>2</x:v>
      </x:c>
      <x:c r="S31" s="13" t="str">
        <x:f>'Evaluation Plan'!S31</x:f>
        <x:v>Reset brown cup A to its transfer pose. Replace brown cup B with yellow-white striped cup A in the same location and use the states listed in this row; preserve all other objects.</x:v>
      </x:c>
      <x:c r="T31" s="13" t="str">
        <x:f>'Evaluation Plan'!T31</x:f>
        <x:v>Pure recognition/manipulation control: the prompt uniquely names the only object from the target category, while the physical target remains identical to the transfer row. Every object is RU.</x:v>
      </x:c>
      <x:c r="U31" s="13" t="n">
        <x:f>'Evaluation Plan'!U31</x:f>
        <x:v>0</x:v>
      </x:c>
    </x:row>
    <x:row r="32" ht="51" customHeight="1">
      <x:c r="A32" s="16" t="s">
        <x:v>181</x:v>
      </x:c>
      <x:c r="B32" s="17" t="n">
        <x:f>'Evaluation Plan'!B32</x:f>
        <x:v>30</x:v>
      </x:c>
      <x:c r="C32" s="16" t="str">
        <x:f>'Evaluation Plan'!C32</x:f>
        <x:v>Move the brown cup whose opening is covered into the bowl.</x:v>
      </x:c>
      <x:c r="D32" s="16" t="str">
        <x:f>'Evaluation Plan'!D32</x:f>
        <x:v>brown cup A (C, RU); brown cup B (O, RU); glass spice container A (C, RU); white cup B (O, RU)</x:v>
      </x:c>
      <x:c r="E32" s="17" t="n">
        <x:f>'Evaluation Plan'!E32</x:f>
        <x:v>28</x:v>
      </x:c>
      <x:c r="F32" s="17" t="str">
        <x:f>'Evaluation Plan'!F32</x:f>
        <x:v>100</x:v>
      </x:c>
      <x:c r="G32" s="16" t="str">
        <x:f>'Evaluation Plan'!G32</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32" s="16" t="str">
        <x:f>'Evaluation Plan'!H32</x:f>
        <x:v>brown cup A</x:v>
      </x:c>
      <x:c r="I32" s="16"/>
      <x:c r="J32" s="18" t="str">
        <x:f>'Evaluation Plan'!J32</x:f>
        <x:v>Language robustness</x:v>
      </x:c>
      <x:c r="K32" s="17" t="str">
        <x:f>'Evaluation Plan'!K32</x:f>
        <x:v>SR-CT03</x:v>
      </x:c>
      <x:c r="L32" s="17" t="str">
        <x:f>'Evaluation Plan'!L32</x:f>
        <x:v>C</x:v>
      </x:c>
      <x:c r="M32" s="17" t="str">
        <x:f>'Evaluation Plan'!M32</x:f>
        <x:v>brown cup</x:v>
      </x:c>
      <x:c r="N32" s="17" t="n">
        <x:f>'Evaluation Plan'!N32</x:f>
        <x:v>4</x:v>
      </x:c>
      <x:c r="O32" s="17" t="n">
        <x:f>'Evaluation Plan'!O32</x:f>
        <x:v>1</x:v>
      </x:c>
      <x:c r="P32" s="17" t="str">
        <x:f>'Evaluation Plan'!P32</x:f>
        <x:v>Empty</x:v>
      </x:c>
      <x:c r="Q32" s="16" t="str">
        <x:f>'Evaluation Plan'!Q32</x:f>
        <x:v>Primary compositional-transfer prompt paraphrase</x:v>
      </x:c>
      <x:c r="R32" s="17" t="n">
        <x:f>'Evaluation Plan'!R32</x:f>
        <x:v>2</x:v>
      </x:c>
      <x:c r="S32" s="16" t="str">
        <x:f>'Evaluation Plan'!S32</x:f>
        <x:v>Reset the moved object exactly; preserve every object and state; change only the prompt wording.</x:v>
      </x:c>
      <x:c r="T32" s="16" t="str">
        <x:f>'Evaluation Plan'!T32</x:f>
        <x:v>Exact-scene paraphrase of one of the 50 canonical compositional-transfer trials. The orthogonal orientation axis is fixed: every object is RU. The scene is an exact copy of the referenced canonical row.</x:v>
      </x:c>
      <x:c r="U32" s="16" t="n">
        <x:f>'Evaluation Plan'!U32</x:f>
        <x:v>0</x:v>
      </x:c>
    </x:row>
    <x:row r="33" ht="51" customHeight="1">
      <x:c r="A33" s="13" t="s">
        <x:v>181</x:v>
      </x:c>
      <x:c r="B33" s="14" t="n">
        <x:f>'Evaluation Plan'!B33</x:f>
        <x:v>31</x:v>
      </x:c>
      <x:c r="C33" s="13" t="str">
        <x:f>'Evaluation Plan'!C33</x:f>
        <x:v>Take the brown cup off the table and place it in the bowl.</x:v>
      </x:c>
      <x:c r="D33" s="13" t="str">
        <x:f>'Evaluation Plan'!D33</x:f>
        <x:v>brown cup A (C, RU); yellow-white striped cup A (O, RU); glass spice container A (C, RU); white cup B (O, RU)</x:v>
      </x:c>
      <x:c r="E33" s="14" t="n">
        <x:f>'Evaluation Plan'!E33</x:f>
        <x:v>29</x:v>
      </x:c>
      <x:c r="F33" s="14" t="n">
        <x:f>'Evaluation Plan'!F33</x:f>
        <x:v>100</x:v>
      </x:c>
      <x:c r="G33" s="13" t="str">
        <x:f>'Evaluation Plan'!G33</x:f>
        <x:v>Paraphrase of the direct-category matched control grounded by training episode 100. The modified control scene and physical target are unchanged.</x:v>
      </x:c>
      <x:c r="H33" s="13" t="str">
        <x:f>'Evaluation Plan'!H33</x:f>
        <x:v>brown cup A</x:v>
      </x:c>
      <x:c r="I33" s="13"/>
      <x:c r="J33" s="18" t="str">
        <x:f>'Evaluation Plan'!J33</x:f>
        <x:v>Language robustness</x:v>
      </x:c>
      <x:c r="K33" s="14" t="str">
        <x:f>'Evaluation Plan'!K33</x:f>
        <x:v>SR-CT03</x:v>
      </x:c>
      <x:c r="L33" s="14" t="str">
        <x:f>'Evaluation Plan'!L33</x:f>
        <x:v>N/A</x:v>
      </x:c>
      <x:c r="M33" s="14" t="str">
        <x:f>'Evaluation Plan'!M33</x:f>
        <x:v>brown cup</x:v>
      </x:c>
      <x:c r="N33" s="14" t="n">
        <x:f>'Evaluation Plan'!N33</x:f>
        <x:v>4</x:v>
      </x:c>
      <x:c r="O33" s="14" t="n">
        <x:f>'Evaluation Plan'!O33</x:f>
        <x:v>1</x:v>
      </x:c>
      <x:c r="P33" s="14" t="str">
        <x:f>'Evaluation Plan'!P33</x:f>
        <x:v>Empty</x:v>
      </x:c>
      <x:c r="Q33" s="13" t="str">
        <x:f>'Evaluation Plan'!Q33</x:f>
        <x:v>Direct-category matched-control paraphrase</x:v>
      </x:c>
      <x:c r="R33" s="14" t="n">
        <x:f>'Evaluation Plan'!R33</x:f>
        <x:v>2</x:v>
      </x:c>
      <x:c r="S33" s="13" t="str">
        <x:f>'Evaluation Plan'!S33</x:f>
        <x:v>Reset the target to its marked pose; preserve the exact modified control scene and change only the direct instruction wording.</x:v>
      </x:c>
      <x:c r="T33" s="13" t="str">
        <x:f>'Evaluation Plan'!T33</x:f>
        <x:v>Language diagnostic for the pure manipulation control; no state word or state-based selection is required. The scene is an exact copy of the referenced canonical row.</x:v>
      </x:c>
      <x:c r="U33" s="13" t="n">
        <x:f>'Evaluation Plan'!U33</x:f>
        <x:v>0</x:v>
      </x:c>
    </x:row>
    <x:row r="34" ht="51" customHeight="1">
      <x:c r="A34" s="5" t="s">
        <x:v>181</x:v>
      </x:c>
      <x:c r="B34" s="4" t="n">
        <x:f>'Evaluation Plan'!B34</x:f>
        <x:v>32</x:v>
      </x:c>
      <x:c r="C34" s="5" t="str">
        <x:f>'Evaluation Plan'!C34</x:f>
        <x:v>Place the upright glass spice container in the bowl.</x:v>
      </x:c>
      <x:c r="D34" s="5" t="str">
        <x:f>'Evaluation Plan'!D34</x:f>
        <x:v>glass spice container B (C, RU); glass spice container A (C, UD)</x:v>
      </x:c>
      <x:c r="E34" s="4" t="n">
        <x:f>'Evaluation Plan'!E34</x:f>
        <x:v>0</x:v>
      </x:c>
      <x:c r="F34" s="4" t="str">
        <x:f>'Evaluation Plan'!F34</x:f>
        <x:v>169</x:v>
      </x:c>
      <x:c r="G34" s="5" t="str">
        <x:f>'Evaluation Plan'!G34</x:f>
        <x:v>Physical-state and manipulation-trajectory reference under a direct category prompt; the evaluated state word × object-category cell is intentionally absent from training.</x:v>
      </x:c>
      <x:c r="H34" s="5" t="str">
        <x:f>'Evaluation Plan'!H34</x:f>
        <x:v>glass spice container B</x:v>
      </x:c>
      <x:c r="I34" s="5"/>
      <x:c r="J34" s="12" t="str">
        <x:f>'Evaluation Plan'!J34</x:f>
        <x:v>Concept/compositional transfer</x:v>
      </x:c>
      <x:c r="K34" s="4" t="str">
        <x:f>'Evaluation Plan'!K34</x:f>
        <x:v>SR-CT04</x:v>
      </x:c>
      <x:c r="L34" s="4" t="str">
        <x:f>'Evaluation Plan'!L34</x:f>
        <x:v>RU</x:v>
      </x:c>
      <x:c r="M34" s="4" t="str">
        <x:f>'Evaluation Plan'!M34</x:f>
        <x:v>glass spice container</x:v>
      </x:c>
      <x:c r="N34" s="4" t="n">
        <x:f>'Evaluation Plan'!N34</x:f>
        <x:v>2</x:v>
      </x:c>
      <x:c r="O34" s="4" t="n">
        <x:f>'Evaluation Plan'!O34</x:f>
        <x:v>1</x:v>
      </x:c>
      <x:c r="P34" s="4" t="str">
        <x:f>'Evaluation Plan'!P34</x:f>
        <x:v>Empty</x:v>
      </x:c>
      <x:c r="Q34" s="5" t="str">
        <x:f>'Evaluation Plan'!Q34</x:f>
        <x:v>Primary held-out state-object composition</x:v>
      </x:c>
      <x:c r="R34" s="4" t="n">
        <x:f>'Evaluation Plan'!R34</x:f>
        <x:v>2</x:v>
      </x:c>
      <x:c r="S34" s="5" t="str">
        <x:f>'Evaluation Plan'!S34</x:f>
        <x:v>Build the listed same-category discrimination scene with the bowl empty.</x:v>
      </x:c>
      <x:c r="T34" s="5" t="str">
        <x:f>'Evaluation Plan'!T34</x:f>
        <x:v>Two same-category candidates share the non-queried state axis; only the held-out state word identifies the target. The same-category candidates share the orthogonal C/O state (C).</x:v>
      </x:c>
      <x:c r="U34" s="5" t="n">
        <x:f>'Evaluation Plan'!U34</x:f>
        <x:v>0</x:v>
      </x:c>
    </x:row>
    <x:row r="35" ht="51" customHeight="1">
      <x:c r="A35" s="13" t="s">
        <x:v>181</x:v>
      </x:c>
      <x:c r="B35" s="14" t="n">
        <x:f>'Evaluation Plan'!B35</x:f>
        <x:v>33</x:v>
      </x:c>
      <x:c r="C35" s="13" t="str">
        <x:f>'Evaluation Plan'!C35</x:f>
        <x:v>Place a glass spice container in the bowl.</x:v>
      </x:c>
      <x:c r="D35" s="13" t="str">
        <x:f>'Evaluation Plan'!D35</x:f>
        <x:v>glass spice container B (C, RU); white cup B (C, UD)</x:v>
      </x:c>
      <x:c r="E35" s="14" t="n">
        <x:f>'Evaluation Plan'!E35</x:f>
        <x:v>32</x:v>
      </x:c>
      <x:c r="F35" s="14" t="n">
        <x:f>'Evaluation Plan'!F35</x:f>
        <x:v>169</x:v>
      </x:c>
      <x:c r="G35" s="13" t="str">
        <x:f>'Evaluation Plan'!G35</x:f>
        <x:v>Exact direct-category manipulation prompt from training episode 169. The transfer target, state, and pose are preserved; only the competing glass spice container is replaced by white cup B.</x:v>
      </x:c>
      <x:c r="H35" s="13" t="str">
        <x:f>'Evaluation Plan'!H35</x:f>
        <x:v>glass spice container B</x:v>
      </x:c>
      <x:c r="I35" s="13"/>
      <x:c r="J35" s="15" t="str">
        <x:f>'Evaluation Plan'!J35</x:f>
        <x:v>Matched manipulation control</x:v>
      </x:c>
      <x:c r="K35" s="14" t="str">
        <x:f>'Evaluation Plan'!K35</x:f>
        <x:v>SR-CT04</x:v>
      </x:c>
      <x:c r="L35" s="14" t="str">
        <x:f>'Evaluation Plan'!L35</x:f>
        <x:v>N/A</x:v>
      </x:c>
      <x:c r="M35" s="14" t="str">
        <x:f>'Evaluation Plan'!M35</x:f>
        <x:v>glass spice container</x:v>
      </x:c>
      <x:c r="N35" s="14" t="n">
        <x:f>'Evaluation Plan'!N35</x:f>
        <x:v>2</x:v>
      </x:c>
      <x:c r="O35" s="14" t="n">
        <x:f>'Evaluation Plan'!O35</x:f>
        <x:v>1</x:v>
      </x:c>
      <x:c r="P35" s="14" t="str">
        <x:f>'Evaluation Plan'!P35</x:f>
        <x:v>Empty</x:v>
      </x:c>
      <x:c r="Q35" s="13" t="str">
        <x:f>'Evaluation Plan'!Q35</x:f>
        <x:v>One-object-substitution direct-category control</x:v>
      </x:c>
      <x:c r="R35" s="14" t="n">
        <x:f>'Evaluation Plan'!R35</x:f>
        <x:v>2</x:v>
      </x:c>
      <x:c r="S35" s="13" t="str">
        <x:f>'Evaluation Plan'!S35</x:f>
        <x:v>Reset glass spice container B to its transfer pose. Replace glass spice container A with white cup B in the same location and use the states listed in this row; preserve all other objects.</x:v>
      </x:c>
      <x:c r="T35" s="13" t="str">
        <x:f>'Evaluation Plan'!T35</x:f>
        <x:v>Pure recognition/manipulation control: the prompt uniquely names the only object from the target category, while the physical target remains identical to the transfer row.</x:v>
      </x:c>
      <x:c r="U35" s="13" t="n">
        <x:f>'Evaluation Plan'!U35</x:f>
        <x:v>0</x:v>
      </x:c>
    </x:row>
    <x:row r="36" ht="51" customHeight="1">
      <x:c r="A36" s="16" t="s">
        <x:v>181</x:v>
      </x:c>
      <x:c r="B36" s="17" t="n">
        <x:f>'Evaluation Plan'!B36</x:f>
        <x:v>34</x:v>
      </x:c>
      <x:c r="C36" s="16" t="str">
        <x:f>'Evaluation Plan'!C36</x:f>
        <x:v>Move the right-side-up glass spice container into the bowl.</x:v>
      </x:c>
      <x:c r="D36" s="16" t="str">
        <x:f>'Evaluation Plan'!D36</x:f>
        <x:v>glass spice container B (C, RU); glass spice container A (C, UD)</x:v>
      </x:c>
      <x:c r="E36" s="17" t="n">
        <x:f>'Evaluation Plan'!E36</x:f>
        <x:v>32</x:v>
      </x:c>
      <x:c r="F36" s="17" t="str">
        <x:f>'Evaluation Plan'!F36</x:f>
        <x:v>169</x:v>
      </x:c>
      <x:c r="G36" s="16" t="str">
        <x:f>'Evaluation Plan'!G36</x:f>
        <x:v>The canonical transfer scene and masked trajectory reference are unchanged; only the evaluation wording is paraphrased. This remains a language diagnostic and is not pooled into the primary 50.</x:v>
      </x:c>
      <x:c r="H36" s="16" t="str">
        <x:f>'Evaluation Plan'!H36</x:f>
        <x:v>glass spice container B</x:v>
      </x:c>
      <x:c r="I36" s="16"/>
      <x:c r="J36" s="18" t="str">
        <x:f>'Evaluation Plan'!J36</x:f>
        <x:v>Language robustness</x:v>
      </x:c>
      <x:c r="K36" s="17" t="str">
        <x:f>'Evaluation Plan'!K36</x:f>
        <x:v>SR-CT04</x:v>
      </x:c>
      <x:c r="L36" s="17" t="str">
        <x:f>'Evaluation Plan'!L36</x:f>
        <x:v>RU</x:v>
      </x:c>
      <x:c r="M36" s="17" t="str">
        <x:f>'Evaluation Plan'!M36</x:f>
        <x:v>glass spice container</x:v>
      </x:c>
      <x:c r="N36" s="17" t="n">
        <x:f>'Evaluation Plan'!N36</x:f>
        <x:v>2</x:v>
      </x:c>
      <x:c r="O36" s="17" t="n">
        <x:f>'Evaluation Plan'!O36</x:f>
        <x:v>1</x:v>
      </x:c>
      <x:c r="P36" s="17" t="str">
        <x:f>'Evaluation Plan'!P36</x:f>
        <x:v>Empty</x:v>
      </x:c>
      <x:c r="Q36" s="16" t="str">
        <x:f>'Evaluation Plan'!Q36</x:f>
        <x:v>Primary compositional-transfer prompt paraphrase</x:v>
      </x:c>
      <x:c r="R36" s="17" t="n">
        <x:f>'Evaluation Plan'!R36</x:f>
        <x:v>2</x:v>
      </x:c>
      <x:c r="S36" s="16" t="str">
        <x:f>'Evaluation Plan'!S36</x:f>
        <x:v>Reset the moved object exactly; preserve every object and state; change only the prompt wording.</x:v>
      </x:c>
      <x:c r="T36" s="16" t="str">
        <x:f>'Evaluation Plan'!T36</x:f>
        <x:v>Exact-scene paraphrase of one of the 50 canonical compositional-transfer trials. The same-category candidates share the orthogonal C/O state (C). The scene is an exact copy of the referenced canonical row.</x:v>
      </x:c>
      <x:c r="U36" s="16" t="n">
        <x:f>'Evaluation Plan'!U36</x:f>
        <x:v>0</x:v>
      </x:c>
    </x:row>
    <x:row r="37" ht="51" customHeight="1">
      <x:c r="A37" s="13" t="s">
        <x:v>181</x:v>
      </x:c>
      <x:c r="B37" s="14" t="n">
        <x:f>'Evaluation Plan'!B37</x:f>
        <x:v>35</x:v>
      </x:c>
      <x:c r="C37" s="13" t="str">
        <x:f>'Evaluation Plan'!C37</x:f>
        <x:v>Move the glass spice container from the workspace into the bowl.</x:v>
      </x:c>
      <x:c r="D37" s="13" t="str">
        <x:f>'Evaluation Plan'!D37</x:f>
        <x:v>glass spice container B (C, RU); white cup B (C, UD)</x:v>
      </x:c>
      <x:c r="E37" s="14" t="n">
        <x:f>'Evaluation Plan'!E37</x:f>
        <x:v>33</x:v>
      </x:c>
      <x:c r="F37" s="14" t="n">
        <x:f>'Evaluation Plan'!F37</x:f>
        <x:v>169</x:v>
      </x:c>
      <x:c r="G37" s="13" t="str">
        <x:f>'Evaluation Plan'!G37</x:f>
        <x:v>Paraphrase of the direct-category matched control grounded by training episode 169. The modified control scene and physical target are unchanged.</x:v>
      </x:c>
      <x:c r="H37" s="13" t="str">
        <x:f>'Evaluation Plan'!H37</x:f>
        <x:v>glass spice container B</x:v>
      </x:c>
      <x:c r="I37" s="13"/>
      <x:c r="J37" s="18" t="str">
        <x:f>'Evaluation Plan'!J37</x:f>
        <x:v>Language robustness</x:v>
      </x:c>
      <x:c r="K37" s="14" t="str">
        <x:f>'Evaluation Plan'!K37</x:f>
        <x:v>SR-CT04</x:v>
      </x:c>
      <x:c r="L37" s="14" t="str">
        <x:f>'Evaluation Plan'!L37</x:f>
        <x:v>N/A</x:v>
      </x:c>
      <x:c r="M37" s="14" t="str">
        <x:f>'Evaluation Plan'!M37</x:f>
        <x:v>glass spice container</x:v>
      </x:c>
      <x:c r="N37" s="14" t="n">
        <x:f>'Evaluation Plan'!N37</x:f>
        <x:v>2</x:v>
      </x:c>
      <x:c r="O37" s="14" t="n">
        <x:f>'Evaluation Plan'!O37</x:f>
        <x:v>1</x:v>
      </x:c>
      <x:c r="P37" s="14" t="str">
        <x:f>'Evaluation Plan'!P37</x:f>
        <x:v>Empty</x:v>
      </x:c>
      <x:c r="Q37" s="13" t="str">
        <x:f>'Evaluation Plan'!Q37</x:f>
        <x:v>Direct-category matched-control paraphrase</x:v>
      </x:c>
      <x:c r="R37" s="14" t="n">
        <x:f>'Evaluation Plan'!R37</x:f>
        <x:v>2</x:v>
      </x:c>
      <x:c r="S37" s="13" t="str">
        <x:f>'Evaluation Plan'!S37</x:f>
        <x:v>Reset the target to its marked pose; preserve the exact modified control scene and change only the direct instruction wording.</x:v>
      </x:c>
      <x:c r="T37" s="13" t="str">
        <x:f>'Evaluation Plan'!T37</x:f>
        <x:v>Language diagnostic for the pure manipulation control; no state word or state-based selection is required. The scene is an exact copy of the referenced canonical row.</x:v>
      </x:c>
      <x:c r="U37" s="13" t="n">
        <x:f>'Evaluation Plan'!U37</x:f>
        <x:v>0</x:v>
      </x:c>
    </x:row>
    <x:row r="38" ht="51" customHeight="1">
      <x:c r="A38" s="5" t="s">
        <x:v>181</x:v>
      </x:c>
      <x:c r="B38" s="4" t="n">
        <x:f>'Evaluation Plan'!B38</x:f>
        <x:v>36</x:v>
      </x:c>
      <x:c r="C38" s="5" t="str">
        <x:f>'Evaluation Plan'!C38</x:f>
        <x:v>Place the upside-down white cup in the bowl.</x:v>
      </x:c>
      <x:c r="D38" s="5" t="str">
        <x:f>'Evaluation Plan'!D38</x:f>
        <x:v>white cup A (O, UD); white cup B (O, RU); brown cup A (C, RU)</x:v>
      </x:c>
      <x:c r="E38" s="4" t="n">
        <x:f>'Evaluation Plan'!E38</x:f>
        <x:v>0</x:v>
      </x:c>
      <x:c r="F38" s="4" t="str">
        <x:f>'Evaluation Plan'!F38</x:f>
        <x:v>30</x:v>
      </x:c>
      <x:c r="G38" s="5" t="str">
        <x:f>'Evaluation Plan'!G38</x:f>
        <x:v>Physical-state and manipulation-trajectory reference under a direct category prompt; the evaluated state word × object-category cell is intentionally absent from training.</x:v>
      </x:c>
      <x:c r="H38" s="5" t="str">
        <x:f>'Evaluation Plan'!H38</x:f>
        <x:v>white cup A</x:v>
      </x:c>
      <x:c r="I38" s="5"/>
      <x:c r="J38" s="12" t="str">
        <x:f>'Evaluation Plan'!J38</x:f>
        <x:v>Concept/compositional transfer</x:v>
      </x:c>
      <x:c r="K38" s="4" t="str">
        <x:f>'Evaluation Plan'!K38</x:f>
        <x:v>SR-CT05</x:v>
      </x:c>
      <x:c r="L38" s="4" t="str">
        <x:f>'Evaluation Plan'!L38</x:f>
        <x:v>UD</x:v>
      </x:c>
      <x:c r="M38" s="4" t="str">
        <x:f>'Evaluation Plan'!M38</x:f>
        <x:v>white cup</x:v>
      </x:c>
      <x:c r="N38" s="4" t="n">
        <x:f>'Evaluation Plan'!N38</x:f>
        <x:v>3</x:v>
      </x:c>
      <x:c r="O38" s="4" t="n">
        <x:f>'Evaluation Plan'!O38</x:f>
        <x:v>1</x:v>
      </x:c>
      <x:c r="P38" s="4" t="str">
        <x:f>'Evaluation Plan'!P38</x:f>
        <x:v>Empty</x:v>
      </x:c>
      <x:c r="Q38" s="5" t="str">
        <x:f>'Evaluation Plan'!Q38</x:f>
        <x:v>Primary held-out state-object composition</x:v>
      </x:c>
      <x:c r="R38" s="4" t="n">
        <x:f>'Evaluation Plan'!R38</x:f>
        <x:v>2</x:v>
      </x:c>
      <x:c r="S38" s="5" t="str">
        <x:f>'Evaluation Plan'!S38</x:f>
        <x:v>Build the listed same-category discrimination scene with the bowl empty.</x:v>
      </x:c>
      <x:c r="T38" s="5" t="str">
        <x:f>'Evaluation Plan'!T38</x:f>
        <x:v>Two same-category candidates share the non-queried state axis; only the held-out state word identifies the target. The same-category candidates share the orthogonal C/O state (O).</x:v>
      </x:c>
      <x:c r="U38" s="5" t="n">
        <x:f>'Evaluation Plan'!U38</x:f>
        <x:v>0</x:v>
      </x:c>
    </x:row>
    <x:row r="39" ht="51" customHeight="1">
      <x:c r="A39" s="13" t="s">
        <x:v>181</x:v>
      </x:c>
      <x:c r="B39" s="14" t="n">
        <x:f>'Evaluation Plan'!B39</x:f>
        <x:v>37</x:v>
      </x:c>
      <x:c r="C39" s="13" t="str">
        <x:f>'Evaluation Plan'!C39</x:f>
        <x:v>Move a white cup into the bowl.</x:v>
      </x:c>
      <x:c r="D39" s="13" t="str">
        <x:f>'Evaluation Plan'!D39</x:f>
        <x:v>white cup A (O, UD); yellow-white striped cup A (O, RU); brown cup A (C, RU)</x:v>
      </x:c>
      <x:c r="E39" s="14" t="n">
        <x:f>'Evaluation Plan'!E39</x:f>
        <x:v>36</x:v>
      </x:c>
      <x:c r="F39" s="14" t="n">
        <x:f>'Evaluation Plan'!F39</x:f>
        <x:v>30</x:v>
      </x:c>
      <x:c r="G39" s="13" t="str">
        <x:f>'Evaluation Plan'!G39</x:f>
        <x:v>Exact direct-category manipulation prompt from training episode 30. The transfer target, state, and pose are preserved; only the competing white cup is replaced by yellow-white striped cup A.</x:v>
      </x:c>
      <x:c r="H39" s="13" t="str">
        <x:f>'Evaluation Plan'!H39</x:f>
        <x:v>white cup A</x:v>
      </x:c>
      <x:c r="I39" s="13"/>
      <x:c r="J39" s="15" t="str">
        <x:f>'Evaluation Plan'!J39</x:f>
        <x:v>Matched manipulation control</x:v>
      </x:c>
      <x:c r="K39" s="14" t="str">
        <x:f>'Evaluation Plan'!K39</x:f>
        <x:v>SR-CT05</x:v>
      </x:c>
      <x:c r="L39" s="14" t="str">
        <x:f>'Evaluation Plan'!L39</x:f>
        <x:v>N/A</x:v>
      </x:c>
      <x:c r="M39" s="14" t="str">
        <x:f>'Evaluation Plan'!M39</x:f>
        <x:v>white cup</x:v>
      </x:c>
      <x:c r="N39" s="14" t="n">
        <x:f>'Evaluation Plan'!N39</x:f>
        <x:v>3</x:v>
      </x:c>
      <x:c r="O39" s="14" t="n">
        <x:f>'Evaluation Plan'!O39</x:f>
        <x:v>1</x:v>
      </x:c>
      <x:c r="P39" s="14" t="str">
        <x:f>'Evaluation Plan'!P39</x:f>
        <x:v>Empty</x:v>
      </x:c>
      <x:c r="Q39" s="13" t="str">
        <x:f>'Evaluation Plan'!Q39</x:f>
        <x:v>One-object-substitution direct-category control</x:v>
      </x:c>
      <x:c r="R39" s="14" t="n">
        <x:f>'Evaluation Plan'!R39</x:f>
        <x:v>2</x:v>
      </x:c>
      <x:c r="S39" s="13" t="str">
        <x:f>'Evaluation Plan'!S39</x:f>
        <x:v>Reset white cup A to its transfer pose. Replace white cup B with yellow-white striped cup A in the same location and use the states listed in this row; preserve all other objects.</x:v>
      </x:c>
      <x:c r="T39" s="13" t="str">
        <x:f>'Evaluation Plan'!T39</x:f>
        <x:v>Pure recognition/manipulation control: the prompt uniquely names the only object from the target category, while the physical target remains identical to the transfer row.</x:v>
      </x:c>
      <x:c r="U39" s="13" t="n">
        <x:f>'Evaluation Plan'!U39</x:f>
        <x:v>0</x:v>
      </x:c>
    </x:row>
    <x:row r="40" ht="51" customHeight="1">
      <x:c r="A40" s="16" t="s">
        <x:v>181</x:v>
      </x:c>
      <x:c r="B40" s="17" t="n">
        <x:f>'Evaluation Plan'!B40</x:f>
        <x:v>38</x:v>
      </x:c>
      <x:c r="C40" s="16" t="str">
        <x:f>'Evaluation Plan'!C40</x:f>
        <x:v>Move the inverted white cup into the bowl.</x:v>
      </x:c>
      <x:c r="D40" s="16" t="str">
        <x:f>'Evaluation Plan'!D40</x:f>
        <x:v>white cup A (O, UD); white cup B (O, RU); brown cup A (C, RU)</x:v>
      </x:c>
      <x:c r="E40" s="17" t="n">
        <x:f>'Evaluation Plan'!E40</x:f>
        <x:v>36</x:v>
      </x:c>
      <x:c r="F40" s="17" t="str">
        <x:f>'Evaluation Plan'!F40</x:f>
        <x:v>30</x:v>
      </x:c>
      <x:c r="G40" s="16" t="str">
        <x:f>'Evaluation Plan'!G40</x:f>
        <x:v>The canonical transfer scene and masked trajectory reference are unchanged; only the evaluation wording is paraphrased. This remains a language diagnostic and is not pooled into the primary 50.</x:v>
      </x:c>
      <x:c r="H40" s="16" t="str">
        <x:f>'Evaluation Plan'!H40</x:f>
        <x:v>white cup A</x:v>
      </x:c>
      <x:c r="I40" s="16"/>
      <x:c r="J40" s="18" t="str">
        <x:f>'Evaluation Plan'!J40</x:f>
        <x:v>Language robustness</x:v>
      </x:c>
      <x:c r="K40" s="17" t="str">
        <x:f>'Evaluation Plan'!K40</x:f>
        <x:v>SR-CT05</x:v>
      </x:c>
      <x:c r="L40" s="17" t="str">
        <x:f>'Evaluation Plan'!L40</x:f>
        <x:v>UD</x:v>
      </x:c>
      <x:c r="M40" s="17" t="str">
        <x:f>'Evaluation Plan'!M40</x:f>
        <x:v>white cup</x:v>
      </x:c>
      <x:c r="N40" s="17" t="n">
        <x:f>'Evaluation Plan'!N40</x:f>
        <x:v>3</x:v>
      </x:c>
      <x:c r="O40" s="17" t="n">
        <x:f>'Evaluation Plan'!O40</x:f>
        <x:v>1</x:v>
      </x:c>
      <x:c r="P40" s="17" t="str">
        <x:f>'Evaluation Plan'!P40</x:f>
        <x:v>Empty</x:v>
      </x:c>
      <x:c r="Q40" s="16" t="str">
        <x:f>'Evaluation Plan'!Q40</x:f>
        <x:v>Primary compositional-transfer prompt paraphrase</x:v>
      </x:c>
      <x:c r="R40" s="17" t="n">
        <x:f>'Evaluation Plan'!R40</x:f>
        <x:v>2</x:v>
      </x:c>
      <x:c r="S40" s="16" t="str">
        <x:f>'Evaluation Plan'!S40</x:f>
        <x:v>Reset the moved object exactly; preserve every object and state; change only the prompt wording.</x:v>
      </x:c>
      <x:c r="T40" s="16" t="str">
        <x:f>'Evaluation Plan'!T40</x:f>
        <x:v>Exact-scene paraphrase of one of the 50 canonical compositional-transfer trials. The same-category candidates share the orthogonal C/O state (O). The scene is an exact copy of the referenced canonical row.</x:v>
      </x:c>
      <x:c r="U40" s="16" t="n">
        <x:f>'Evaluation Plan'!U40</x:f>
        <x:v>0</x:v>
      </x:c>
    </x:row>
    <x:row r="41" ht="51" customHeight="1">
      <x:c r="A41" s="13" t="s">
        <x:v>181</x:v>
      </x:c>
      <x:c r="B41" s="14" t="n">
        <x:f>'Evaluation Plan'!B41</x:f>
        <x:v>39</x:v>
      </x:c>
      <x:c r="C41" s="13" t="str">
        <x:f>'Evaluation Plan'!C41</x:f>
        <x:v>Set the white cup inside the bowl.</x:v>
      </x:c>
      <x:c r="D41" s="13" t="str">
        <x:f>'Evaluation Plan'!D41</x:f>
        <x:v>white cup A (O, UD); yellow-white striped cup A (O, RU); brown cup A (C, RU)</x:v>
      </x:c>
      <x:c r="E41" s="14" t="n">
        <x:f>'Evaluation Plan'!E41</x:f>
        <x:v>37</x:v>
      </x:c>
      <x:c r="F41" s="14" t="n">
        <x:f>'Evaluation Plan'!F41</x:f>
        <x:v>30</x:v>
      </x:c>
      <x:c r="G41" s="13" t="str">
        <x:f>'Evaluation Plan'!G41</x:f>
        <x:v>Paraphrase of the direct-category matched control grounded by training episode 30. The modified control scene and physical target are unchanged.</x:v>
      </x:c>
      <x:c r="H41" s="13" t="str">
        <x:f>'Evaluation Plan'!H41</x:f>
        <x:v>white cup A</x:v>
      </x:c>
      <x:c r="I41" s="13"/>
      <x:c r="J41" s="18" t="str">
        <x:f>'Evaluation Plan'!J41</x:f>
        <x:v>Language robustness</x:v>
      </x:c>
      <x:c r="K41" s="14" t="str">
        <x:f>'Evaluation Plan'!K41</x:f>
        <x:v>SR-CT05</x:v>
      </x:c>
      <x:c r="L41" s="14" t="str">
        <x:f>'Evaluation Plan'!L41</x:f>
        <x:v>N/A</x:v>
      </x:c>
      <x:c r="M41" s="14" t="str">
        <x:f>'Evaluation Plan'!M41</x:f>
        <x:v>white cup</x:v>
      </x:c>
      <x:c r="N41" s="14" t="n">
        <x:f>'Evaluation Plan'!N41</x:f>
        <x:v>3</x:v>
      </x:c>
      <x:c r="O41" s="14" t="n">
        <x:f>'Evaluation Plan'!O41</x:f>
        <x:v>1</x:v>
      </x:c>
      <x:c r="P41" s="14" t="str">
        <x:f>'Evaluation Plan'!P41</x:f>
        <x:v>Empty</x:v>
      </x:c>
      <x:c r="Q41" s="13" t="str">
        <x:f>'Evaluation Plan'!Q41</x:f>
        <x:v>Direct-category matched-control paraphrase</x:v>
      </x:c>
      <x:c r="R41" s="14" t="n">
        <x:f>'Evaluation Plan'!R41</x:f>
        <x:v>2</x:v>
      </x:c>
      <x:c r="S41" s="13" t="str">
        <x:f>'Evaluation Plan'!S41</x:f>
        <x:v>Reset the target to its marked pose; preserve the exact modified control scene and change only the direct instruction wording.</x:v>
      </x:c>
      <x:c r="T41" s="13" t="str">
        <x:f>'Evaluation Plan'!T41</x:f>
        <x:v>Language diagnostic for the pure manipulation control; no state word or state-based selection is required. The scene is an exact copy of the referenced canonical row.</x:v>
      </x:c>
      <x:c r="U41" s="13" t="n">
        <x:f>'Evaluation Plan'!U41</x:f>
        <x:v>0</x:v>
      </x:c>
    </x:row>
    <x:row r="42" ht="51" customHeight="1">
      <x:c r="A42" s="5" t="s">
        <x:v>181</x:v>
      </x:c>
      <x:c r="B42" s="4" t="n">
        <x:f>'Evaluation Plan'!B42</x:f>
        <x:v>40</x:v>
      </x:c>
      <x:c r="C42" s="5" t="str">
        <x:f>'Evaluation Plan'!C42</x:f>
        <x:v>Place the open yellow-white striped cup in the bowl.</x:v>
      </x:c>
      <x:c r="D42" s="5" t="str">
        <x:f>'Evaluation Plan'!D42</x:f>
        <x:v>yellow-white striped cup B (O, RU); yellow-white striped cup A (C, RU); glass spice container B (O, RU); white cup A (C, RU)</x:v>
      </x:c>
      <x:c r="E42" s="4" t="n">
        <x:f>'Evaluation Plan'!E42</x:f>
        <x:v>0</x:v>
      </x:c>
      <x:c r="F42" s="4" t="str">
        <x:f>'Evaluation Plan'!F42</x:f>
        <x:v>53</x:v>
      </x:c>
      <x:c r="G42" s="5" t="str">
        <x:f>'Evaluation Plan'!G42</x:f>
        <x:v>Physical-state and manipulation-trajectory reference under a direct category prompt; the evaluated state word × object-category cell is intentionally absent from training. All objects are upright, matching the context of every explicit open/closed training demonstration.</x:v>
      </x:c>
      <x:c r="H42" s="5" t="str">
        <x:f>'Evaluation Plan'!H42</x:f>
        <x:v>yellow-white striped cup B</x:v>
      </x:c>
      <x:c r="I42" s="5"/>
      <x:c r="J42" s="12" t="str">
        <x:f>'Evaluation Plan'!J42</x:f>
        <x:v>Concept/compositional transfer</x:v>
      </x:c>
      <x:c r="K42" s="4" t="str">
        <x:f>'Evaluation Plan'!K42</x:f>
        <x:v>SR-CT06</x:v>
      </x:c>
      <x:c r="L42" s="4" t="str">
        <x:f>'Evaluation Plan'!L42</x:f>
        <x:v>O</x:v>
      </x:c>
      <x:c r="M42" s="4" t="str">
        <x:f>'Evaluation Plan'!M42</x:f>
        <x:v>yellow-white striped cup</x:v>
      </x:c>
      <x:c r="N42" s="4" t="n">
        <x:f>'Evaluation Plan'!N42</x:f>
        <x:v>4</x:v>
      </x:c>
      <x:c r="O42" s="4" t="n">
        <x:f>'Evaluation Plan'!O42</x:f>
        <x:v>1</x:v>
      </x:c>
      <x:c r="P42" s="4" t="str">
        <x:f>'Evaluation Plan'!P42</x:f>
        <x:v>Empty</x:v>
      </x:c>
      <x:c r="Q42" s="5" t="str">
        <x:f>'Evaluation Plan'!Q42</x:f>
        <x:v>Primary held-out state-object composition</x:v>
      </x:c>
      <x:c r="R42" s="4" t="n">
        <x:f>'Evaluation Plan'!R42</x:f>
        <x:v>2</x:v>
      </x:c>
      <x:c r="S42" s="5" t="str">
        <x:f>'Evaluation Plan'!S42</x:f>
        <x:v>Build the listed same-category discrimination scene with the bowl empty.</x:v>
      </x:c>
      <x:c r="T42" s="5" t="str">
        <x:f>'Evaluation Plan'!T42</x:f>
        <x:v>Two same-category candidates share the non-queried state axis; only the held-out state word identifies the target. The orthogonal orientation axis is fixed: every object is RU.</x:v>
      </x:c>
      <x:c r="U42" s="5" t="n">
        <x:f>'Evaluation Plan'!U42</x:f>
        <x:v>0</x:v>
      </x:c>
    </x:row>
    <x:row r="43" ht="51" customHeight="1">
      <x:c r="A43" s="13" t="s">
        <x:v>181</x:v>
      </x:c>
      <x:c r="B43" s="14" t="n">
        <x:f>'Evaluation Plan'!B43</x:f>
        <x:v>41</x:v>
      </x:c>
      <x:c r="C43" s="13" t="str">
        <x:f>'Evaluation Plan'!C43</x:f>
        <x:v>Put a yellow-white striped cup in the bowl.</x:v>
      </x:c>
      <x:c r="D43" s="13" t="str">
        <x:f>'Evaluation Plan'!D43</x:f>
        <x:v>yellow-white striped cup B (O, RU); brown cup B (C, RU); glass spice container B (O, RU); white cup A (C, RU)</x:v>
      </x:c>
      <x:c r="E43" s="14" t="n">
        <x:f>'Evaluation Plan'!E43</x:f>
        <x:v>40</x:v>
      </x:c>
      <x:c r="F43" s="14" t="n">
        <x:f>'Evaluation Plan'!F43</x:f>
        <x:v>53</x:v>
      </x:c>
      <x:c r="G43" s="13" t="str">
        <x:f>'Evaluation Plan'!G43</x:f>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H43" s="13" t="str">
        <x:f>'Evaluation Plan'!H43</x:f>
        <x:v>yellow-white striped cup B</x:v>
      </x:c>
      <x:c r="I43" s="13"/>
      <x:c r="J43" s="15" t="str">
        <x:f>'Evaluation Plan'!J43</x:f>
        <x:v>Matched manipulation control</x:v>
      </x:c>
      <x:c r="K43" s="14" t="str">
        <x:f>'Evaluation Plan'!K43</x:f>
        <x:v>SR-CT06</x:v>
      </x:c>
      <x:c r="L43" s="14" t="str">
        <x:f>'Evaluation Plan'!L43</x:f>
        <x:v>N/A</x:v>
      </x:c>
      <x:c r="M43" s="14" t="str">
        <x:f>'Evaluation Plan'!M43</x:f>
        <x:v>yellow-white striped cup</x:v>
      </x:c>
      <x:c r="N43" s="14" t="n">
        <x:f>'Evaluation Plan'!N43</x:f>
        <x:v>4</x:v>
      </x:c>
      <x:c r="O43" s="14" t="n">
        <x:f>'Evaluation Plan'!O43</x:f>
        <x:v>1</x:v>
      </x:c>
      <x:c r="P43" s="14" t="str">
        <x:f>'Evaluation Plan'!P43</x:f>
        <x:v>Empty</x:v>
      </x:c>
      <x:c r="Q43" s="13" t="str">
        <x:f>'Evaluation Plan'!Q43</x:f>
        <x:v>One-object-substitution direct-category control</x:v>
      </x:c>
      <x:c r="R43" s="14" t="n">
        <x:f>'Evaluation Plan'!R43</x:f>
        <x:v>2</x:v>
      </x:c>
      <x:c r="S43" s="13" t="str">
        <x:f>'Evaluation Plan'!S43</x:f>
        <x:v>Reset yellow-white striped cup B to its transfer pose. Replace yellow-white striped cup A with brown cup B in the same location and use the states listed in this row; preserve all other objects.</x:v>
      </x:c>
      <x:c r="T43" s="13" t="str">
        <x:f>'Evaluation Plan'!T43</x:f>
        <x:v>Pure recognition/manipulation control: the prompt uniquely names the only object from the target category, while the physical target remains identical to the transfer row. Every object is RU.</x:v>
      </x:c>
      <x:c r="U43" s="13" t="n">
        <x:f>'Evaluation Plan'!U43</x:f>
        <x:v>0</x:v>
      </x:c>
    </x:row>
    <x:row r="44" ht="51" customHeight="1">
      <x:c r="A44" s="16" t="s">
        <x:v>181</x:v>
      </x:c>
      <x:c r="B44" s="17" t="n">
        <x:f>'Evaluation Plan'!B44</x:f>
        <x:v>42</x:v>
      </x:c>
      <x:c r="C44" s="16" t="str">
        <x:f>'Evaluation Plan'!C44</x:f>
        <x:v>Move the yellow-white striped cup whose opening is uncovered into the bowl.</x:v>
      </x:c>
      <x:c r="D44" s="16" t="str">
        <x:f>'Evaluation Plan'!D44</x:f>
        <x:v>yellow-white striped cup B (O, RU); yellow-white striped cup A (C, RU); glass spice container B (O, RU); white cup A (C, RU)</x:v>
      </x:c>
      <x:c r="E44" s="17" t="n">
        <x:f>'Evaluation Plan'!E44</x:f>
        <x:v>40</x:v>
      </x:c>
      <x:c r="F44" s="17" t="str">
        <x:f>'Evaluation Plan'!F44</x:f>
        <x:v>53</x:v>
      </x:c>
      <x:c r="G44" s="16" t="str">
        <x:f>'Evaluation Plan'!G44</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4" s="16" t="str">
        <x:f>'Evaluation Plan'!H44</x:f>
        <x:v>yellow-white striped cup B</x:v>
      </x:c>
      <x:c r="I44" s="16"/>
      <x:c r="J44" s="18" t="str">
        <x:f>'Evaluation Plan'!J44</x:f>
        <x:v>Language robustness</x:v>
      </x:c>
      <x:c r="K44" s="17" t="str">
        <x:f>'Evaluation Plan'!K44</x:f>
        <x:v>SR-CT06</x:v>
      </x:c>
      <x:c r="L44" s="17" t="str">
        <x:f>'Evaluation Plan'!L44</x:f>
        <x:v>O</x:v>
      </x:c>
      <x:c r="M44" s="17" t="str">
        <x:f>'Evaluation Plan'!M44</x:f>
        <x:v>yellow-white striped cup</x:v>
      </x:c>
      <x:c r="N44" s="17" t="n">
        <x:f>'Evaluation Plan'!N44</x:f>
        <x:v>4</x:v>
      </x:c>
      <x:c r="O44" s="17" t="n">
        <x:f>'Evaluation Plan'!O44</x:f>
        <x:v>1</x:v>
      </x:c>
      <x:c r="P44" s="17" t="str">
        <x:f>'Evaluation Plan'!P44</x:f>
        <x:v>Empty</x:v>
      </x:c>
      <x:c r="Q44" s="16" t="str">
        <x:f>'Evaluation Plan'!Q44</x:f>
        <x:v>Primary compositional-transfer prompt paraphrase</x:v>
      </x:c>
      <x:c r="R44" s="17" t="n">
        <x:f>'Evaluation Plan'!R44</x:f>
        <x:v>2</x:v>
      </x:c>
      <x:c r="S44" s="16" t="str">
        <x:f>'Evaluation Plan'!S44</x:f>
        <x:v>Reset the moved object exactly; preserve every object and state; change only the prompt wording.</x:v>
      </x:c>
      <x:c r="T44" s="16" t="str">
        <x:f>'Evaluation Plan'!T44</x:f>
        <x:v>Exact-scene paraphrase of one of the 50 canonical compositional-transfer trials. The orthogonal orientation axis is fixed: every object is RU. The scene is an exact copy of the referenced canonical row.</x:v>
      </x:c>
      <x:c r="U44" s="16" t="n">
        <x:f>'Evaluation Plan'!U44</x:f>
        <x:v>0</x:v>
      </x:c>
    </x:row>
    <x:row r="45" ht="51" customHeight="1">
      <x:c r="A45" s="13" t="s">
        <x:v>181</x:v>
      </x:c>
      <x:c r="B45" s="14" t="n">
        <x:f>'Evaluation Plan'!B45</x:f>
        <x:v>43</x:v>
      </x:c>
      <x:c r="C45" s="13" t="str">
        <x:f>'Evaluation Plan'!C45</x:f>
        <x:v>Transfer the yellow-white striped cup from the table into the bowl.</x:v>
      </x:c>
      <x:c r="D45" s="13" t="str">
        <x:f>'Evaluation Plan'!D45</x:f>
        <x:v>yellow-white striped cup B (O, RU); brown cup B (C, RU); glass spice container B (O, RU); white cup A (C, RU)</x:v>
      </x:c>
      <x:c r="E45" s="14" t="n">
        <x:f>'Evaluation Plan'!E45</x:f>
        <x:v>41</x:v>
      </x:c>
      <x:c r="F45" s="14" t="n">
        <x:f>'Evaluation Plan'!F45</x:f>
        <x:v>53</x:v>
      </x:c>
      <x:c r="G45" s="13" t="str">
        <x:f>'Evaluation Plan'!G45</x:f>
        <x:v>Paraphrase of the direct-category matched control grounded by training episode 53. The modified control scene and physical target are unchanged.</x:v>
      </x:c>
      <x:c r="H45" s="13" t="str">
        <x:f>'Evaluation Plan'!H45</x:f>
        <x:v>yellow-white striped cup B</x:v>
      </x:c>
      <x:c r="I45" s="13"/>
      <x:c r="J45" s="18" t="str">
        <x:f>'Evaluation Plan'!J45</x:f>
        <x:v>Language robustness</x:v>
      </x:c>
      <x:c r="K45" s="14" t="str">
        <x:f>'Evaluation Plan'!K45</x:f>
        <x:v>SR-CT06</x:v>
      </x:c>
      <x:c r="L45" s="14" t="str">
        <x:f>'Evaluation Plan'!L45</x:f>
        <x:v>N/A</x:v>
      </x:c>
      <x:c r="M45" s="14" t="str">
        <x:f>'Evaluation Plan'!M45</x:f>
        <x:v>yellow-white striped cup</x:v>
      </x:c>
      <x:c r="N45" s="14" t="n">
        <x:f>'Evaluation Plan'!N45</x:f>
        <x:v>4</x:v>
      </x:c>
      <x:c r="O45" s="14" t="n">
        <x:f>'Evaluation Plan'!O45</x:f>
        <x:v>1</x:v>
      </x:c>
      <x:c r="P45" s="14" t="str">
        <x:f>'Evaluation Plan'!P45</x:f>
        <x:v>Empty</x:v>
      </x:c>
      <x:c r="Q45" s="13" t="str">
        <x:f>'Evaluation Plan'!Q45</x:f>
        <x:v>Direct-category matched-control paraphrase</x:v>
      </x:c>
      <x:c r="R45" s="14" t="n">
        <x:f>'Evaluation Plan'!R45</x:f>
        <x:v>2</x:v>
      </x:c>
      <x:c r="S45" s="13" t="str">
        <x:f>'Evaluation Plan'!S45</x:f>
        <x:v>Reset the target to its marked pose; preserve the exact modified control scene and change only the direct instruction wording.</x:v>
      </x:c>
      <x:c r="T45" s="13" t="str">
        <x:f>'Evaluation Plan'!T45</x:f>
        <x:v>Language diagnostic for the pure manipulation control; no state word or state-based selection is required. The scene is an exact copy of the referenced canonical row.</x:v>
      </x:c>
      <x:c r="U45" s="13" t="n">
        <x:f>'Evaluation Plan'!U45</x:f>
        <x:v>0</x:v>
      </x:c>
    </x:row>
    <x:row r="46" ht="51" customHeight="1">
      <x:c r="A46" s="5" t="s">
        <x:v>181</x:v>
      </x:c>
      <x:c r="B46" s="4" t="n">
        <x:f>'Evaluation Plan'!B46</x:f>
        <x:v>44</x:v>
      </x:c>
      <x:c r="C46" s="5" t="str">
        <x:f>'Evaluation Plan'!C46</x:f>
        <x:v>Place the closed brown cup in the bowl.</x:v>
      </x:c>
      <x:c r="D46" s="5" t="str">
        <x:f>'Evaluation Plan'!D46</x:f>
        <x:v>brown cup A (C, RU); brown cup B (O, RU)</x:v>
      </x:c>
      <x:c r="E46" s="4" t="n">
        <x:f>'Evaluation Plan'!E46</x:f>
        <x:v>0</x:v>
      </x:c>
      <x:c r="F46" s="4" t="str">
        <x:f>'Evaluation Plan'!F46</x:f>
        <x:v>107</x:v>
      </x:c>
      <x:c r="G46" s="5" t="str">
        <x:f>'Evaluation Plan'!G46</x:f>
        <x:v>Physical-state and manipulation-trajectory reference under a direct category prompt; the evaluated state word × object-category cell is intentionally absent from training. All objects are upright, matching the context of every explicit open/closed training demonstration.</x:v>
      </x:c>
      <x:c r="H46" s="5" t="str">
        <x:f>'Evaluation Plan'!H46</x:f>
        <x:v>brown cup A</x:v>
      </x:c>
      <x:c r="I46" s="5"/>
      <x:c r="J46" s="12" t="str">
        <x:f>'Evaluation Plan'!J46</x:f>
        <x:v>Concept/compositional transfer</x:v>
      </x:c>
      <x:c r="K46" s="4" t="str">
        <x:f>'Evaluation Plan'!K46</x:f>
        <x:v>SR-CT07</x:v>
      </x:c>
      <x:c r="L46" s="4" t="str">
        <x:f>'Evaluation Plan'!L46</x:f>
        <x:v>C</x:v>
      </x:c>
      <x:c r="M46" s="4" t="str">
        <x:f>'Evaluation Plan'!M46</x:f>
        <x:v>brown cup</x:v>
      </x:c>
      <x:c r="N46" s="4" t="n">
        <x:f>'Evaluation Plan'!N46</x:f>
        <x:v>2</x:v>
      </x:c>
      <x:c r="O46" s="4" t="n">
        <x:f>'Evaluation Plan'!O46</x:f>
        <x:v>1</x:v>
      </x:c>
      <x:c r="P46" s="4" t="str">
        <x:f>'Evaluation Plan'!P46</x:f>
        <x:v>Empty</x:v>
      </x:c>
      <x:c r="Q46" s="5" t="str">
        <x:f>'Evaluation Plan'!Q46</x:f>
        <x:v>Primary held-out state-object composition</x:v>
      </x:c>
      <x:c r="R46" s="4" t="n">
        <x:f>'Evaluation Plan'!R46</x:f>
        <x:v>2</x:v>
      </x:c>
      <x:c r="S46" s="5" t="str">
        <x:f>'Evaluation Plan'!S46</x:f>
        <x:v>Build the listed same-category discrimination scene with the bowl empty.</x:v>
      </x:c>
      <x:c r="T46" s="5" t="str">
        <x:f>'Evaluation Plan'!T46</x:f>
        <x:v>Two same-category candidates share the non-queried state axis; only the held-out state word identifies the target. The orthogonal orientation axis is fixed: every object is RU.</x:v>
      </x:c>
      <x:c r="U46" s="5" t="n">
        <x:f>'Evaluation Plan'!U46</x:f>
        <x:v>0</x:v>
      </x:c>
    </x:row>
    <x:row r="47" ht="51" customHeight="1">
      <x:c r="A47" s="13" t="s">
        <x:v>181</x:v>
      </x:c>
      <x:c r="B47" s="14" t="n">
        <x:f>'Evaluation Plan'!B47</x:f>
        <x:v>45</x:v>
      </x:c>
      <x:c r="C47" s="13" t="str">
        <x:f>'Evaluation Plan'!C47</x:f>
        <x:v>Put a brown cup in the bowl.</x:v>
      </x:c>
      <x:c r="D47" s="13" t="str">
        <x:f>'Evaluation Plan'!D47</x:f>
        <x:v>brown cup A (C, RU); white cup A (O, RU)</x:v>
      </x:c>
      <x:c r="E47" s="14" t="n">
        <x:f>'Evaluation Plan'!E47</x:f>
        <x:v>44</x:v>
      </x:c>
      <x:c r="F47" s="14" t="n">
        <x:f>'Evaluation Plan'!F47</x:f>
        <x:v>107</x:v>
      </x:c>
      <x:c r="G47" s="13" t="str">
        <x:f>'Evaluation Plan'!G47</x:f>
        <x:v>Exact direct-category manipulation prompt from training episode 107. The transfer target, state, and pose are preserved; only the competing brown cup is replaced by white cup A. The full control scene is upright because its paired transfer instruction queries open/closed.</x:v>
      </x:c>
      <x:c r="H47" s="13" t="str">
        <x:f>'Evaluation Plan'!H47</x:f>
        <x:v>brown cup A</x:v>
      </x:c>
      <x:c r="I47" s="13"/>
      <x:c r="J47" s="15" t="str">
        <x:f>'Evaluation Plan'!J47</x:f>
        <x:v>Matched manipulation control</x:v>
      </x:c>
      <x:c r="K47" s="14" t="str">
        <x:f>'Evaluation Plan'!K47</x:f>
        <x:v>SR-CT07</x:v>
      </x:c>
      <x:c r="L47" s="14" t="str">
        <x:f>'Evaluation Plan'!L47</x:f>
        <x:v>N/A</x:v>
      </x:c>
      <x:c r="M47" s="14" t="str">
        <x:f>'Evaluation Plan'!M47</x:f>
        <x:v>brown cup</x:v>
      </x:c>
      <x:c r="N47" s="14" t="n">
        <x:f>'Evaluation Plan'!N47</x:f>
        <x:v>2</x:v>
      </x:c>
      <x:c r="O47" s="14" t="n">
        <x:f>'Evaluation Plan'!O47</x:f>
        <x:v>1</x:v>
      </x:c>
      <x:c r="P47" s="14" t="str">
        <x:f>'Evaluation Plan'!P47</x:f>
        <x:v>Empty</x:v>
      </x:c>
      <x:c r="Q47" s="13" t="str">
        <x:f>'Evaluation Plan'!Q47</x:f>
        <x:v>One-object-substitution direct-category control</x:v>
      </x:c>
      <x:c r="R47" s="14" t="n">
        <x:f>'Evaluation Plan'!R47</x:f>
        <x:v>2</x:v>
      </x:c>
      <x:c r="S47" s="13" t="str">
        <x:f>'Evaluation Plan'!S47</x:f>
        <x:v>Reset brown cup A to its transfer pose. Replace brown cup B with white cup A in the same location and use the states listed in this row; preserve all other objects.</x:v>
      </x:c>
      <x:c r="T47" s="13" t="str">
        <x:f>'Evaluation Plan'!T47</x:f>
        <x:v>Pure recognition/manipulation control: the prompt uniquely names the only object from the target category, while the physical target remains identical to the transfer row. Every object is RU.</x:v>
      </x:c>
      <x:c r="U47" s="13" t="n">
        <x:f>'Evaluation Plan'!U47</x:f>
        <x:v>0</x:v>
      </x:c>
    </x:row>
    <x:row r="48" ht="51" customHeight="1">
      <x:c r="A48" s="16" t="s">
        <x:v>181</x:v>
      </x:c>
      <x:c r="B48" s="17" t="n">
        <x:f>'Evaluation Plan'!B48</x:f>
        <x:v>46</x:v>
      </x:c>
      <x:c r="C48" s="16" t="str">
        <x:f>'Evaluation Plan'!C48</x:f>
        <x:v>Move the brown cup whose opening is covered into the bowl.</x:v>
      </x:c>
      <x:c r="D48" s="16" t="str">
        <x:f>'Evaluation Plan'!D48</x:f>
        <x:v>brown cup A (C, RU); brown cup B (O, RU)</x:v>
      </x:c>
      <x:c r="E48" s="17" t="n">
        <x:f>'Evaluation Plan'!E48</x:f>
        <x:v>44</x:v>
      </x:c>
      <x:c r="F48" s="17" t="str">
        <x:f>'Evaluation Plan'!F48</x:f>
        <x:v>107</x:v>
      </x:c>
      <x:c r="G48" s="16" t="str">
        <x:f>'Evaluation Plan'!G48</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8" s="16" t="str">
        <x:f>'Evaluation Plan'!H48</x:f>
        <x:v>brown cup A</x:v>
      </x:c>
      <x:c r="I48" s="16"/>
      <x:c r="J48" s="18" t="str">
        <x:f>'Evaluation Plan'!J48</x:f>
        <x:v>Language robustness</x:v>
      </x:c>
      <x:c r="K48" s="17" t="str">
        <x:f>'Evaluation Plan'!K48</x:f>
        <x:v>SR-CT07</x:v>
      </x:c>
      <x:c r="L48" s="17" t="str">
        <x:f>'Evaluation Plan'!L48</x:f>
        <x:v>C</x:v>
      </x:c>
      <x:c r="M48" s="17" t="str">
        <x:f>'Evaluation Plan'!M48</x:f>
        <x:v>brown cup</x:v>
      </x:c>
      <x:c r="N48" s="17" t="n">
        <x:f>'Evaluation Plan'!N48</x:f>
        <x:v>2</x:v>
      </x:c>
      <x:c r="O48" s="17" t="n">
        <x:f>'Evaluation Plan'!O48</x:f>
        <x:v>1</x:v>
      </x:c>
      <x:c r="P48" s="17" t="str">
        <x:f>'Evaluation Plan'!P48</x:f>
        <x:v>Empty</x:v>
      </x:c>
      <x:c r="Q48" s="16" t="str">
        <x:f>'Evaluation Plan'!Q48</x:f>
        <x:v>Primary compositional-transfer prompt paraphrase</x:v>
      </x:c>
      <x:c r="R48" s="17" t="n">
        <x:f>'Evaluation Plan'!R48</x:f>
        <x:v>2</x:v>
      </x:c>
      <x:c r="S48" s="16" t="str">
        <x:f>'Evaluation Plan'!S48</x:f>
        <x:v>Reset the moved object exactly; preserve every object and state; change only the prompt wording.</x:v>
      </x:c>
      <x:c r="T48" s="16" t="str">
        <x:f>'Evaluation Plan'!T48</x:f>
        <x:v>Exact-scene paraphrase of one of the 50 canonical compositional-transfer trials. The orthogonal orientation axis is fixed: every object is RU. The scene is an exact copy of the referenced canonical row.</x:v>
      </x:c>
      <x:c r="U48" s="16" t="n">
        <x:f>'Evaluation Plan'!U48</x:f>
        <x:v>0</x:v>
      </x:c>
    </x:row>
    <x:row r="49" ht="51" customHeight="1">
      <x:c r="A49" s="13" t="s">
        <x:v>181</x:v>
      </x:c>
      <x:c r="B49" s="14" t="n">
        <x:f>'Evaluation Plan'!B49</x:f>
        <x:v>47</x:v>
      </x:c>
      <x:c r="C49" s="13" t="str">
        <x:f>'Evaluation Plan'!C49</x:f>
        <x:v>Lift the brown cup and set it inside the bowl.</x:v>
      </x:c>
      <x:c r="D49" s="13" t="str">
        <x:f>'Evaluation Plan'!D49</x:f>
        <x:v>brown cup A (C, RU); white cup A (O, RU)</x:v>
      </x:c>
      <x:c r="E49" s="14" t="n">
        <x:f>'Evaluation Plan'!E49</x:f>
        <x:v>45</x:v>
      </x:c>
      <x:c r="F49" s="14" t="n">
        <x:f>'Evaluation Plan'!F49</x:f>
        <x:v>107</x:v>
      </x:c>
      <x:c r="G49" s="13" t="str">
        <x:f>'Evaluation Plan'!G49</x:f>
        <x:v>Paraphrase of the direct-category matched control grounded by training episode 107. The modified control scene and physical target are unchanged.</x:v>
      </x:c>
      <x:c r="H49" s="13" t="str">
        <x:f>'Evaluation Plan'!H49</x:f>
        <x:v>brown cup A</x:v>
      </x:c>
      <x:c r="I49" s="13"/>
      <x:c r="J49" s="18" t="str">
        <x:f>'Evaluation Plan'!J49</x:f>
        <x:v>Language robustness</x:v>
      </x:c>
      <x:c r="K49" s="14" t="str">
        <x:f>'Evaluation Plan'!K49</x:f>
        <x:v>SR-CT07</x:v>
      </x:c>
      <x:c r="L49" s="14" t="str">
        <x:f>'Evaluation Plan'!L49</x:f>
        <x:v>N/A</x:v>
      </x:c>
      <x:c r="M49" s="14" t="str">
        <x:f>'Evaluation Plan'!M49</x:f>
        <x:v>brown cup</x:v>
      </x:c>
      <x:c r="N49" s="14" t="n">
        <x:f>'Evaluation Plan'!N49</x:f>
        <x:v>2</x:v>
      </x:c>
      <x:c r="O49" s="14" t="n">
        <x:f>'Evaluation Plan'!O49</x:f>
        <x:v>1</x:v>
      </x:c>
      <x:c r="P49" s="14" t="str">
        <x:f>'Evaluation Plan'!P49</x:f>
        <x:v>Empty</x:v>
      </x:c>
      <x:c r="Q49" s="13" t="str">
        <x:f>'Evaluation Plan'!Q49</x:f>
        <x:v>Direct-category matched-control paraphrase</x:v>
      </x:c>
      <x:c r="R49" s="14" t="n">
        <x:f>'Evaluation Plan'!R49</x:f>
        <x:v>2</x:v>
      </x:c>
      <x:c r="S49" s="13" t="str">
        <x:f>'Evaluation Plan'!S49</x:f>
        <x:v>Reset the target to its marked pose; preserve the exact modified control scene and change only the direct instruction wording.</x:v>
      </x:c>
      <x:c r="T49" s="13" t="str">
        <x:f>'Evaluation Plan'!T49</x:f>
        <x:v>Language diagnostic for the pure manipulation control; no state word or state-based selection is required. The scene is an exact copy of the referenced canonical row.</x:v>
      </x:c>
      <x:c r="U49" s="13" t="n">
        <x:f>'Evaluation Plan'!U49</x:f>
        <x:v>0</x:v>
      </x:c>
    </x:row>
    <x:row r="50" ht="51" customHeight="1">
      <x:c r="A50" s="5" t="s">
        <x:v>181</x:v>
      </x:c>
      <x:c r="B50" s="4" t="n">
        <x:f>'Evaluation Plan'!B50</x:f>
        <x:v>48</x:v>
      </x:c>
      <x:c r="C50" s="5" t="str">
        <x:f>'Evaluation Plan'!C50</x:f>
        <x:v>Place the upright glass spice container in the bowl.</x:v>
      </x:c>
      <x:c r="D50" s="5" t="str">
        <x:f>'Evaluation Plan'!D50</x:f>
        <x:v>glass spice container B (O, RU); glass spice container A (O, UD); yellow-white striped cup B (O, UD)</x:v>
      </x:c>
      <x:c r="E50" s="4" t="n">
        <x:f>'Evaluation Plan'!E50</x:f>
        <x:v>0</x:v>
      </x:c>
      <x:c r="F50" s="4" t="str">
        <x:f>'Evaluation Plan'!F50</x:f>
        <x:v>153</x:v>
      </x:c>
      <x:c r="G50" s="5" t="str">
        <x:f>'Evaluation Plan'!G50</x:f>
        <x:v>Physical-state and manipulation-trajectory reference under a direct category prompt; the evaluated state word × object-category cell is intentionally absent from training.</x:v>
      </x:c>
      <x:c r="H50" s="5" t="str">
        <x:f>'Evaluation Plan'!H50</x:f>
        <x:v>glass spice container B</x:v>
      </x:c>
      <x:c r="I50" s="5"/>
      <x:c r="J50" s="12" t="str">
        <x:f>'Evaluation Plan'!J50</x:f>
        <x:v>Concept/compositional transfer</x:v>
      </x:c>
      <x:c r="K50" s="4" t="str">
        <x:f>'Evaluation Plan'!K50</x:f>
        <x:v>SR-CT08</x:v>
      </x:c>
      <x:c r="L50" s="4" t="str">
        <x:f>'Evaluation Plan'!L50</x:f>
        <x:v>RU</x:v>
      </x:c>
      <x:c r="M50" s="4" t="str">
        <x:f>'Evaluation Plan'!M50</x:f>
        <x:v>glass spice container</x:v>
      </x:c>
      <x:c r="N50" s="4" t="n">
        <x:f>'Evaluation Plan'!N50</x:f>
        <x:v>3</x:v>
      </x:c>
      <x:c r="O50" s="4" t="n">
        <x:f>'Evaluation Plan'!O50</x:f>
        <x:v>1</x:v>
      </x:c>
      <x:c r="P50" s="4" t="str">
        <x:f>'Evaluation Plan'!P50</x:f>
        <x:v>Empty</x:v>
      </x:c>
      <x:c r="Q50" s="5" t="str">
        <x:f>'Evaluation Plan'!Q50</x:f>
        <x:v>Primary held-out state-object composition</x:v>
      </x:c>
      <x:c r="R50" s="4" t="n">
        <x:f>'Evaluation Plan'!R50</x:f>
        <x:v>2</x:v>
      </x:c>
      <x:c r="S50" s="5" t="str">
        <x:f>'Evaluation Plan'!S50</x:f>
        <x:v>Build the listed same-category discrimination scene with the bowl empty.</x:v>
      </x:c>
      <x:c r="T50" s="5" t="str">
        <x:f>'Evaluation Plan'!T50</x:f>
        <x:v>Two same-category candidates share the non-queried state axis; only the held-out state word identifies the target. The same-category candidates share the orthogonal C/O state (O).</x:v>
      </x:c>
      <x:c r="U50" s="5" t="n">
        <x:f>'Evaluation Plan'!U50</x:f>
        <x:v>0</x:v>
      </x:c>
    </x:row>
    <x:row r="51" ht="51" customHeight="1">
      <x:c r="A51" s="13" t="s">
        <x:v>181</x:v>
      </x:c>
      <x:c r="B51" s="14" t="n">
        <x:f>'Evaluation Plan'!B51</x:f>
        <x:v>49</x:v>
      </x:c>
      <x:c r="C51" s="13" t="str">
        <x:f>'Evaluation Plan'!C51</x:f>
        <x:v>Move a glass spice container into the bowl.</x:v>
      </x:c>
      <x:c r="D51" s="13" t="str">
        <x:f>'Evaluation Plan'!D51</x:f>
        <x:v>glass spice container B (O, RU); brown cup B (O, UD); yellow-white striped cup B (O, UD)</x:v>
      </x:c>
      <x:c r="E51" s="14" t="n">
        <x:f>'Evaluation Plan'!E51</x:f>
        <x:v>48</x:v>
      </x:c>
      <x:c r="F51" s="14" t="n">
        <x:f>'Evaluation Plan'!F51</x:f>
        <x:v>153</x:v>
      </x:c>
      <x:c r="G51" s="13" t="str">
        <x:f>'Evaluation Plan'!G51</x:f>
        <x:v>Exact direct-category manipulation prompt from training episode 153. The transfer target, state, and pose are preserved; only the competing glass spice container is replaced by brown cup B.</x:v>
      </x:c>
      <x:c r="H51" s="13" t="str">
        <x:f>'Evaluation Plan'!H51</x:f>
        <x:v>glass spice container B</x:v>
      </x:c>
      <x:c r="I51" s="13"/>
      <x:c r="J51" s="15" t="str">
        <x:f>'Evaluation Plan'!J51</x:f>
        <x:v>Matched manipulation control</x:v>
      </x:c>
      <x:c r="K51" s="14" t="str">
        <x:f>'Evaluation Plan'!K51</x:f>
        <x:v>SR-CT08</x:v>
      </x:c>
      <x:c r="L51" s="14" t="str">
        <x:f>'Evaluation Plan'!L51</x:f>
        <x:v>N/A</x:v>
      </x:c>
      <x:c r="M51" s="14" t="str">
        <x:f>'Evaluation Plan'!M51</x:f>
        <x:v>glass spice container</x:v>
      </x:c>
      <x:c r="N51" s="14" t="n">
        <x:f>'Evaluation Plan'!N51</x:f>
        <x:v>3</x:v>
      </x:c>
      <x:c r="O51" s="14" t="n">
        <x:f>'Evaluation Plan'!O51</x:f>
        <x:v>1</x:v>
      </x:c>
      <x:c r="P51" s="14" t="str">
        <x:f>'Evaluation Plan'!P51</x:f>
        <x:v>Empty</x:v>
      </x:c>
      <x:c r="Q51" s="13" t="str">
        <x:f>'Evaluation Plan'!Q51</x:f>
        <x:v>One-object-substitution direct-category control</x:v>
      </x:c>
      <x:c r="R51" s="14" t="n">
        <x:f>'Evaluation Plan'!R51</x:f>
        <x:v>2</x:v>
      </x:c>
      <x:c r="S51" s="13" t="str">
        <x:f>'Evaluation Plan'!S51</x:f>
        <x:v>Reset glass spice container B to its transfer pose. Replace glass spice container A with brown cup B in the same location and use the states listed in this row; preserve all other objects.</x:v>
      </x:c>
      <x:c r="T51" s="13" t="str">
        <x:f>'Evaluation Plan'!T51</x:f>
        <x:v>Pure recognition/manipulation control: the prompt uniquely names the only object from the target category, while the physical target remains identical to the transfer row.</x:v>
      </x:c>
      <x:c r="U51" s="13" t="n">
        <x:f>'Evaluation Plan'!U51</x:f>
        <x:v>0</x:v>
      </x:c>
    </x:row>
    <x:row r="52" ht="51" customHeight="1">
      <x:c r="A52" s="16" t="s">
        <x:v>181</x:v>
      </x:c>
      <x:c r="B52" s="17" t="n">
        <x:f>'Evaluation Plan'!B52</x:f>
        <x:v>50</x:v>
      </x:c>
      <x:c r="C52" s="16" t="str">
        <x:f>'Evaluation Plan'!C52</x:f>
        <x:v>Move the right-side-up glass spice container into the bowl.</x:v>
      </x:c>
      <x:c r="D52" s="16" t="str">
        <x:f>'Evaluation Plan'!D52</x:f>
        <x:v>glass spice container B (O, RU); glass spice container A (O, UD); yellow-white striped cup B (O, UD)</x:v>
      </x:c>
      <x:c r="E52" s="17" t="n">
        <x:f>'Evaluation Plan'!E52</x:f>
        <x:v>48</x:v>
      </x:c>
      <x:c r="F52" s="17" t="str">
        <x:f>'Evaluation Plan'!F52</x:f>
        <x:v>153</x:v>
      </x:c>
      <x:c r="G52" s="16" t="str">
        <x:f>'Evaluation Plan'!G52</x:f>
        <x:v>The canonical transfer scene and masked trajectory reference are unchanged; only the evaluation wording is paraphrased. This remains a language diagnostic and is not pooled into the primary 50.</x:v>
      </x:c>
      <x:c r="H52" s="16" t="str">
        <x:f>'Evaluation Plan'!H52</x:f>
        <x:v>glass spice container B</x:v>
      </x:c>
      <x:c r="I52" s="16"/>
      <x:c r="J52" s="18" t="str">
        <x:f>'Evaluation Plan'!J52</x:f>
        <x:v>Language robustness</x:v>
      </x:c>
      <x:c r="K52" s="17" t="str">
        <x:f>'Evaluation Plan'!K52</x:f>
        <x:v>SR-CT08</x:v>
      </x:c>
      <x:c r="L52" s="17" t="str">
        <x:f>'Evaluation Plan'!L52</x:f>
        <x:v>RU</x:v>
      </x:c>
      <x:c r="M52" s="17" t="str">
        <x:f>'Evaluation Plan'!M52</x:f>
        <x:v>glass spice container</x:v>
      </x:c>
      <x:c r="N52" s="17" t="n">
        <x:f>'Evaluation Plan'!N52</x:f>
        <x:v>3</x:v>
      </x:c>
      <x:c r="O52" s="17" t="n">
        <x:f>'Evaluation Plan'!O52</x:f>
        <x:v>1</x:v>
      </x:c>
      <x:c r="P52" s="17" t="str">
        <x:f>'Evaluation Plan'!P52</x:f>
        <x:v>Empty</x:v>
      </x:c>
      <x:c r="Q52" s="16" t="str">
        <x:f>'Evaluation Plan'!Q52</x:f>
        <x:v>Primary compositional-transfer prompt paraphrase</x:v>
      </x:c>
      <x:c r="R52" s="17" t="n">
        <x:f>'Evaluation Plan'!R52</x:f>
        <x:v>2</x:v>
      </x:c>
      <x:c r="S52" s="16" t="str">
        <x:f>'Evaluation Plan'!S52</x:f>
        <x:v>Reset the moved object exactly; preserve every object and state; change only the prompt wording.</x:v>
      </x:c>
      <x:c r="T52" s="16" t="str">
        <x:f>'Evaluation Plan'!T52</x:f>
        <x:v>Exact-scene paraphrase of one of the 50 canonical compositional-transfer trials. The same-category candidates share the orthogonal C/O state (O). The scene is an exact copy of the referenced canonical row.</x:v>
      </x:c>
      <x:c r="U52" s="16" t="n">
        <x:f>'Evaluation Plan'!U52</x:f>
        <x:v>0</x:v>
      </x:c>
    </x:row>
    <x:row r="53" ht="51" customHeight="1">
      <x:c r="A53" s="13" t="s">
        <x:v>181</x:v>
      </x:c>
      <x:c r="B53" s="14" t="n">
        <x:f>'Evaluation Plan'!B53</x:f>
        <x:v>51</x:v>
      </x:c>
      <x:c r="C53" s="13" t="str">
        <x:f>'Evaluation Plan'!C53</x:f>
        <x:v>Take the glass spice container off the table and place it in the bowl.</x:v>
      </x:c>
      <x:c r="D53" s="13" t="str">
        <x:f>'Evaluation Plan'!D53</x:f>
        <x:v>glass spice container B (O, RU); brown cup B (O, UD); yellow-white striped cup B (O, UD)</x:v>
      </x:c>
      <x:c r="E53" s="14" t="n">
        <x:f>'Evaluation Plan'!E53</x:f>
        <x:v>49</x:v>
      </x:c>
      <x:c r="F53" s="14" t="n">
        <x:f>'Evaluation Plan'!F53</x:f>
        <x:v>153</x:v>
      </x:c>
      <x:c r="G53" s="13" t="str">
        <x:f>'Evaluation Plan'!G53</x:f>
        <x:v>Paraphrase of the direct-category matched control grounded by training episode 153. The modified control scene and physical target are unchanged.</x:v>
      </x:c>
      <x:c r="H53" s="13" t="str">
        <x:f>'Evaluation Plan'!H53</x:f>
        <x:v>glass spice container B</x:v>
      </x:c>
      <x:c r="I53" s="13"/>
      <x:c r="J53" s="18" t="str">
        <x:f>'Evaluation Plan'!J53</x:f>
        <x:v>Language robustness</x:v>
      </x:c>
      <x:c r="K53" s="14" t="str">
        <x:f>'Evaluation Plan'!K53</x:f>
        <x:v>SR-CT08</x:v>
      </x:c>
      <x:c r="L53" s="14" t="str">
        <x:f>'Evaluation Plan'!L53</x:f>
        <x:v>N/A</x:v>
      </x:c>
      <x:c r="M53" s="14" t="str">
        <x:f>'Evaluation Plan'!M53</x:f>
        <x:v>glass spice container</x:v>
      </x:c>
      <x:c r="N53" s="14" t="n">
        <x:f>'Evaluation Plan'!N53</x:f>
        <x:v>3</x:v>
      </x:c>
      <x:c r="O53" s="14" t="n">
        <x:f>'Evaluation Plan'!O53</x:f>
        <x:v>1</x:v>
      </x:c>
      <x:c r="P53" s="14" t="str">
        <x:f>'Evaluation Plan'!P53</x:f>
        <x:v>Empty</x:v>
      </x:c>
      <x:c r="Q53" s="13" t="str">
        <x:f>'Evaluation Plan'!Q53</x:f>
        <x:v>Direct-category matched-control paraphrase</x:v>
      </x:c>
      <x:c r="R53" s="14" t="n">
        <x:f>'Evaluation Plan'!R53</x:f>
        <x:v>2</x:v>
      </x:c>
      <x:c r="S53" s="13" t="str">
        <x:f>'Evaluation Plan'!S53</x:f>
        <x:v>Reset the target to its marked pose; preserve the exact modified control scene and change only the direct instruction wording.</x:v>
      </x:c>
      <x:c r="T53" s="13" t="str">
        <x:f>'Evaluation Plan'!T53</x:f>
        <x:v>Language diagnostic for the pure manipulation control; no state word or state-based selection is required. The scene is an exact copy of the referenced canonical row.</x:v>
      </x:c>
      <x:c r="U53" s="13" t="n">
        <x:f>'Evaluation Plan'!U53</x:f>
        <x:v>0</x:v>
      </x:c>
    </x:row>
    <x:row r="54" ht="51" customHeight="1">
      <x:c r="A54" s="5" t="s">
        <x:v>181</x:v>
      </x:c>
      <x:c r="B54" s="4" t="n">
        <x:f>'Evaluation Plan'!B54</x:f>
        <x:v>52</x:v>
      </x:c>
      <x:c r="C54" s="5" t="str">
        <x:f>'Evaluation Plan'!C54</x:f>
        <x:v>Place the upside-down white cup in the bowl.</x:v>
      </x:c>
      <x:c r="D54" s="5" t="str">
        <x:f>'Evaluation Plan'!D54</x:f>
        <x:v>white cup A (C, UD); white cup B (C, RU); glass spice container A (C, RU); yellow-white striped cup B (O, RU)</x:v>
      </x:c>
      <x:c r="E54" s="4" t="n">
        <x:f>'Evaluation Plan'!E54</x:f>
        <x:v>0</x:v>
      </x:c>
      <x:c r="F54" s="4" t="str">
        <x:f>'Evaluation Plan'!F54</x:f>
        <x:v>39</x:v>
      </x:c>
      <x:c r="G54" s="5" t="str">
        <x:f>'Evaluation Plan'!G54</x:f>
        <x:v>Physical-state and manipulation-trajectory reference under a direct category prompt; the evaluated state word × object-category cell is intentionally absent from training.</x:v>
      </x:c>
      <x:c r="H54" s="5" t="str">
        <x:f>'Evaluation Plan'!H54</x:f>
        <x:v>white cup A</x:v>
      </x:c>
      <x:c r="I54" s="5"/>
      <x:c r="J54" s="12" t="str">
        <x:f>'Evaluation Plan'!J54</x:f>
        <x:v>Concept/compositional transfer</x:v>
      </x:c>
      <x:c r="K54" s="4" t="str">
        <x:f>'Evaluation Plan'!K54</x:f>
        <x:v>SR-CT09</x:v>
      </x:c>
      <x:c r="L54" s="4" t="str">
        <x:f>'Evaluation Plan'!L54</x:f>
        <x:v>UD</x:v>
      </x:c>
      <x:c r="M54" s="4" t="str">
        <x:f>'Evaluation Plan'!M54</x:f>
        <x:v>white cup</x:v>
      </x:c>
      <x:c r="N54" s="4" t="n">
        <x:f>'Evaluation Plan'!N54</x:f>
        <x:v>4</x:v>
      </x:c>
      <x:c r="O54" s="4" t="n">
        <x:f>'Evaluation Plan'!O54</x:f>
        <x:v>1</x:v>
      </x:c>
      <x:c r="P54" s="4" t="str">
        <x:f>'Evaluation Plan'!P54</x:f>
        <x:v>Empty</x:v>
      </x:c>
      <x:c r="Q54" s="5" t="str">
        <x:f>'Evaluation Plan'!Q54</x:f>
        <x:v>Primary held-out state-object composition</x:v>
      </x:c>
      <x:c r="R54" s="4" t="n">
        <x:f>'Evaluation Plan'!R54</x:f>
        <x:v>2</x:v>
      </x:c>
      <x:c r="S54" s="5" t="str">
        <x:f>'Evaluation Plan'!S54</x:f>
        <x:v>Build the listed same-category discrimination scene with the bowl empty.</x:v>
      </x:c>
      <x:c r="T54" s="5" t="str">
        <x:f>'Evaluation Plan'!T54</x:f>
        <x:v>Two same-category candidates share the non-queried state axis; only the held-out state word identifies the target. The same-category candidates share the orthogonal C/O state (C).</x:v>
      </x:c>
      <x:c r="U54" s="5" t="n">
        <x:f>'Evaluation Plan'!U54</x:f>
        <x:v>0</x:v>
      </x:c>
    </x:row>
    <x:row r="55" ht="51" customHeight="1">
      <x:c r="A55" s="13" t="s">
        <x:v>181</x:v>
      </x:c>
      <x:c r="B55" s="14" t="n">
        <x:f>'Evaluation Plan'!B55</x:f>
        <x:v>53</x:v>
      </x:c>
      <x:c r="C55" s="13" t="str">
        <x:f>'Evaluation Plan'!C55</x:f>
        <x:v>Move a white cup into the bowl.</x:v>
      </x:c>
      <x:c r="D55" s="13" t="str">
        <x:f>'Evaluation Plan'!D55</x:f>
        <x:v>white cup A (C, UD); brown cup A (C, RU); glass spice container A (C, RU); yellow-white striped cup B (O, RU)</x:v>
      </x:c>
      <x:c r="E55" s="14" t="n">
        <x:f>'Evaluation Plan'!E55</x:f>
        <x:v>52</x:v>
      </x:c>
      <x:c r="F55" s="14" t="n">
        <x:f>'Evaluation Plan'!F55</x:f>
        <x:v>39</x:v>
      </x:c>
      <x:c r="G55" s="13" t="str">
        <x:f>'Evaluation Plan'!G55</x:f>
        <x:v>Exact direct-category manipulation prompt from training episode 39. The transfer target, state, and pose are preserved; only the competing white cup is replaced by brown cup A.</x:v>
      </x:c>
      <x:c r="H55" s="13" t="str">
        <x:f>'Evaluation Plan'!H55</x:f>
        <x:v>white cup A</x:v>
      </x:c>
      <x:c r="I55" s="13"/>
      <x:c r="J55" s="15" t="str">
        <x:f>'Evaluation Plan'!J55</x:f>
        <x:v>Matched manipulation control</x:v>
      </x:c>
      <x:c r="K55" s="14" t="str">
        <x:f>'Evaluation Plan'!K55</x:f>
        <x:v>SR-CT09</x:v>
      </x:c>
      <x:c r="L55" s="14" t="str">
        <x:f>'Evaluation Plan'!L55</x:f>
        <x:v>N/A</x:v>
      </x:c>
      <x:c r="M55" s="14" t="str">
        <x:f>'Evaluation Plan'!M55</x:f>
        <x:v>white cup</x:v>
      </x:c>
      <x:c r="N55" s="14" t="n">
        <x:f>'Evaluation Plan'!N55</x:f>
        <x:v>4</x:v>
      </x:c>
      <x:c r="O55" s="14" t="n">
        <x:f>'Evaluation Plan'!O55</x:f>
        <x:v>1</x:v>
      </x:c>
      <x:c r="P55" s="14" t="str">
        <x:f>'Evaluation Plan'!P55</x:f>
        <x:v>Empty</x:v>
      </x:c>
      <x:c r="Q55" s="13" t="str">
        <x:f>'Evaluation Plan'!Q55</x:f>
        <x:v>One-object-substitution direct-category control</x:v>
      </x:c>
      <x:c r="R55" s="14" t="n">
        <x:f>'Evaluation Plan'!R55</x:f>
        <x:v>2</x:v>
      </x:c>
      <x:c r="S55" s="13" t="str">
        <x:f>'Evaluation Plan'!S55</x:f>
        <x:v>Reset white cup A to its transfer pose. Replace white cup B with brown cup A in the same location and use the states listed in this row; preserve all other objects.</x:v>
      </x:c>
      <x:c r="T55" s="13" t="str">
        <x:f>'Evaluation Plan'!T55</x:f>
        <x:v>Pure recognition/manipulation control: the prompt uniquely names the only object from the target category, while the physical target remains identical to the transfer row.</x:v>
      </x:c>
      <x:c r="U55" s="13" t="n">
        <x:f>'Evaluation Plan'!U55</x:f>
        <x:v>0</x:v>
      </x:c>
    </x:row>
    <x:row r="56" ht="51" customHeight="1">
      <x:c r="A56" s="16" t="s">
        <x:v>181</x:v>
      </x:c>
      <x:c r="B56" s="17" t="n">
        <x:f>'Evaluation Plan'!B56</x:f>
        <x:v>54</x:v>
      </x:c>
      <x:c r="C56" s="16" t="str">
        <x:f>'Evaluation Plan'!C56</x:f>
        <x:v>Move the inverted white cup into the bowl.</x:v>
      </x:c>
      <x:c r="D56" s="16" t="str">
        <x:f>'Evaluation Plan'!D56</x:f>
        <x:v>white cup A (C, UD); white cup B (C, RU); glass spice container A (C, RU); yellow-white striped cup B (O, RU)</x:v>
      </x:c>
      <x:c r="E56" s="17" t="n">
        <x:f>'Evaluation Plan'!E56</x:f>
        <x:v>52</x:v>
      </x:c>
      <x:c r="F56" s="17" t="str">
        <x:f>'Evaluation Plan'!F56</x:f>
        <x:v>39</x:v>
      </x:c>
      <x:c r="G56" s="16" t="str">
        <x:f>'Evaluation Plan'!G56</x:f>
        <x:v>The canonical transfer scene and masked trajectory reference are unchanged; only the evaluation wording is paraphrased. This remains a language diagnostic and is not pooled into the primary 50.</x:v>
      </x:c>
      <x:c r="H56" s="16" t="str">
        <x:f>'Evaluation Plan'!H56</x:f>
        <x:v>white cup A</x:v>
      </x:c>
      <x:c r="I56" s="16"/>
      <x:c r="J56" s="18" t="str">
        <x:f>'Evaluation Plan'!J56</x:f>
        <x:v>Language robustness</x:v>
      </x:c>
      <x:c r="K56" s="17" t="str">
        <x:f>'Evaluation Plan'!K56</x:f>
        <x:v>SR-CT09</x:v>
      </x:c>
      <x:c r="L56" s="17" t="str">
        <x:f>'Evaluation Plan'!L56</x:f>
        <x:v>UD</x:v>
      </x:c>
      <x:c r="M56" s="17" t="str">
        <x:f>'Evaluation Plan'!M56</x:f>
        <x:v>white cup</x:v>
      </x:c>
      <x:c r="N56" s="17" t="n">
        <x:f>'Evaluation Plan'!N56</x:f>
        <x:v>4</x:v>
      </x:c>
      <x:c r="O56" s="17" t="n">
        <x:f>'Evaluation Plan'!O56</x:f>
        <x:v>1</x:v>
      </x:c>
      <x:c r="P56" s="17" t="str">
        <x:f>'Evaluation Plan'!P56</x:f>
        <x:v>Empty</x:v>
      </x:c>
      <x:c r="Q56" s="16" t="str">
        <x:f>'Evaluation Plan'!Q56</x:f>
        <x:v>Primary compositional-transfer prompt paraphrase</x:v>
      </x:c>
      <x:c r="R56" s="17" t="n">
        <x:f>'Evaluation Plan'!R56</x:f>
        <x:v>2</x:v>
      </x:c>
      <x:c r="S56" s="16" t="str">
        <x:f>'Evaluation Plan'!S56</x:f>
        <x:v>Reset the moved object exactly; preserve every object and state; change only the prompt wording.</x:v>
      </x:c>
      <x:c r="T56" s="16" t="str">
        <x:f>'Evaluation Plan'!T56</x:f>
        <x:v>Exact-scene paraphrase of one of the 50 canonical compositional-transfer trials. The same-category candidates share the orthogonal C/O state (C). The scene is an exact copy of the referenced canonical row.</x:v>
      </x:c>
      <x:c r="U56" s="16" t="n">
        <x:f>'Evaluation Plan'!U56</x:f>
        <x:v>0</x:v>
      </x:c>
    </x:row>
    <x:row r="57" ht="51" customHeight="1">
      <x:c r="A57" s="13" t="s">
        <x:v>181</x:v>
      </x:c>
      <x:c r="B57" s="14" t="n">
        <x:f>'Evaluation Plan'!B57</x:f>
        <x:v>55</x:v>
      </x:c>
      <x:c r="C57" s="13" t="str">
        <x:f>'Evaluation Plan'!C57</x:f>
        <x:v>Move the white cup from the workspace into the bowl.</x:v>
      </x:c>
      <x:c r="D57" s="13" t="str">
        <x:f>'Evaluation Plan'!D57</x:f>
        <x:v>white cup A (C, UD); brown cup A (C, RU); glass spice container A (C, RU); yellow-white striped cup B (O, RU)</x:v>
      </x:c>
      <x:c r="E57" s="14" t="n">
        <x:f>'Evaluation Plan'!E57</x:f>
        <x:v>53</x:v>
      </x:c>
      <x:c r="F57" s="14" t="n">
        <x:f>'Evaluation Plan'!F57</x:f>
        <x:v>39</x:v>
      </x:c>
      <x:c r="G57" s="13" t="str">
        <x:f>'Evaluation Plan'!G57</x:f>
        <x:v>Paraphrase of the direct-category matched control grounded by training episode 39. The modified control scene and physical target are unchanged.</x:v>
      </x:c>
      <x:c r="H57" s="13" t="str">
        <x:f>'Evaluation Plan'!H57</x:f>
        <x:v>white cup A</x:v>
      </x:c>
      <x:c r="I57" s="13"/>
      <x:c r="J57" s="18" t="str">
        <x:f>'Evaluation Plan'!J57</x:f>
        <x:v>Language robustness</x:v>
      </x:c>
      <x:c r="K57" s="14" t="str">
        <x:f>'Evaluation Plan'!K57</x:f>
        <x:v>SR-CT09</x:v>
      </x:c>
      <x:c r="L57" s="14" t="str">
        <x:f>'Evaluation Plan'!L57</x:f>
        <x:v>N/A</x:v>
      </x:c>
      <x:c r="M57" s="14" t="str">
        <x:f>'Evaluation Plan'!M57</x:f>
        <x:v>white cup</x:v>
      </x:c>
      <x:c r="N57" s="14" t="n">
        <x:f>'Evaluation Plan'!N57</x:f>
        <x:v>4</x:v>
      </x:c>
      <x:c r="O57" s="14" t="n">
        <x:f>'Evaluation Plan'!O57</x:f>
        <x:v>1</x:v>
      </x:c>
      <x:c r="P57" s="14" t="str">
        <x:f>'Evaluation Plan'!P57</x:f>
        <x:v>Empty</x:v>
      </x:c>
      <x:c r="Q57" s="13" t="str">
        <x:f>'Evaluation Plan'!Q57</x:f>
        <x:v>Direct-category matched-control paraphrase</x:v>
      </x:c>
      <x:c r="R57" s="14" t="n">
        <x:f>'Evaluation Plan'!R57</x:f>
        <x:v>2</x:v>
      </x:c>
      <x:c r="S57" s="13" t="str">
        <x:f>'Evaluation Plan'!S57</x:f>
        <x:v>Reset the target to its marked pose; preserve the exact modified control scene and change only the direct instruction wording.</x:v>
      </x:c>
      <x:c r="T57" s="13" t="str">
        <x:f>'Evaluation Plan'!T57</x:f>
        <x:v>Language diagnostic for the pure manipulation control; no state word or state-based selection is required. The scene is an exact copy of the referenced canonical row.</x:v>
      </x:c>
      <x:c r="U57" s="13" t="n">
        <x:f>'Evaluation Plan'!U57</x:f>
        <x:v>0</x:v>
      </x:c>
    </x:row>
    <x:row r="58" ht="51" customHeight="1">
      <x:c r="A58" s="5" t="s">
        <x:v>181</x:v>
      </x:c>
      <x:c r="B58" s="4" t="n">
        <x:f>'Evaluation Plan'!B58</x:f>
        <x:v>56</x:v>
      </x:c>
      <x:c r="C58" s="5" t="str">
        <x:f>'Evaluation Plan'!C58</x:f>
        <x:v>Place the open yellow-white striped cup in the bowl.</x:v>
      </x:c>
      <x:c r="D58" s="5" t="str">
        <x:f>'Evaluation Plan'!D58</x:f>
        <x:v>yellow-white striped cup B (O, RU); yellow-white striped cup A (C, RU)</x:v>
      </x:c>
      <x:c r="E58" s="4" t="n">
        <x:f>'Evaluation Plan'!E58</x:f>
        <x:v>0</x:v>
      </x:c>
      <x:c r="F58" s="4" t="str">
        <x:f>'Evaluation Plan'!F58</x:f>
        <x:v>71</x:v>
      </x:c>
      <x:c r="G58" s="5" t="str">
        <x:f>'Evaluation Plan'!G58</x:f>
        <x:v>Physical-state and manipulation-trajectory reference under a direct category prompt; the evaluated state word × object-category cell is intentionally absent from training. All objects are upright, matching the context of every explicit open/closed training demonstration.</x:v>
      </x:c>
      <x:c r="H58" s="5" t="str">
        <x:f>'Evaluation Plan'!H58</x:f>
        <x:v>yellow-white striped cup B</x:v>
      </x:c>
      <x:c r="I58" s="5"/>
      <x:c r="J58" s="12" t="str">
        <x:f>'Evaluation Plan'!J58</x:f>
        <x:v>Concept/compositional transfer</x:v>
      </x:c>
      <x:c r="K58" s="4" t="str">
        <x:f>'Evaluation Plan'!K58</x:f>
        <x:v>SR-CT10</x:v>
      </x:c>
      <x:c r="L58" s="4" t="str">
        <x:f>'Evaluation Plan'!L58</x:f>
        <x:v>O</x:v>
      </x:c>
      <x:c r="M58" s="4" t="str">
        <x:f>'Evaluation Plan'!M58</x:f>
        <x:v>yellow-white striped cup</x:v>
      </x:c>
      <x:c r="N58" s="4" t="n">
        <x:f>'Evaluation Plan'!N58</x:f>
        <x:v>2</x:v>
      </x:c>
      <x:c r="O58" s="4" t="n">
        <x:f>'Evaluation Plan'!O58</x:f>
        <x:v>1</x:v>
      </x:c>
      <x:c r="P58" s="4" t="str">
        <x:f>'Evaluation Plan'!P58</x:f>
        <x:v>Empty</x:v>
      </x:c>
      <x:c r="Q58" s="5" t="str">
        <x:f>'Evaluation Plan'!Q58</x:f>
        <x:v>Primary held-out state-object composition</x:v>
      </x:c>
      <x:c r="R58" s="4" t="n">
        <x:f>'Evaluation Plan'!R58</x:f>
        <x:v>2</x:v>
      </x:c>
      <x:c r="S58" s="5" t="str">
        <x:f>'Evaluation Plan'!S58</x:f>
        <x:v>Build the listed same-category discrimination scene with the bowl empty.</x:v>
      </x:c>
      <x:c r="T58" s="5" t="str">
        <x:f>'Evaluation Plan'!T58</x:f>
        <x:v>Two same-category candidates share the non-queried state axis; only the held-out state word identifies the target. The orthogonal orientation axis is fixed: every object is RU.</x:v>
      </x:c>
      <x:c r="U58" s="5" t="n">
        <x:f>'Evaluation Plan'!U58</x:f>
        <x:v>0</x:v>
      </x:c>
    </x:row>
    <x:row r="59" ht="51" customHeight="1">
      <x:c r="A59" s="13" t="s">
        <x:v>181</x:v>
      </x:c>
      <x:c r="B59" s="14" t="n">
        <x:f>'Evaluation Plan'!B59</x:f>
        <x:v>57</x:v>
      </x:c>
      <x:c r="C59" s="13" t="str">
        <x:f>'Evaluation Plan'!C59</x:f>
        <x:v>Put a yellow-white striped cup in the bowl.</x:v>
      </x:c>
      <x:c r="D59" s="13" t="str">
        <x:f>'Evaluation Plan'!D59</x:f>
        <x:v>yellow-white striped cup B (O, RU); white cup B (C, RU)</x:v>
      </x:c>
      <x:c r="E59" s="14" t="n">
        <x:f>'Evaluation Plan'!E59</x:f>
        <x:v>56</x:v>
      </x:c>
      <x:c r="F59" s="14" t="n">
        <x:f>'Evaluation Plan'!F59</x:f>
        <x:v>71</x:v>
      </x:c>
      <x:c r="G59" s="13" t="str">
        <x:f>'Evaluation Plan'!G59</x:f>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H59" s="13" t="str">
        <x:f>'Evaluation Plan'!H59</x:f>
        <x:v>yellow-white striped cup B</x:v>
      </x:c>
      <x:c r="I59" s="13"/>
      <x:c r="J59" s="15" t="str">
        <x:f>'Evaluation Plan'!J59</x:f>
        <x:v>Matched manipulation control</x:v>
      </x:c>
      <x:c r="K59" s="14" t="str">
        <x:f>'Evaluation Plan'!K59</x:f>
        <x:v>SR-CT10</x:v>
      </x:c>
      <x:c r="L59" s="14" t="str">
        <x:f>'Evaluation Plan'!L59</x:f>
        <x:v>N/A</x:v>
      </x:c>
      <x:c r="M59" s="14" t="str">
        <x:f>'Evaluation Plan'!M59</x:f>
        <x:v>yellow-white striped cup</x:v>
      </x:c>
      <x:c r="N59" s="14" t="n">
        <x:f>'Evaluation Plan'!N59</x:f>
        <x:v>2</x:v>
      </x:c>
      <x:c r="O59" s="14" t="n">
        <x:f>'Evaluation Plan'!O59</x:f>
        <x:v>1</x:v>
      </x:c>
      <x:c r="P59" s="14" t="str">
        <x:f>'Evaluation Plan'!P59</x:f>
        <x:v>Empty</x:v>
      </x:c>
      <x:c r="Q59" s="13" t="str">
        <x:f>'Evaluation Plan'!Q59</x:f>
        <x:v>One-object-substitution direct-category control</x:v>
      </x:c>
      <x:c r="R59" s="14" t="n">
        <x:f>'Evaluation Plan'!R59</x:f>
        <x:v>2</x:v>
      </x:c>
      <x:c r="S59" s="13" t="str">
        <x:f>'Evaluation Plan'!S59</x:f>
        <x:v>Reset yellow-white striped cup B to its transfer pose. Replace yellow-white striped cup A with white cup B in the same location and use the states listed in this row; preserve all other objects.</x:v>
      </x:c>
      <x:c r="T59" s="13" t="str">
        <x:f>'Evaluation Plan'!T59</x:f>
        <x:v>Pure recognition/manipulation control: the prompt uniquely names the only object from the target category, while the physical target remains identical to the transfer row. Every object is RU.</x:v>
      </x:c>
      <x:c r="U59" s="13" t="n">
        <x:f>'Evaluation Plan'!U59</x:f>
        <x:v>0</x:v>
      </x:c>
    </x:row>
    <x:row r="60" ht="51" customHeight="1">
      <x:c r="A60" s="16" t="s">
        <x:v>181</x:v>
      </x:c>
      <x:c r="B60" s="17" t="n">
        <x:f>'Evaluation Plan'!B60</x:f>
        <x:v>58</x:v>
      </x:c>
      <x:c r="C60" s="16" t="str">
        <x:f>'Evaluation Plan'!C60</x:f>
        <x:v>Move the yellow-white striped cup whose opening is uncovered into the bowl.</x:v>
      </x:c>
      <x:c r="D60" s="16" t="str">
        <x:f>'Evaluation Plan'!D60</x:f>
        <x:v>yellow-white striped cup B (O, RU); yellow-white striped cup A (C, RU)</x:v>
      </x:c>
      <x:c r="E60" s="17" t="n">
        <x:f>'Evaluation Plan'!E60</x:f>
        <x:v>56</x:v>
      </x:c>
      <x:c r="F60" s="17" t="str">
        <x:f>'Evaluation Plan'!F60</x:f>
        <x:v>71</x:v>
      </x:c>
      <x:c r="G60" s="16" t="str">
        <x:f>'Evaluation Plan'!G60</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60" s="16" t="str">
        <x:f>'Evaluation Plan'!H60</x:f>
        <x:v>yellow-white striped cup B</x:v>
      </x:c>
      <x:c r="I60" s="16"/>
      <x:c r="J60" s="18" t="str">
        <x:f>'Evaluation Plan'!J60</x:f>
        <x:v>Language robustness</x:v>
      </x:c>
      <x:c r="K60" s="17" t="str">
        <x:f>'Evaluation Plan'!K60</x:f>
        <x:v>SR-CT10</x:v>
      </x:c>
      <x:c r="L60" s="17" t="str">
        <x:f>'Evaluation Plan'!L60</x:f>
        <x:v>O</x:v>
      </x:c>
      <x:c r="M60" s="17" t="str">
        <x:f>'Evaluation Plan'!M60</x:f>
        <x:v>yellow-white striped cup</x:v>
      </x:c>
      <x:c r="N60" s="17" t="n">
        <x:f>'Evaluation Plan'!N60</x:f>
        <x:v>2</x:v>
      </x:c>
      <x:c r="O60" s="17" t="n">
        <x:f>'Evaluation Plan'!O60</x:f>
        <x:v>1</x:v>
      </x:c>
      <x:c r="P60" s="17" t="str">
        <x:f>'Evaluation Plan'!P60</x:f>
        <x:v>Empty</x:v>
      </x:c>
      <x:c r="Q60" s="16" t="str">
        <x:f>'Evaluation Plan'!Q60</x:f>
        <x:v>Primary compositional-transfer prompt paraphrase</x:v>
      </x:c>
      <x:c r="R60" s="17" t="n">
        <x:f>'Evaluation Plan'!R60</x:f>
        <x:v>2</x:v>
      </x:c>
      <x:c r="S60" s="16" t="str">
        <x:f>'Evaluation Plan'!S60</x:f>
        <x:v>Reset the moved object exactly; preserve every object and state; change only the prompt wording.</x:v>
      </x:c>
      <x:c r="T60" s="16" t="str">
        <x:f>'Evaluation Plan'!T60</x:f>
        <x:v>Exact-scene paraphrase of one of the 50 canonical compositional-transfer trials. The orthogonal orientation axis is fixed: every object is RU. The scene is an exact copy of the referenced canonical row.</x:v>
      </x:c>
      <x:c r="U60" s="16" t="n">
        <x:f>'Evaluation Plan'!U60</x:f>
        <x:v>0</x:v>
      </x:c>
    </x:row>
    <x:row r="61" ht="51" customHeight="1">
      <x:c r="A61" s="13" t="s">
        <x:v>181</x:v>
      </x:c>
      <x:c r="B61" s="14" t="n">
        <x:f>'Evaluation Plan'!B61</x:f>
        <x:v>59</x:v>
      </x:c>
      <x:c r="C61" s="13" t="str">
        <x:f>'Evaluation Plan'!C61</x:f>
        <x:v>Set the yellow-white striped cup inside the bowl.</x:v>
      </x:c>
      <x:c r="D61" s="13" t="str">
        <x:f>'Evaluation Plan'!D61</x:f>
        <x:v>yellow-white striped cup B (O, RU); white cup B (C, RU)</x:v>
      </x:c>
      <x:c r="E61" s="14" t="n">
        <x:f>'Evaluation Plan'!E61</x:f>
        <x:v>57</x:v>
      </x:c>
      <x:c r="F61" s="14" t="n">
        <x:f>'Evaluation Plan'!F61</x:f>
        <x:v>71</x:v>
      </x:c>
      <x:c r="G61" s="13" t="str">
        <x:f>'Evaluation Plan'!G61</x:f>
        <x:v>Paraphrase of the direct-category matched control grounded by training episode 71. The modified control scene and physical target are unchanged.</x:v>
      </x:c>
      <x:c r="H61" s="13" t="str">
        <x:f>'Evaluation Plan'!H61</x:f>
        <x:v>yellow-white striped cup B</x:v>
      </x:c>
      <x:c r="I61" s="13"/>
      <x:c r="J61" s="18" t="str">
        <x:f>'Evaluation Plan'!J61</x:f>
        <x:v>Language robustness</x:v>
      </x:c>
      <x:c r="K61" s="14" t="str">
        <x:f>'Evaluation Plan'!K61</x:f>
        <x:v>SR-CT10</x:v>
      </x:c>
      <x:c r="L61" s="14" t="str">
        <x:f>'Evaluation Plan'!L61</x:f>
        <x:v>N/A</x:v>
      </x:c>
      <x:c r="M61" s="14" t="str">
        <x:f>'Evaluation Plan'!M61</x:f>
        <x:v>yellow-white striped cup</x:v>
      </x:c>
      <x:c r="N61" s="14" t="n">
        <x:f>'Evaluation Plan'!N61</x:f>
        <x:v>2</x:v>
      </x:c>
      <x:c r="O61" s="14" t="n">
        <x:f>'Evaluation Plan'!O61</x:f>
        <x:v>1</x:v>
      </x:c>
      <x:c r="P61" s="14" t="str">
        <x:f>'Evaluation Plan'!P61</x:f>
        <x:v>Empty</x:v>
      </x:c>
      <x:c r="Q61" s="13" t="str">
        <x:f>'Evaluation Plan'!Q61</x:f>
        <x:v>Direct-category matched-control paraphrase</x:v>
      </x:c>
      <x:c r="R61" s="14" t="n">
        <x:f>'Evaluation Plan'!R61</x:f>
        <x:v>2</x:v>
      </x:c>
      <x:c r="S61" s="13" t="str">
        <x:f>'Evaluation Plan'!S61</x:f>
        <x:v>Reset the target to its marked pose; preserve the exact modified control scene and change only the direct instruction wording.</x:v>
      </x:c>
      <x:c r="T61" s="13" t="str">
        <x:f>'Evaluation Plan'!T61</x:f>
        <x:v>Language diagnostic for the pure manipulation control; no state word or state-based selection is required. The scene is an exact copy of the referenced canonical row.</x:v>
      </x:c>
      <x:c r="U61" s="13" t="n">
        <x:f>'Evaluation Plan'!U61</x:f>
        <x:v>0</x:v>
      </x:c>
    </x:row>
    <x:row r="62" ht="51" customHeight="1">
      <x:c r="A62" s="5" t="s">
        <x:v>181</x:v>
      </x:c>
      <x:c r="B62" s="4" t="n">
        <x:f>'Evaluation Plan'!B62</x:f>
        <x:v>60</x:v>
      </x:c>
      <x:c r="C62" s="5" t="str">
        <x:f>'Evaluation Plan'!C62</x:f>
        <x:v>Place the closed brown cup in the bowl.</x:v>
      </x:c>
      <x:c r="D62" s="5" t="str">
        <x:f>'Evaluation Plan'!D62</x:f>
        <x:v>brown cup A (C, RU); brown cup B (O, RU); yellow-white striped cup A (C, RU)</x:v>
      </x:c>
      <x:c r="E62" s="4" t="n">
        <x:f>'Evaluation Plan'!E62</x:f>
        <x:v>0</x:v>
      </x:c>
      <x:c r="F62" s="4" t="str">
        <x:f>'Evaluation Plan'!F62</x:f>
        <x:v>102</x:v>
      </x:c>
      <x:c r="G62" s="5" t="str">
        <x:f>'Evaluation Plan'!G62</x:f>
        <x:v>Physical-state and manipulation-trajectory reference under a direct category prompt; the evaluated state word × object-category cell is intentionally absent from training. All objects are upright, matching the context of every explicit open/closed training demonstration.</x:v>
      </x:c>
      <x:c r="H62" s="5" t="str">
        <x:f>'Evaluation Plan'!H62</x:f>
        <x:v>brown cup A</x:v>
      </x:c>
      <x:c r="I62" s="5"/>
      <x:c r="J62" s="12" t="str">
        <x:f>'Evaluation Plan'!J62</x:f>
        <x:v>Concept/compositional transfer</x:v>
      </x:c>
      <x:c r="K62" s="4" t="str">
        <x:f>'Evaluation Plan'!K62</x:f>
        <x:v>SR-CT11</x:v>
      </x:c>
      <x:c r="L62" s="4" t="str">
        <x:f>'Evaluation Plan'!L62</x:f>
        <x:v>C</x:v>
      </x:c>
      <x:c r="M62" s="4" t="str">
        <x:f>'Evaluation Plan'!M62</x:f>
        <x:v>brown cup</x:v>
      </x:c>
      <x:c r="N62" s="4" t="n">
        <x:f>'Evaluation Plan'!N62</x:f>
        <x:v>3</x:v>
      </x:c>
      <x:c r="O62" s="4" t="n">
        <x:f>'Evaluation Plan'!O62</x:f>
        <x:v>1</x:v>
      </x:c>
      <x:c r="P62" s="4" t="str">
        <x:f>'Evaluation Plan'!P62</x:f>
        <x:v>Empty</x:v>
      </x:c>
      <x:c r="Q62" s="5" t="str">
        <x:f>'Evaluation Plan'!Q62</x:f>
        <x:v>Primary held-out state-object composition</x:v>
      </x:c>
      <x:c r="R62" s="4" t="n">
        <x:f>'Evaluation Plan'!R62</x:f>
        <x:v>3</x:v>
      </x:c>
      <x:c r="S62" s="5" t="str">
        <x:f>'Evaluation Plan'!S62</x:f>
        <x:v>Build the listed same-category discrimination scene with the bowl empty.</x:v>
      </x:c>
      <x:c r="T62" s="5" t="str">
        <x:f>'Evaluation Plan'!T62</x:f>
        <x:v>Two same-category candidates share the non-queried state axis; only the held-out state word identifies the target. The orthogonal orientation axis is fixed: every object is RU.</x:v>
      </x:c>
      <x:c r="U62" s="5" t="n">
        <x:f>'Evaluation Plan'!U62</x:f>
        <x:v>0</x:v>
      </x:c>
    </x:row>
    <x:row r="63" ht="51" customHeight="1">
      <x:c r="A63" s="13" t="s">
        <x:v>181</x:v>
      </x:c>
      <x:c r="B63" s="14" t="n">
        <x:f>'Evaluation Plan'!B63</x:f>
        <x:v>61</x:v>
      </x:c>
      <x:c r="C63" s="13" t="str">
        <x:f>'Evaluation Plan'!C63</x:f>
        <x:v>Move a brown cup into the bowl.</x:v>
      </x:c>
      <x:c r="D63" s="13" t="str">
        <x:f>'Evaluation Plan'!D63</x:f>
        <x:v>brown cup A (C, RU); white cup A (O, RU); yellow-white striped cup A (C, RU)</x:v>
      </x:c>
      <x:c r="E63" s="14" t="n">
        <x:f>'Evaluation Plan'!E63</x:f>
        <x:v>60</x:v>
      </x:c>
      <x:c r="F63" s="14" t="n">
        <x:f>'Evaluation Plan'!F63</x:f>
        <x:v>102</x:v>
      </x:c>
      <x:c r="G63" s="13" t="str">
        <x:f>'Evaluation Plan'!G63</x:f>
        <x:v>Exact direct-category manipulation prompt from training episode 102. The transfer target, state, and pose are preserved; only the competing brown cup is replaced by white cup A. The full control scene is upright because its paired transfer instruction queries open/closed.</x:v>
      </x:c>
      <x:c r="H63" s="13" t="str">
        <x:f>'Evaluation Plan'!H63</x:f>
        <x:v>brown cup A</x:v>
      </x:c>
      <x:c r="I63" s="13"/>
      <x:c r="J63" s="15" t="str">
        <x:f>'Evaluation Plan'!J63</x:f>
        <x:v>Matched manipulation control</x:v>
      </x:c>
      <x:c r="K63" s="14" t="str">
        <x:f>'Evaluation Plan'!K63</x:f>
        <x:v>SR-CT11</x:v>
      </x:c>
      <x:c r="L63" s="14" t="str">
        <x:f>'Evaluation Plan'!L63</x:f>
        <x:v>N/A</x:v>
      </x:c>
      <x:c r="M63" s="14" t="str">
        <x:f>'Evaluation Plan'!M63</x:f>
        <x:v>brown cup</x:v>
      </x:c>
      <x:c r="N63" s="14" t="n">
        <x:f>'Evaluation Plan'!N63</x:f>
        <x:v>3</x:v>
      </x:c>
      <x:c r="O63" s="14" t="n">
        <x:f>'Evaluation Plan'!O63</x:f>
        <x:v>1</x:v>
      </x:c>
      <x:c r="P63" s="14" t="str">
        <x:f>'Evaluation Plan'!P63</x:f>
        <x:v>Empty</x:v>
      </x:c>
      <x:c r="Q63" s="13" t="str">
        <x:f>'Evaluation Plan'!Q63</x:f>
        <x:v>One-object-substitution direct-category control</x:v>
      </x:c>
      <x:c r="R63" s="14" t="n">
        <x:f>'Evaluation Plan'!R63</x:f>
        <x:v>3</x:v>
      </x:c>
      <x:c r="S63" s="13" t="str">
        <x:f>'Evaluation Plan'!S63</x:f>
        <x:v>Reset brown cup A to its transfer pose. Replace brown cup B with white cup A in the same location and use the states listed in this row; preserve all other objects.</x:v>
      </x:c>
      <x:c r="T63" s="13" t="str">
        <x:f>'Evaluation Plan'!T63</x:f>
        <x:v>Pure recognition/manipulation control: the prompt uniquely names the only object from the target category, while the physical target remains identical to the transfer row. Every object is RU.</x:v>
      </x:c>
      <x:c r="U63" s="13" t="n">
        <x:f>'Evaluation Plan'!U63</x:f>
        <x:v>0</x:v>
      </x:c>
    </x:row>
    <x:row r="64" ht="51" customHeight="1">
      <x:c r="A64" s="5" t="s">
        <x:v>181</x:v>
      </x:c>
      <x:c r="B64" s="4" t="n">
        <x:f>'Evaluation Plan'!B64</x:f>
        <x:v>62</x:v>
      </x:c>
      <x:c r="C64" s="5" t="str">
        <x:f>'Evaluation Plan'!C64</x:f>
        <x:v>Place the upright glass spice container in the bowl.</x:v>
      </x:c>
      <x:c r="D64" s="5" t="str">
        <x:f>'Evaluation Plan'!D64</x:f>
        <x:v>glass spice container B (C, RU); glass spice container A (C, UD); brown cup B (O, UD); white cup A (C, RU)</x:v>
      </x:c>
      <x:c r="E64" s="4" t="n">
        <x:f>'Evaluation Plan'!E64</x:f>
        <x:v>0</x:v>
      </x:c>
      <x:c r="F64" s="4" t="str">
        <x:f>'Evaluation Plan'!F64</x:f>
        <x:v>172</x:v>
      </x:c>
      <x:c r="G64" s="5" t="str">
        <x:f>'Evaluation Plan'!G64</x:f>
        <x:v>Physical-state and manipulation-trajectory reference under a direct category prompt; the evaluated state word × object-category cell is intentionally absent from training.</x:v>
      </x:c>
      <x:c r="H64" s="5" t="str">
        <x:f>'Evaluation Plan'!H64</x:f>
        <x:v>glass spice container B</x:v>
      </x:c>
      <x:c r="I64" s="5"/>
      <x:c r="J64" s="12" t="str">
        <x:f>'Evaluation Plan'!J64</x:f>
        <x:v>Concept/compositional transfer</x:v>
      </x:c>
      <x:c r="K64" s="4" t="str">
        <x:f>'Evaluation Plan'!K64</x:f>
        <x:v>SR-CT12</x:v>
      </x:c>
      <x:c r="L64" s="4" t="str">
        <x:f>'Evaluation Plan'!L64</x:f>
        <x:v>RU</x:v>
      </x:c>
      <x:c r="M64" s="4" t="str">
        <x:f>'Evaluation Plan'!M64</x:f>
        <x:v>glass spice container</x:v>
      </x:c>
      <x:c r="N64" s="4" t="n">
        <x:f>'Evaluation Plan'!N64</x:f>
        <x:v>4</x:v>
      </x:c>
      <x:c r="O64" s="4" t="n">
        <x:f>'Evaluation Plan'!O64</x:f>
        <x:v>1</x:v>
      </x:c>
      <x:c r="P64" s="4" t="str">
        <x:f>'Evaluation Plan'!P64</x:f>
        <x:v>Empty</x:v>
      </x:c>
      <x:c r="Q64" s="5" t="str">
        <x:f>'Evaluation Plan'!Q64</x:f>
        <x:v>Primary held-out state-object composition</x:v>
      </x:c>
      <x:c r="R64" s="4" t="n">
        <x:f>'Evaluation Plan'!R64</x:f>
        <x:v>3</x:v>
      </x:c>
      <x:c r="S64" s="5" t="str">
        <x:f>'Evaluation Plan'!S64</x:f>
        <x:v>Build the listed same-category discrimination scene with the bowl empty.</x:v>
      </x:c>
      <x:c r="T64" s="5" t="str">
        <x:f>'Evaluation Plan'!T64</x:f>
        <x:v>Two same-category candidates share the non-queried state axis; only the held-out state word identifies the target. The same-category candidates share the orthogonal C/O state (C).</x:v>
      </x:c>
      <x:c r="U64" s="5" t="n">
        <x:f>'Evaluation Plan'!U64</x:f>
        <x:v>0</x:v>
      </x:c>
    </x:row>
    <x:row r="65" ht="51" customHeight="1">
      <x:c r="A65" s="13" t="s">
        <x:v>181</x:v>
      </x:c>
      <x:c r="B65" s="14" t="n">
        <x:f>'Evaluation Plan'!B65</x:f>
        <x:v>63</x:v>
      </x:c>
      <x:c r="C65" s="13" t="str">
        <x:f>'Evaluation Plan'!C65</x:f>
        <x:v>Place a glass spice container in the bowl.</x:v>
      </x:c>
      <x:c r="D65" s="13" t="str">
        <x:f>'Evaluation Plan'!D65</x:f>
        <x:v>glass spice container B (C, RU); yellow-white striped cup B (C, UD); brown cup B (O, UD); white cup A (C, RU)</x:v>
      </x:c>
      <x:c r="E65" s="14" t="n">
        <x:f>'Evaluation Plan'!E65</x:f>
        <x:v>62</x:v>
      </x:c>
      <x:c r="F65" s="14" t="n">
        <x:f>'Evaluation Plan'!F65</x:f>
        <x:v>172</x:v>
      </x:c>
      <x:c r="G65" s="13" t="str">
        <x:f>'Evaluation Plan'!G65</x:f>
        <x:v>Exact direct-category manipulation prompt from training episode 172. The transfer target, state, and pose are preserved; only the competing glass spice container is replaced by yellow-white striped cup B.</x:v>
      </x:c>
      <x:c r="H65" s="13" t="str">
        <x:f>'Evaluation Plan'!H65</x:f>
        <x:v>glass spice container B</x:v>
      </x:c>
      <x:c r="I65" s="13"/>
      <x:c r="J65" s="15" t="str">
        <x:f>'Evaluation Plan'!J65</x:f>
        <x:v>Matched manipulation control</x:v>
      </x:c>
      <x:c r="K65" s="14" t="str">
        <x:f>'Evaluation Plan'!K65</x:f>
        <x:v>SR-CT12</x:v>
      </x:c>
      <x:c r="L65" s="14" t="str">
        <x:f>'Evaluation Plan'!L65</x:f>
        <x:v>N/A</x:v>
      </x:c>
      <x:c r="M65" s="14" t="str">
        <x:f>'Evaluation Plan'!M65</x:f>
        <x:v>glass spice container</x:v>
      </x:c>
      <x:c r="N65" s="14" t="n">
        <x:f>'Evaluation Plan'!N65</x:f>
        <x:v>4</x:v>
      </x:c>
      <x:c r="O65" s="14" t="n">
        <x:f>'Evaluation Plan'!O65</x:f>
        <x:v>1</x:v>
      </x:c>
      <x:c r="P65" s="14" t="str">
        <x:f>'Evaluation Plan'!P65</x:f>
        <x:v>Empty</x:v>
      </x:c>
      <x:c r="Q65" s="13" t="str">
        <x:f>'Evaluation Plan'!Q65</x:f>
        <x:v>One-object-substitution direct-category control</x:v>
      </x:c>
      <x:c r="R65" s="14" t="n">
        <x:f>'Evaluation Plan'!R65</x:f>
        <x:v>3</x:v>
      </x:c>
      <x:c r="S65" s="13" t="str">
        <x:f>'Evaluation Plan'!S65</x:f>
        <x:v>Reset glass spice container B to its transfer pose. Replace glass spice container A with yellow-white striped cup B in the same location and use the states listed in this row; preserve all other objects.</x:v>
      </x:c>
      <x:c r="T65" s="13" t="str">
        <x:f>'Evaluation Plan'!T65</x:f>
        <x:v>Pure recognition/manipulation control: the prompt uniquely names the only object from the target category, while the physical target remains identical to the transfer row.</x:v>
      </x:c>
      <x:c r="U65" s="13" t="n">
        <x:f>'Evaluation Plan'!U65</x:f>
        <x:v>0</x:v>
      </x:c>
    </x:row>
    <x:row r="66" ht="51" customHeight="1">
      <x:c r="A66" s="5" t="s">
        <x:v>181</x:v>
      </x:c>
      <x:c r="B66" s="4" t="n">
        <x:f>'Evaluation Plan'!B66</x:f>
        <x:v>64</x:v>
      </x:c>
      <x:c r="C66" s="5" t="str">
        <x:f>'Evaluation Plan'!C66</x:f>
        <x:v>Place the upside-down white cup in the bowl.</x:v>
      </x:c>
      <x:c r="D66" s="5" t="str">
        <x:f>'Evaluation Plan'!D66</x:f>
        <x:v>white cup A (O, UD); white cup B (O, RU)</x:v>
      </x:c>
      <x:c r="E66" s="4" t="n">
        <x:f>'Evaluation Plan'!E66</x:f>
        <x:v>0</x:v>
      </x:c>
      <x:c r="F66" s="4" t="str">
        <x:f>'Evaluation Plan'!F66</x:f>
        <x:v>32</x:v>
      </x:c>
      <x:c r="G66" s="5" t="str">
        <x:f>'Evaluation Plan'!G66</x:f>
        <x:v>Physical-state and manipulation-trajectory reference under a direct category prompt; the evaluated state word × object-category cell is intentionally absent from training.</x:v>
      </x:c>
      <x:c r="H66" s="5" t="str">
        <x:f>'Evaluation Plan'!H66</x:f>
        <x:v>white cup A</x:v>
      </x:c>
      <x:c r="I66" s="5"/>
      <x:c r="J66" s="12" t="str">
        <x:f>'Evaluation Plan'!J66</x:f>
        <x:v>Concept/compositional transfer</x:v>
      </x:c>
      <x:c r="K66" s="4" t="str">
        <x:f>'Evaluation Plan'!K66</x:f>
        <x:v>SR-CT13</x:v>
      </x:c>
      <x:c r="L66" s="4" t="str">
        <x:f>'Evaluation Plan'!L66</x:f>
        <x:v>UD</x:v>
      </x:c>
      <x:c r="M66" s="4" t="str">
        <x:f>'Evaluation Plan'!M66</x:f>
        <x:v>white cup</x:v>
      </x:c>
      <x:c r="N66" s="4" t="n">
        <x:f>'Evaluation Plan'!N66</x:f>
        <x:v>2</x:v>
      </x:c>
      <x:c r="O66" s="4" t="n">
        <x:f>'Evaluation Plan'!O66</x:f>
        <x:v>1</x:v>
      </x:c>
      <x:c r="P66" s="4" t="str">
        <x:f>'Evaluation Plan'!P66</x:f>
        <x:v>Empty</x:v>
      </x:c>
      <x:c r="Q66" s="5" t="str">
        <x:f>'Evaluation Plan'!Q66</x:f>
        <x:v>Primary held-out state-object composition</x:v>
      </x:c>
      <x:c r="R66" s="4" t="n">
        <x:f>'Evaluation Plan'!R66</x:f>
        <x:v>3</x:v>
      </x:c>
      <x:c r="S66" s="5" t="str">
        <x:f>'Evaluation Plan'!S66</x:f>
        <x:v>Build the listed same-category discrimination scene with the bowl empty.</x:v>
      </x:c>
      <x:c r="T66" s="5" t="str">
        <x:f>'Evaluation Plan'!T66</x:f>
        <x:v>Two same-category candidates share the non-queried state axis; only the held-out state word identifies the target. The same-category candidates share the orthogonal C/O state (O).</x:v>
      </x:c>
      <x:c r="U66" s="5" t="n">
        <x:f>'Evaluation Plan'!U66</x:f>
        <x:v>0</x:v>
      </x:c>
    </x:row>
    <x:row r="67" ht="51" customHeight="1">
      <x:c r="A67" s="13" t="s">
        <x:v>181</x:v>
      </x:c>
      <x:c r="B67" s="14" t="n">
        <x:f>'Evaluation Plan'!B67</x:f>
        <x:v>65</x:v>
      </x:c>
      <x:c r="C67" s="13" t="str">
        <x:f>'Evaluation Plan'!C67</x:f>
        <x:v>Put a white cup in the bowl.</x:v>
      </x:c>
      <x:c r="D67" s="13" t="str">
        <x:f>'Evaluation Plan'!D67</x:f>
        <x:v>white cup A (O, UD); yellow-white striped cup A (O, RU)</x:v>
      </x:c>
      <x:c r="E67" s="14" t="n">
        <x:f>'Evaluation Plan'!E67</x:f>
        <x:v>64</x:v>
      </x:c>
      <x:c r="F67" s="14" t="n">
        <x:f>'Evaluation Plan'!F67</x:f>
        <x:v>32</x:v>
      </x:c>
      <x:c r="G67" s="13" t="str">
        <x:f>'Evaluation Plan'!G67</x:f>
        <x:v>Exact direct-category manipulation prompt from training episode 32. The transfer target, state, and pose are preserved; only the competing white cup is replaced by yellow-white striped cup A.</x:v>
      </x:c>
      <x:c r="H67" s="13" t="str">
        <x:f>'Evaluation Plan'!H67</x:f>
        <x:v>white cup A</x:v>
      </x:c>
      <x:c r="I67" s="13"/>
      <x:c r="J67" s="15" t="str">
        <x:f>'Evaluation Plan'!J67</x:f>
        <x:v>Matched manipulation control</x:v>
      </x:c>
      <x:c r="K67" s="14" t="str">
        <x:f>'Evaluation Plan'!K67</x:f>
        <x:v>SR-CT13</x:v>
      </x:c>
      <x:c r="L67" s="14" t="str">
        <x:f>'Evaluation Plan'!L67</x:f>
        <x:v>N/A</x:v>
      </x:c>
      <x:c r="M67" s="14" t="str">
        <x:f>'Evaluation Plan'!M67</x:f>
        <x:v>white cup</x:v>
      </x:c>
      <x:c r="N67" s="14" t="n">
        <x:f>'Evaluation Plan'!N67</x:f>
        <x:v>2</x:v>
      </x:c>
      <x:c r="O67" s="14" t="n">
        <x:f>'Evaluation Plan'!O67</x:f>
        <x:v>1</x:v>
      </x:c>
      <x:c r="P67" s="14" t="str">
        <x:f>'Evaluation Plan'!P67</x:f>
        <x:v>Empty</x:v>
      </x:c>
      <x:c r="Q67" s="13" t="str">
        <x:f>'Evaluation Plan'!Q67</x:f>
        <x:v>One-object-substitution direct-category control</x:v>
      </x:c>
      <x:c r="R67" s="14" t="n">
        <x:f>'Evaluation Plan'!R67</x:f>
        <x:v>3</x:v>
      </x:c>
      <x:c r="S67" s="13" t="str">
        <x:f>'Evaluation Plan'!S67</x:f>
        <x:v>Reset white cup A to its transfer pose. Replace white cup B with yellow-white striped cup A in the same location and use the states listed in this row; preserve all other objects.</x:v>
      </x:c>
      <x:c r="T67" s="13" t="str">
        <x:f>'Evaluation Plan'!T67</x:f>
        <x:v>Pure recognition/manipulation control: the prompt uniquely names the only object from the target category, while the physical target remains identical to the transfer row.</x:v>
      </x:c>
      <x:c r="U67" s="13" t="n">
        <x:f>'Evaluation Plan'!U67</x:f>
        <x:v>0</x:v>
      </x:c>
    </x:row>
    <x:row r="68" ht="51" customHeight="1">
      <x:c r="A68" s="5" t="s">
        <x:v>181</x:v>
      </x:c>
      <x:c r="B68" s="4" t="n">
        <x:f>'Evaluation Plan'!B68</x:f>
        <x:v>66</x:v>
      </x:c>
      <x:c r="C68" s="5" t="str">
        <x:f>'Evaluation Plan'!C68</x:f>
        <x:v>Place the open yellow-white striped cup in the bowl.</x:v>
      </x:c>
      <x:c r="D68" s="5" t="str">
        <x:f>'Evaluation Plan'!D68</x:f>
        <x:v>yellow-white striped cup B (O, RU); yellow-white striped cup A (C, RU); brown cup B (O, RU)</x:v>
      </x:c>
      <x:c r="E68" s="4" t="n">
        <x:f>'Evaluation Plan'!E68</x:f>
        <x:v>0</x:v>
      </x:c>
      <x:c r="F68" s="4" t="str">
        <x:f>'Evaluation Plan'!F68</x:f>
        <x:v>53</x:v>
      </x:c>
      <x:c r="G68" s="5" t="str">
        <x:f>'Evaluation Plan'!G68</x:f>
        <x:v>Physical-state and manipulation-trajectory reference under a direct category prompt; the evaluated state word × object-category cell is intentionally absent from training. All objects are upright, matching the context of every explicit open/closed training demonstration.</x:v>
      </x:c>
      <x:c r="H68" s="5" t="str">
        <x:f>'Evaluation Plan'!H68</x:f>
        <x:v>yellow-white striped cup B</x:v>
      </x:c>
      <x:c r="I68" s="5"/>
      <x:c r="J68" s="12" t="str">
        <x:f>'Evaluation Plan'!J68</x:f>
        <x:v>Concept/compositional transfer</x:v>
      </x:c>
      <x:c r="K68" s="4" t="str">
        <x:f>'Evaluation Plan'!K68</x:f>
        <x:v>SR-CT14</x:v>
      </x:c>
      <x:c r="L68" s="4" t="str">
        <x:f>'Evaluation Plan'!L68</x:f>
        <x:v>O</x:v>
      </x:c>
      <x:c r="M68" s="4" t="str">
        <x:f>'Evaluation Plan'!M68</x:f>
        <x:v>yellow-white striped cup</x:v>
      </x:c>
      <x:c r="N68" s="4" t="n">
        <x:f>'Evaluation Plan'!N68</x:f>
        <x:v>3</x:v>
      </x:c>
      <x:c r="O68" s="4" t="n">
        <x:f>'Evaluation Plan'!O68</x:f>
        <x:v>1</x:v>
      </x:c>
      <x:c r="P68" s="4" t="str">
        <x:f>'Evaluation Plan'!P68</x:f>
        <x:v>Empty</x:v>
      </x:c>
      <x:c r="Q68" s="5" t="str">
        <x:f>'Evaluation Plan'!Q68</x:f>
        <x:v>Primary held-out state-object composition</x:v>
      </x:c>
      <x:c r="R68" s="4" t="n">
        <x:f>'Evaluation Plan'!R68</x:f>
        <x:v>3</x:v>
      </x:c>
      <x:c r="S68" s="5" t="str">
        <x:f>'Evaluation Plan'!S68</x:f>
        <x:v>Build the listed same-category discrimination scene with the bowl empty.</x:v>
      </x:c>
      <x:c r="T68" s="5" t="str">
        <x:f>'Evaluation Plan'!T68</x:f>
        <x:v>Two same-category candidates share the non-queried state axis; only the held-out state word identifies the target. The orthogonal orientation axis is fixed: every object is RU.</x:v>
      </x:c>
      <x:c r="U68" s="5" t="n">
        <x:f>'Evaluation Plan'!U68</x:f>
        <x:v>0</x:v>
      </x:c>
    </x:row>
    <x:row r="69" ht="51" customHeight="1">
      <x:c r="A69" s="13" t="s">
        <x:v>181</x:v>
      </x:c>
      <x:c r="B69" s="14" t="n">
        <x:f>'Evaluation Plan'!B69</x:f>
        <x:v>67</x:v>
      </x:c>
      <x:c r="C69" s="13" t="str">
        <x:f>'Evaluation Plan'!C69</x:f>
        <x:v>Put a yellow-white striped cup in the bowl.</x:v>
      </x:c>
      <x:c r="D69" s="13" t="str">
        <x:f>'Evaluation Plan'!D69</x:f>
        <x:v>yellow-white striped cup B (O, RU); glass spice container B (C, RU); brown cup B (O, RU)</x:v>
      </x:c>
      <x:c r="E69" s="14" t="n">
        <x:f>'Evaluation Plan'!E69</x:f>
        <x:v>66</x:v>
      </x:c>
      <x:c r="F69" s="14" t="n">
        <x:f>'Evaluation Plan'!F69</x:f>
        <x:v>53</x:v>
      </x:c>
      <x:c r="G69" s="13" t="str">
        <x:f>'Evaluation Plan'!G69</x:f>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H69" s="13" t="str">
        <x:f>'Evaluation Plan'!H69</x:f>
        <x:v>yellow-white striped cup B</x:v>
      </x:c>
      <x:c r="I69" s="13"/>
      <x:c r="J69" s="15" t="str">
        <x:f>'Evaluation Plan'!J69</x:f>
        <x:v>Matched manipulation control</x:v>
      </x:c>
      <x:c r="K69" s="14" t="str">
        <x:f>'Evaluation Plan'!K69</x:f>
        <x:v>SR-CT14</x:v>
      </x:c>
      <x:c r="L69" s="14" t="str">
        <x:f>'Evaluation Plan'!L69</x:f>
        <x:v>N/A</x:v>
      </x:c>
      <x:c r="M69" s="14" t="str">
        <x:f>'Evaluation Plan'!M69</x:f>
        <x:v>yellow-white striped cup</x:v>
      </x:c>
      <x:c r="N69" s="14" t="n">
        <x:f>'Evaluation Plan'!N69</x:f>
        <x:v>3</x:v>
      </x:c>
      <x:c r="O69" s="14" t="n">
        <x:f>'Evaluation Plan'!O69</x:f>
        <x:v>1</x:v>
      </x:c>
      <x:c r="P69" s="14" t="str">
        <x:f>'Evaluation Plan'!P69</x:f>
        <x:v>Empty</x:v>
      </x:c>
      <x:c r="Q69" s="13" t="str">
        <x:f>'Evaluation Plan'!Q69</x:f>
        <x:v>One-object-substitution direct-category control</x:v>
      </x:c>
      <x:c r="R69" s="14" t="n">
        <x:f>'Evaluation Plan'!R69</x:f>
        <x:v>3</x:v>
      </x:c>
      <x:c r="S69" s="13" t="str">
        <x:f>'Evaluation Plan'!S69</x:f>
        <x:v>Reset yellow-white striped cup B to its transfer pose. Replace yellow-white striped cup A with glass spice container B in the same location and use the states listed in this row; preserve all other objects.</x:v>
      </x:c>
      <x:c r="T69" s="13" t="str">
        <x:f>'Evaluation Plan'!T69</x:f>
        <x:v>Pure recognition/manipulation control: the prompt uniquely names the only object from the target category, while the physical target remains identical to the transfer row. Every object is RU.</x:v>
      </x:c>
      <x:c r="U69" s="13" t="n">
        <x:f>'Evaluation Plan'!U69</x:f>
        <x:v>0</x:v>
      </x:c>
    </x:row>
    <x:row r="70" ht="51" customHeight="1">
      <x:c r="A70" s="5" t="s">
        <x:v>181</x:v>
      </x:c>
      <x:c r="B70" s="4" t="n">
        <x:f>'Evaluation Plan'!B70</x:f>
        <x:v>68</x:v>
      </x:c>
      <x:c r="C70" s="5" t="str">
        <x:f>'Evaluation Plan'!C70</x:f>
        <x:v>Place the closed brown cup in the bowl.</x:v>
      </x:c>
      <x:c r="D70" s="5" t="str">
        <x:f>'Evaluation Plan'!D70</x:f>
        <x:v>brown cup A (C, RU); brown cup B (O, RU); glass spice container A (C, RU); white cup B (O, RU)</x:v>
      </x:c>
      <x:c r="E70" s="4" t="n">
        <x:f>'Evaluation Plan'!E70</x:f>
        <x:v>0</x:v>
      </x:c>
      <x:c r="F70" s="4" t="str">
        <x:f>'Evaluation Plan'!F70</x:f>
        <x:v>129</x:v>
      </x:c>
      <x:c r="G70" s="5" t="str">
        <x:f>'Evaluation Plan'!G70</x:f>
        <x:v>Physical-state and manipulation-trajectory reference under a direct category prompt; the evaluated state word × object-category cell is intentionally absent from training. All objects are upright, matching the context of every explicit open/closed training demonstration.</x:v>
      </x:c>
      <x:c r="H70" s="5" t="str">
        <x:f>'Evaluation Plan'!H70</x:f>
        <x:v>brown cup A</x:v>
      </x:c>
      <x:c r="I70" s="5"/>
      <x:c r="J70" s="12" t="str">
        <x:f>'Evaluation Plan'!J70</x:f>
        <x:v>Concept/compositional transfer</x:v>
      </x:c>
      <x:c r="K70" s="4" t="str">
        <x:f>'Evaluation Plan'!K70</x:f>
        <x:v>SR-CT15</x:v>
      </x:c>
      <x:c r="L70" s="4" t="str">
        <x:f>'Evaluation Plan'!L70</x:f>
        <x:v>C</x:v>
      </x:c>
      <x:c r="M70" s="4" t="str">
        <x:f>'Evaluation Plan'!M70</x:f>
        <x:v>brown cup</x:v>
      </x:c>
      <x:c r="N70" s="4" t="n">
        <x:f>'Evaluation Plan'!N70</x:f>
        <x:v>4</x:v>
      </x:c>
      <x:c r="O70" s="4" t="n">
        <x:f>'Evaluation Plan'!O70</x:f>
        <x:v>1</x:v>
      </x:c>
      <x:c r="P70" s="4" t="str">
        <x:f>'Evaluation Plan'!P70</x:f>
        <x:v>Empty</x:v>
      </x:c>
      <x:c r="Q70" s="5" t="str">
        <x:f>'Evaluation Plan'!Q70</x:f>
        <x:v>Primary held-out state-object composition</x:v>
      </x:c>
      <x:c r="R70" s="4" t="n">
        <x:f>'Evaluation Plan'!R70</x:f>
        <x:v>3</x:v>
      </x:c>
      <x:c r="S70" s="5" t="str">
        <x:f>'Evaluation Plan'!S70</x:f>
        <x:v>Build the listed same-category discrimination scene with the bowl empty.</x:v>
      </x:c>
      <x:c r="T70" s="5" t="str">
        <x:f>'Evaluation Plan'!T70</x:f>
        <x:v>Two same-category candidates share the non-queried state axis; only the held-out state word identifies the target. The orthogonal orientation axis is fixed: every object is RU.</x:v>
      </x:c>
      <x:c r="U70" s="5" t="n">
        <x:f>'Evaluation Plan'!U70</x:f>
        <x:v>0</x:v>
      </x:c>
    </x:row>
    <x:row r="71" ht="51" customHeight="1">
      <x:c r="A71" s="13" t="s">
        <x:v>181</x:v>
      </x:c>
      <x:c r="B71" s="14" t="n">
        <x:f>'Evaluation Plan'!B71</x:f>
        <x:v>69</x:v>
      </x:c>
      <x:c r="C71" s="13" t="str">
        <x:f>'Evaluation Plan'!C71</x:f>
        <x:v>Move a brown cup into the bowl.</x:v>
      </x:c>
      <x:c r="D71" s="13" t="str">
        <x:f>'Evaluation Plan'!D71</x:f>
        <x:v>brown cup A (C, RU); yellow-white striped cup A (O, RU); glass spice container A (C, RU); white cup B (O, RU)</x:v>
      </x:c>
      <x:c r="E71" s="14" t="n">
        <x:f>'Evaluation Plan'!E71</x:f>
        <x:v>68</x:v>
      </x:c>
      <x:c r="F71" s="14" t="n">
        <x:f>'Evaluation Plan'!F71</x:f>
        <x:v>129</x:v>
      </x:c>
      <x:c r="G71" s="13" t="str">
        <x:f>'Evaluation Plan'!G71</x:f>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H71" s="13" t="str">
        <x:f>'Evaluation Plan'!H71</x:f>
        <x:v>brown cup A</x:v>
      </x:c>
      <x:c r="I71" s="13"/>
      <x:c r="J71" s="15" t="str">
        <x:f>'Evaluation Plan'!J71</x:f>
        <x:v>Matched manipulation control</x:v>
      </x:c>
      <x:c r="K71" s="14" t="str">
        <x:f>'Evaluation Plan'!K71</x:f>
        <x:v>SR-CT15</x:v>
      </x:c>
      <x:c r="L71" s="14" t="str">
        <x:f>'Evaluation Plan'!L71</x:f>
        <x:v>N/A</x:v>
      </x:c>
      <x:c r="M71" s="14" t="str">
        <x:f>'Evaluation Plan'!M71</x:f>
        <x:v>brown cup</x:v>
      </x:c>
      <x:c r="N71" s="14" t="n">
        <x:f>'Evaluation Plan'!N71</x:f>
        <x:v>4</x:v>
      </x:c>
      <x:c r="O71" s="14" t="n">
        <x:f>'Evaluation Plan'!O71</x:f>
        <x:v>1</x:v>
      </x:c>
      <x:c r="P71" s="14" t="str">
        <x:f>'Evaluation Plan'!P71</x:f>
        <x:v>Empty</x:v>
      </x:c>
      <x:c r="Q71" s="13" t="str">
        <x:f>'Evaluation Plan'!Q71</x:f>
        <x:v>One-object-substitution direct-category control</x:v>
      </x:c>
      <x:c r="R71" s="14" t="n">
        <x:f>'Evaluation Plan'!R71</x:f>
        <x:v>3</x:v>
      </x:c>
      <x:c r="S71" s="13" t="str">
        <x:f>'Evaluation Plan'!S71</x:f>
        <x:v>Reset brown cup A to its transfer pose. Replace brown cup B with yellow-white striped cup A in the same location and use the states listed in this row; preserve all other objects.</x:v>
      </x:c>
      <x:c r="T71" s="13" t="str">
        <x:f>'Evaluation Plan'!T71</x:f>
        <x:v>Pure recognition/manipulation control: the prompt uniquely names the only object from the target category, while the physical target remains identical to the transfer row. Every object is RU.</x:v>
      </x:c>
      <x:c r="U71" s="13" t="n">
        <x:f>'Evaluation Plan'!U71</x:f>
        <x:v>0</x:v>
      </x:c>
    </x:row>
    <x:row r="72" ht="51" customHeight="1">
      <x:c r="A72" s="5" t="s">
        <x:v>181</x:v>
      </x:c>
      <x:c r="B72" s="4" t="n">
        <x:f>'Evaluation Plan'!B72</x:f>
        <x:v>70</x:v>
      </x:c>
      <x:c r="C72" s="5" t="str">
        <x:f>'Evaluation Plan'!C72</x:f>
        <x:v>Place the upright glass spice container in the bowl.</x:v>
      </x:c>
      <x:c r="D72" s="5" t="str">
        <x:f>'Evaluation Plan'!D72</x:f>
        <x:v>glass spice container B (O, RU); glass spice container A (O, UD)</x:v>
      </x:c>
      <x:c r="E72" s="4" t="n">
        <x:f>'Evaluation Plan'!E72</x:f>
        <x:v>0</x:v>
      </x:c>
      <x:c r="F72" s="4" t="str">
        <x:f>'Evaluation Plan'!F72</x:f>
        <x:v>157</x:v>
      </x:c>
      <x:c r="G72" s="5" t="str">
        <x:f>'Evaluation Plan'!G72</x:f>
        <x:v>Physical-state and manipulation-trajectory reference under a direct category prompt; the evaluated state word × object-category cell is intentionally absent from training.</x:v>
      </x:c>
      <x:c r="H72" s="5" t="str">
        <x:f>'Evaluation Plan'!H72</x:f>
        <x:v>glass spice container B</x:v>
      </x:c>
      <x:c r="I72" s="5"/>
      <x:c r="J72" s="12" t="str">
        <x:f>'Evaluation Plan'!J72</x:f>
        <x:v>Concept/compositional transfer</x:v>
      </x:c>
      <x:c r="K72" s="4" t="str">
        <x:f>'Evaluation Plan'!K72</x:f>
        <x:v>SR-CT16</x:v>
      </x:c>
      <x:c r="L72" s="4" t="str">
        <x:f>'Evaluation Plan'!L72</x:f>
        <x:v>RU</x:v>
      </x:c>
      <x:c r="M72" s="4" t="str">
        <x:f>'Evaluation Plan'!M72</x:f>
        <x:v>glass spice container</x:v>
      </x:c>
      <x:c r="N72" s="4" t="n">
        <x:f>'Evaluation Plan'!N72</x:f>
        <x:v>2</x:v>
      </x:c>
      <x:c r="O72" s="4" t="n">
        <x:f>'Evaluation Plan'!O72</x:f>
        <x:v>1</x:v>
      </x:c>
      <x:c r="P72" s="4" t="str">
        <x:f>'Evaluation Plan'!P72</x:f>
        <x:v>Empty</x:v>
      </x:c>
      <x:c r="Q72" s="5" t="str">
        <x:f>'Evaluation Plan'!Q72</x:f>
        <x:v>Primary held-out state-object composition</x:v>
      </x:c>
      <x:c r="R72" s="4" t="n">
        <x:f>'Evaluation Plan'!R72</x:f>
        <x:v>3</x:v>
      </x:c>
      <x:c r="S72" s="5" t="str">
        <x:f>'Evaluation Plan'!S72</x:f>
        <x:v>Build the listed same-category discrimination scene with the bowl empty.</x:v>
      </x:c>
      <x:c r="T72" s="5" t="str">
        <x:f>'Evaluation Plan'!T72</x:f>
        <x:v>Two same-category candidates share the non-queried state axis; only the held-out state word identifies the target. The same-category candidates share the orthogonal C/O state (O).</x:v>
      </x:c>
      <x:c r="U72" s="5" t="n">
        <x:f>'Evaluation Plan'!U72</x:f>
        <x:v>0</x:v>
      </x:c>
    </x:row>
    <x:row r="73" ht="51" customHeight="1">
      <x:c r="A73" s="13" t="s">
        <x:v>181</x:v>
      </x:c>
      <x:c r="B73" s="14" t="n">
        <x:f>'Evaluation Plan'!B73</x:f>
        <x:v>71</x:v>
      </x:c>
      <x:c r="C73" s="13" t="str">
        <x:f>'Evaluation Plan'!C73</x:f>
        <x:v>Place a glass spice container in the bowl.</x:v>
      </x:c>
      <x:c r="D73" s="13" t="str">
        <x:f>'Evaluation Plan'!D73</x:f>
        <x:v>glass spice container B (O, RU); white cup B (O, UD)</x:v>
      </x:c>
      <x:c r="E73" s="14" t="n">
        <x:f>'Evaluation Plan'!E73</x:f>
        <x:v>70</x:v>
      </x:c>
      <x:c r="F73" s="14" t="n">
        <x:f>'Evaluation Plan'!F73</x:f>
        <x:v>157</x:v>
      </x:c>
      <x:c r="G73" s="13" t="str">
        <x:f>'Evaluation Plan'!G73</x:f>
        <x:v>Exact direct-category manipulation prompt from training episode 157. The transfer target, state, and pose are preserved; only the competing glass spice container is replaced by white cup B.</x:v>
      </x:c>
      <x:c r="H73" s="13" t="str">
        <x:f>'Evaluation Plan'!H73</x:f>
        <x:v>glass spice container B</x:v>
      </x:c>
      <x:c r="I73" s="13"/>
      <x:c r="J73" s="15" t="str">
        <x:f>'Evaluation Plan'!J73</x:f>
        <x:v>Matched manipulation control</x:v>
      </x:c>
      <x:c r="K73" s="14" t="str">
        <x:f>'Evaluation Plan'!K73</x:f>
        <x:v>SR-CT16</x:v>
      </x:c>
      <x:c r="L73" s="14" t="str">
        <x:f>'Evaluation Plan'!L73</x:f>
        <x:v>N/A</x:v>
      </x:c>
      <x:c r="M73" s="14" t="str">
        <x:f>'Evaluation Plan'!M73</x:f>
        <x:v>glass spice container</x:v>
      </x:c>
      <x:c r="N73" s="14" t="n">
        <x:f>'Evaluation Plan'!N73</x:f>
        <x:v>2</x:v>
      </x:c>
      <x:c r="O73" s="14" t="n">
        <x:f>'Evaluation Plan'!O73</x:f>
        <x:v>1</x:v>
      </x:c>
      <x:c r="P73" s="14" t="str">
        <x:f>'Evaluation Plan'!P73</x:f>
        <x:v>Empty</x:v>
      </x:c>
      <x:c r="Q73" s="13" t="str">
        <x:f>'Evaluation Plan'!Q73</x:f>
        <x:v>One-object-substitution direct-category control</x:v>
      </x:c>
      <x:c r="R73" s="14" t="n">
        <x:f>'Evaluation Plan'!R73</x:f>
        <x:v>3</x:v>
      </x:c>
      <x:c r="S73" s="13" t="str">
        <x:f>'Evaluation Plan'!S73</x:f>
        <x:v>Reset glass spice container B to its transfer pose. Replace glass spice container A with white cup B in the same location and use the states listed in this row; preserve all other objects.</x:v>
      </x:c>
      <x:c r="T73" s="13" t="str">
        <x:f>'Evaluation Plan'!T73</x:f>
        <x:v>Pure recognition/manipulation control: the prompt uniquely names the only object from the target category, while the physical target remains identical to the transfer row.</x:v>
      </x:c>
      <x:c r="U73" s="13" t="n">
        <x:f>'Evaluation Plan'!U73</x:f>
        <x:v>0</x:v>
      </x:c>
    </x:row>
    <x:row r="74" ht="51" customHeight="1">
      <x:c r="A74" s="5" t="s">
        <x:v>181</x:v>
      </x:c>
      <x:c r="B74" s="4" t="n">
        <x:f>'Evaluation Plan'!B74</x:f>
        <x:v>72</x:v>
      </x:c>
      <x:c r="C74" s="5" t="str">
        <x:f>'Evaluation Plan'!C74</x:f>
        <x:v>Place the upside-down white cup in the bowl.</x:v>
      </x:c>
      <x:c r="D74" s="5" t="str">
        <x:f>'Evaluation Plan'!D74</x:f>
        <x:v>white cup A (C, UD); white cup B (C, RU); brown cup A (C, RU)</x:v>
      </x:c>
      <x:c r="E74" s="4" t="n">
        <x:f>'Evaluation Plan'!E74</x:f>
        <x:v>0</x:v>
      </x:c>
      <x:c r="F74" s="4" t="str">
        <x:f>'Evaluation Plan'!F74</x:f>
        <x:v>35</x:v>
      </x:c>
      <x:c r="G74" s="5" t="str">
        <x:f>'Evaluation Plan'!G74</x:f>
        <x:v>Physical-state and manipulation-trajectory reference under a direct category prompt; the evaluated state word × object-category cell is intentionally absent from training.</x:v>
      </x:c>
      <x:c r="H74" s="5" t="str">
        <x:f>'Evaluation Plan'!H74</x:f>
        <x:v>white cup A</x:v>
      </x:c>
      <x:c r="I74" s="5"/>
      <x:c r="J74" s="12" t="str">
        <x:f>'Evaluation Plan'!J74</x:f>
        <x:v>Concept/compositional transfer</x:v>
      </x:c>
      <x:c r="K74" s="4" t="str">
        <x:f>'Evaluation Plan'!K74</x:f>
        <x:v>SR-CT17</x:v>
      </x:c>
      <x:c r="L74" s="4" t="str">
        <x:f>'Evaluation Plan'!L74</x:f>
        <x:v>UD</x:v>
      </x:c>
      <x:c r="M74" s="4" t="str">
        <x:f>'Evaluation Plan'!M74</x:f>
        <x:v>white cup</x:v>
      </x:c>
      <x:c r="N74" s="4" t="n">
        <x:f>'Evaluation Plan'!N74</x:f>
        <x:v>3</x:v>
      </x:c>
      <x:c r="O74" s="4" t="n">
        <x:f>'Evaluation Plan'!O74</x:f>
        <x:v>1</x:v>
      </x:c>
      <x:c r="P74" s="4" t="str">
        <x:f>'Evaluation Plan'!P74</x:f>
        <x:v>Empty</x:v>
      </x:c>
      <x:c r="Q74" s="5" t="str">
        <x:f>'Evaluation Plan'!Q74</x:f>
        <x:v>Primary held-out state-object composition</x:v>
      </x:c>
      <x:c r="R74" s="4" t="n">
        <x:f>'Evaluation Plan'!R74</x:f>
        <x:v>3</x:v>
      </x:c>
      <x:c r="S74" s="5" t="str">
        <x:f>'Evaluation Plan'!S74</x:f>
        <x:v>Build the listed same-category discrimination scene with the bowl empty.</x:v>
      </x:c>
      <x:c r="T74" s="5" t="str">
        <x:f>'Evaluation Plan'!T74</x:f>
        <x:v>Two same-category candidates share the non-queried state axis; only the held-out state word identifies the target. The same-category candidates share the orthogonal C/O state (C).</x:v>
      </x:c>
      <x:c r="U74" s="5" t="n">
        <x:f>'Evaluation Plan'!U74</x:f>
        <x:v>0</x:v>
      </x:c>
    </x:row>
    <x:row r="75" ht="51" customHeight="1">
      <x:c r="A75" s="13" t="s">
        <x:v>181</x:v>
      </x:c>
      <x:c r="B75" s="14" t="n">
        <x:f>'Evaluation Plan'!B75</x:f>
        <x:v>73</x:v>
      </x:c>
      <x:c r="C75" s="13" t="str">
        <x:f>'Evaluation Plan'!C75</x:f>
        <x:v>Put a white cup in the bowl.</x:v>
      </x:c>
      <x:c r="D75" s="13" t="str">
        <x:f>'Evaluation Plan'!D75</x:f>
        <x:v>white cup A (C, UD); yellow-white striped cup A (C, RU); brown cup A (C, RU)</x:v>
      </x:c>
      <x:c r="E75" s="14" t="n">
        <x:f>'Evaluation Plan'!E75</x:f>
        <x:v>72</x:v>
      </x:c>
      <x:c r="F75" s="14" t="n">
        <x:f>'Evaluation Plan'!F75</x:f>
        <x:v>35</x:v>
      </x:c>
      <x:c r="G75" s="13" t="str">
        <x:f>'Evaluation Plan'!G75</x:f>
        <x:v>Exact direct-category manipulation prompt from training episode 35. The transfer target, state, and pose are preserved; only the competing white cup is replaced by yellow-white striped cup A.</x:v>
      </x:c>
      <x:c r="H75" s="13" t="str">
        <x:f>'Evaluation Plan'!H75</x:f>
        <x:v>white cup A</x:v>
      </x:c>
      <x:c r="I75" s="13"/>
      <x:c r="J75" s="15" t="str">
        <x:f>'Evaluation Plan'!J75</x:f>
        <x:v>Matched manipulation control</x:v>
      </x:c>
      <x:c r="K75" s="14" t="str">
        <x:f>'Evaluation Plan'!K75</x:f>
        <x:v>SR-CT17</x:v>
      </x:c>
      <x:c r="L75" s="14" t="str">
        <x:f>'Evaluation Plan'!L75</x:f>
        <x:v>N/A</x:v>
      </x:c>
      <x:c r="M75" s="14" t="str">
        <x:f>'Evaluation Plan'!M75</x:f>
        <x:v>white cup</x:v>
      </x:c>
      <x:c r="N75" s="14" t="n">
        <x:f>'Evaluation Plan'!N75</x:f>
        <x:v>3</x:v>
      </x:c>
      <x:c r="O75" s="14" t="n">
        <x:f>'Evaluation Plan'!O75</x:f>
        <x:v>1</x:v>
      </x:c>
      <x:c r="P75" s="14" t="str">
        <x:f>'Evaluation Plan'!P75</x:f>
        <x:v>Empty</x:v>
      </x:c>
      <x:c r="Q75" s="13" t="str">
        <x:f>'Evaluation Plan'!Q75</x:f>
        <x:v>One-object-substitution direct-category control</x:v>
      </x:c>
      <x:c r="R75" s="14" t="n">
        <x:f>'Evaluation Plan'!R75</x:f>
        <x:v>3</x:v>
      </x:c>
      <x:c r="S75" s="13" t="str">
        <x:f>'Evaluation Plan'!S75</x:f>
        <x:v>Reset white cup A to its transfer pose. Replace white cup B with yellow-white striped cup A in the same location and use the states listed in this row; preserve all other objects.</x:v>
      </x:c>
      <x:c r="T75" s="13" t="str">
        <x:f>'Evaluation Plan'!T75</x:f>
        <x:v>Pure recognition/manipulation control: the prompt uniquely names the only object from the target category, while the physical target remains identical to the transfer row.</x:v>
      </x:c>
      <x:c r="U75" s="13" t="n">
        <x:f>'Evaluation Plan'!U75</x:f>
        <x:v>0</x:v>
      </x:c>
    </x:row>
    <x:row r="76" ht="51" customHeight="1">
      <x:c r="A76" s="5" t="s">
        <x:v>181</x:v>
      </x:c>
      <x:c r="B76" s="4" t="n">
        <x:f>'Evaluation Plan'!B76</x:f>
        <x:v>74</x:v>
      </x:c>
      <x:c r="C76" s="5" t="str">
        <x:f>'Evaluation Plan'!C76</x:f>
        <x:v>Place the open yellow-white striped cup in the bowl.</x:v>
      </x:c>
      <x:c r="D76" s="5" t="str">
        <x:f>'Evaluation Plan'!D76</x:f>
        <x:v>yellow-white striped cup B (O, RU); yellow-white striped cup A (C, RU); glass spice container B (O, RU); white cup A (C, RU)</x:v>
      </x:c>
      <x:c r="E76" s="4" t="n">
        <x:f>'Evaluation Plan'!E76</x:f>
        <x:v>0</x:v>
      </x:c>
      <x:c r="F76" s="4" t="str">
        <x:f>'Evaluation Plan'!F76</x:f>
        <x:v>72</x:v>
      </x:c>
      <x:c r="G76" s="5" t="str">
        <x:f>'Evaluation Plan'!G76</x:f>
        <x:v>Physical-state and manipulation-trajectory reference under a direct category prompt; the evaluated state word × object-category cell is intentionally absent from training. All objects are upright, matching the context of every explicit open/closed training demonstration.</x:v>
      </x:c>
      <x:c r="H76" s="5" t="str">
        <x:f>'Evaluation Plan'!H76</x:f>
        <x:v>yellow-white striped cup B</x:v>
      </x:c>
      <x:c r="I76" s="5"/>
      <x:c r="J76" s="12" t="str">
        <x:f>'Evaluation Plan'!J76</x:f>
        <x:v>Concept/compositional transfer</x:v>
      </x:c>
      <x:c r="K76" s="4" t="str">
        <x:f>'Evaluation Plan'!K76</x:f>
        <x:v>SR-CT18</x:v>
      </x:c>
      <x:c r="L76" s="4" t="str">
        <x:f>'Evaluation Plan'!L76</x:f>
        <x:v>O</x:v>
      </x:c>
      <x:c r="M76" s="4" t="str">
        <x:f>'Evaluation Plan'!M76</x:f>
        <x:v>yellow-white striped cup</x:v>
      </x:c>
      <x:c r="N76" s="4" t="n">
        <x:f>'Evaluation Plan'!N76</x:f>
        <x:v>4</x:v>
      </x:c>
      <x:c r="O76" s="4" t="n">
        <x:f>'Evaluation Plan'!O76</x:f>
        <x:v>1</x:v>
      </x:c>
      <x:c r="P76" s="4" t="str">
        <x:f>'Evaluation Plan'!P76</x:f>
        <x:v>Empty</x:v>
      </x:c>
      <x:c r="Q76" s="5" t="str">
        <x:f>'Evaluation Plan'!Q76</x:f>
        <x:v>Primary held-out state-object composition</x:v>
      </x:c>
      <x:c r="R76" s="4" t="n">
        <x:f>'Evaluation Plan'!R76</x:f>
        <x:v>3</x:v>
      </x:c>
      <x:c r="S76" s="5" t="str">
        <x:f>'Evaluation Plan'!S76</x:f>
        <x:v>Build the listed same-category discrimination scene with the bowl empty.</x:v>
      </x:c>
      <x:c r="T76" s="5" t="str">
        <x:f>'Evaluation Plan'!T76</x:f>
        <x:v>Two same-category candidates share the non-queried state axis; only the held-out state word identifies the target. The orthogonal orientation axis is fixed: every object is RU.</x:v>
      </x:c>
      <x:c r="U76" s="5" t="n">
        <x:f>'Evaluation Plan'!U76</x:f>
        <x:v>0</x:v>
      </x:c>
    </x:row>
    <x:row r="77" ht="51" customHeight="1">
      <x:c r="A77" s="13" t="s">
        <x:v>181</x:v>
      </x:c>
      <x:c r="B77" s="14" t="n">
        <x:f>'Evaluation Plan'!B77</x:f>
        <x:v>75</x:v>
      </x:c>
      <x:c r="C77" s="13" t="str">
        <x:f>'Evaluation Plan'!C77</x:f>
        <x:v>Move a yellow-white striped cup into the bowl.</x:v>
      </x:c>
      <x:c r="D77" s="13" t="str">
        <x:f>'Evaluation Plan'!D77</x:f>
        <x:v>yellow-white striped cup B (O, RU); brown cup B (C, RU); glass spice container B (O, RU); white cup A (C, RU)</x:v>
      </x:c>
      <x:c r="E77" s="14" t="n">
        <x:f>'Evaluation Plan'!E77</x:f>
        <x:v>74</x:v>
      </x:c>
      <x:c r="F77" s="14" t="n">
        <x:f>'Evaluation Plan'!F77</x:f>
        <x:v>72</x:v>
      </x:c>
      <x:c r="G77" s="13" t="str">
        <x:f>'Evaluation Plan'!G77</x:f>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H77" s="13" t="str">
        <x:f>'Evaluation Plan'!H77</x:f>
        <x:v>yellow-white striped cup B</x:v>
      </x:c>
      <x:c r="I77" s="13"/>
      <x:c r="J77" s="15" t="str">
        <x:f>'Evaluation Plan'!J77</x:f>
        <x:v>Matched manipulation control</x:v>
      </x:c>
      <x:c r="K77" s="14" t="str">
        <x:f>'Evaluation Plan'!K77</x:f>
        <x:v>SR-CT18</x:v>
      </x:c>
      <x:c r="L77" s="14" t="str">
        <x:f>'Evaluation Plan'!L77</x:f>
        <x:v>N/A</x:v>
      </x:c>
      <x:c r="M77" s="14" t="str">
        <x:f>'Evaluation Plan'!M77</x:f>
        <x:v>yellow-white striped cup</x:v>
      </x:c>
      <x:c r="N77" s="14" t="n">
        <x:f>'Evaluation Plan'!N77</x:f>
        <x:v>4</x:v>
      </x:c>
      <x:c r="O77" s="14" t="n">
        <x:f>'Evaluation Plan'!O77</x:f>
        <x:v>1</x:v>
      </x:c>
      <x:c r="P77" s="14" t="str">
        <x:f>'Evaluation Plan'!P77</x:f>
        <x:v>Empty</x:v>
      </x:c>
      <x:c r="Q77" s="13" t="str">
        <x:f>'Evaluation Plan'!Q77</x:f>
        <x:v>One-object-substitution direct-category control</x:v>
      </x:c>
      <x:c r="R77" s="14" t="n">
        <x:f>'Evaluation Plan'!R77</x:f>
        <x:v>3</x:v>
      </x:c>
      <x:c r="S77" s="13" t="str">
        <x:f>'Evaluation Plan'!S77</x:f>
        <x:v>Reset yellow-white striped cup B to its transfer pose. Replace yellow-white striped cup A with brown cup B in the same location and use the states listed in this row; preserve all other objects.</x:v>
      </x:c>
      <x:c r="T77" s="13" t="str">
        <x:f>'Evaluation Plan'!T77</x:f>
        <x:v>Pure recognition/manipulation control: the prompt uniquely names the only object from the target category, while the physical target remains identical to the transfer row. Every object is RU.</x:v>
      </x:c>
      <x:c r="U77" s="13" t="n">
        <x:f>'Evaluation Plan'!U77</x:f>
        <x:v>0</x:v>
      </x:c>
    </x:row>
    <x:row r="78" ht="51" customHeight="1">
      <x:c r="A78" s="5" t="s">
        <x:v>181</x:v>
      </x:c>
      <x:c r="B78" s="4" t="n">
        <x:f>'Evaluation Plan'!B78</x:f>
        <x:v>76</x:v>
      </x:c>
      <x:c r="C78" s="5" t="str">
        <x:f>'Evaluation Plan'!C78</x:f>
        <x:v>Place the closed brown cup in the bowl.</x:v>
      </x:c>
      <x:c r="D78" s="5" t="str">
        <x:f>'Evaluation Plan'!D78</x:f>
        <x:v>brown cup A (C, RU); brown cup B (O, RU)</x:v>
      </x:c>
      <x:c r="E78" s="4" t="n">
        <x:f>'Evaluation Plan'!E78</x:f>
        <x:v>0</x:v>
      </x:c>
      <x:c r="F78" s="4" t="str">
        <x:f>'Evaluation Plan'!F78</x:f>
        <x:v>105</x:v>
      </x:c>
      <x:c r="G78" s="5" t="str">
        <x:f>'Evaluation Plan'!G78</x:f>
        <x:v>Physical-state and manipulation-trajectory reference under a direct category prompt; the evaluated state word × object-category cell is intentionally absent from training. All objects are upright, matching the context of every explicit open/closed training demonstration.</x:v>
      </x:c>
      <x:c r="H78" s="5" t="str">
        <x:f>'Evaluation Plan'!H78</x:f>
        <x:v>brown cup A</x:v>
      </x:c>
      <x:c r="I78" s="5"/>
      <x:c r="J78" s="12" t="str">
        <x:f>'Evaluation Plan'!J78</x:f>
        <x:v>Concept/compositional transfer</x:v>
      </x:c>
      <x:c r="K78" s="4" t="str">
        <x:f>'Evaluation Plan'!K78</x:f>
        <x:v>SR-CT19</x:v>
      </x:c>
      <x:c r="L78" s="4" t="str">
        <x:f>'Evaluation Plan'!L78</x:f>
        <x:v>C</x:v>
      </x:c>
      <x:c r="M78" s="4" t="str">
        <x:f>'Evaluation Plan'!M78</x:f>
        <x:v>brown cup</x:v>
      </x:c>
      <x:c r="N78" s="4" t="n">
        <x:f>'Evaluation Plan'!N78</x:f>
        <x:v>2</x:v>
      </x:c>
      <x:c r="O78" s="4" t="n">
        <x:f>'Evaluation Plan'!O78</x:f>
        <x:v>1</x:v>
      </x:c>
      <x:c r="P78" s="4" t="str">
        <x:f>'Evaluation Plan'!P78</x:f>
        <x:v>Empty</x:v>
      </x:c>
      <x:c r="Q78" s="5" t="str">
        <x:f>'Evaluation Plan'!Q78</x:f>
        <x:v>Primary held-out state-object composition</x:v>
      </x:c>
      <x:c r="R78" s="4" t="n">
        <x:f>'Evaluation Plan'!R78</x:f>
        <x:v>3</x:v>
      </x:c>
      <x:c r="S78" s="5" t="str">
        <x:f>'Evaluation Plan'!S78</x:f>
        <x:v>Build the listed same-category discrimination scene with the bowl empty.</x:v>
      </x:c>
      <x:c r="T78" s="5" t="str">
        <x:f>'Evaluation Plan'!T78</x:f>
        <x:v>Two same-category candidates share the non-queried state axis; only the held-out state word identifies the target. The orthogonal orientation axis is fixed: every object is RU.</x:v>
      </x:c>
      <x:c r="U78" s="5" t="n">
        <x:f>'Evaluation Plan'!U78</x:f>
        <x:v>0</x:v>
      </x:c>
    </x:row>
    <x:row r="79" ht="51" customHeight="1">
      <x:c r="A79" s="13" t="s">
        <x:v>181</x:v>
      </x:c>
      <x:c r="B79" s="14" t="n">
        <x:f>'Evaluation Plan'!B79</x:f>
        <x:v>77</x:v>
      </x:c>
      <x:c r="C79" s="13" t="str">
        <x:f>'Evaluation Plan'!C79</x:f>
        <x:v>Move a brown cup into the bowl.</x:v>
      </x:c>
      <x:c r="D79" s="13" t="str">
        <x:f>'Evaluation Plan'!D79</x:f>
        <x:v>brown cup A (C, RU); white cup A (O, RU)</x:v>
      </x:c>
      <x:c r="E79" s="14" t="n">
        <x:f>'Evaluation Plan'!E79</x:f>
        <x:v>76</x:v>
      </x:c>
      <x:c r="F79" s="14" t="n">
        <x:f>'Evaluation Plan'!F79</x:f>
        <x:v>105</x:v>
      </x:c>
      <x:c r="G79" s="13" t="str">
        <x:f>'Evaluation Plan'!G79</x:f>
        <x:v>Exact direct-category manipulation prompt from training episode 105. The transfer target, state, and pose are preserved; only the competing brown cup is replaced by white cup A. The full control scene is upright because its paired transfer instruction queries open/closed.</x:v>
      </x:c>
      <x:c r="H79" s="13" t="str">
        <x:f>'Evaluation Plan'!H79</x:f>
        <x:v>brown cup A</x:v>
      </x:c>
      <x:c r="I79" s="13"/>
      <x:c r="J79" s="15" t="str">
        <x:f>'Evaluation Plan'!J79</x:f>
        <x:v>Matched manipulation control</x:v>
      </x:c>
      <x:c r="K79" s="14" t="str">
        <x:f>'Evaluation Plan'!K79</x:f>
        <x:v>SR-CT19</x:v>
      </x:c>
      <x:c r="L79" s="14" t="str">
        <x:f>'Evaluation Plan'!L79</x:f>
        <x:v>N/A</x:v>
      </x:c>
      <x:c r="M79" s="14" t="str">
        <x:f>'Evaluation Plan'!M79</x:f>
        <x:v>brown cup</x:v>
      </x:c>
      <x:c r="N79" s="14" t="n">
        <x:f>'Evaluation Plan'!N79</x:f>
        <x:v>2</x:v>
      </x:c>
      <x:c r="O79" s="14" t="n">
        <x:f>'Evaluation Plan'!O79</x:f>
        <x:v>1</x:v>
      </x:c>
      <x:c r="P79" s="14" t="str">
        <x:f>'Evaluation Plan'!P79</x:f>
        <x:v>Empty</x:v>
      </x:c>
      <x:c r="Q79" s="13" t="str">
        <x:f>'Evaluation Plan'!Q79</x:f>
        <x:v>One-object-substitution direct-category control</x:v>
      </x:c>
      <x:c r="R79" s="14" t="n">
        <x:f>'Evaluation Plan'!R79</x:f>
        <x:v>3</x:v>
      </x:c>
      <x:c r="S79" s="13" t="str">
        <x:f>'Evaluation Plan'!S79</x:f>
        <x:v>Reset brown cup A to its transfer pose. Replace brown cup B with white cup A in the same location and use the states listed in this row; preserve all other objects.</x:v>
      </x:c>
      <x:c r="T79" s="13" t="str">
        <x:f>'Evaluation Plan'!T79</x:f>
        <x:v>Pure recognition/manipulation control: the prompt uniquely names the only object from the target category, while the physical target remains identical to the transfer row. Every object is RU.</x:v>
      </x:c>
      <x:c r="U79" s="13" t="n">
        <x:f>'Evaluation Plan'!U79</x:f>
        <x:v>0</x:v>
      </x:c>
    </x:row>
    <x:row r="80" ht="51" customHeight="1">
      <x:c r="A80" s="5" t="s">
        <x:v>181</x:v>
      </x:c>
      <x:c r="B80" s="4" t="n">
        <x:f>'Evaluation Plan'!B80</x:f>
        <x:v>78</x:v>
      </x:c>
      <x:c r="C80" s="5" t="str">
        <x:f>'Evaluation Plan'!C80</x:f>
        <x:v>Place the upright glass spice container in the bowl.</x:v>
      </x:c>
      <x:c r="D80" s="5" t="str">
        <x:f>'Evaluation Plan'!D80</x:f>
        <x:v>glass spice container B (C, RU); glass spice container A (C, UD); yellow-white striped cup B (O, UD)</x:v>
      </x:c>
      <x:c r="E80" s="4" t="n">
        <x:f>'Evaluation Plan'!E80</x:f>
        <x:v>0</x:v>
      </x:c>
      <x:c r="F80" s="4" t="str">
        <x:f>'Evaluation Plan'!F80</x:f>
        <x:v>179</x:v>
      </x:c>
      <x:c r="G80" s="5" t="str">
        <x:f>'Evaluation Plan'!G80</x:f>
        <x:v>Physical-state and manipulation-trajectory reference under a direct category prompt; the evaluated state word × object-category cell is intentionally absent from training.</x:v>
      </x:c>
      <x:c r="H80" s="5" t="str">
        <x:f>'Evaluation Plan'!H80</x:f>
        <x:v>glass spice container B</x:v>
      </x:c>
      <x:c r="I80" s="5"/>
      <x:c r="J80" s="12" t="str">
        <x:f>'Evaluation Plan'!J80</x:f>
        <x:v>Concept/compositional transfer</x:v>
      </x:c>
      <x:c r="K80" s="4" t="str">
        <x:f>'Evaluation Plan'!K80</x:f>
        <x:v>SR-CT20</x:v>
      </x:c>
      <x:c r="L80" s="4" t="str">
        <x:f>'Evaluation Plan'!L80</x:f>
        <x:v>RU</x:v>
      </x:c>
      <x:c r="M80" s="4" t="str">
        <x:f>'Evaluation Plan'!M80</x:f>
        <x:v>glass spice container</x:v>
      </x:c>
      <x:c r="N80" s="4" t="n">
        <x:f>'Evaluation Plan'!N80</x:f>
        <x:v>3</x:v>
      </x:c>
      <x:c r="O80" s="4" t="n">
        <x:f>'Evaluation Plan'!O80</x:f>
        <x:v>1</x:v>
      </x:c>
      <x:c r="P80" s="4" t="str">
        <x:f>'Evaluation Plan'!P80</x:f>
        <x:v>Empty</x:v>
      </x:c>
      <x:c r="Q80" s="5" t="str">
        <x:f>'Evaluation Plan'!Q80</x:f>
        <x:v>Primary held-out state-object composition</x:v>
      </x:c>
      <x:c r="R80" s="4" t="n">
        <x:f>'Evaluation Plan'!R80</x:f>
        <x:v>3</x:v>
      </x:c>
      <x:c r="S80" s="5" t="str">
        <x:f>'Evaluation Plan'!S80</x:f>
        <x:v>Build the listed same-category discrimination scene with the bowl empty.</x:v>
      </x:c>
      <x:c r="T80" s="5" t="str">
        <x:f>'Evaluation Plan'!T80</x:f>
        <x:v>Two same-category candidates share the non-queried state axis; only the held-out state word identifies the target. The same-category candidates share the orthogonal C/O state (C).</x:v>
      </x:c>
      <x:c r="U80" s="5" t="n">
        <x:f>'Evaluation Plan'!U80</x:f>
        <x:v>0</x:v>
      </x:c>
    </x:row>
    <x:row r="81" ht="51" customHeight="1">
      <x:c r="A81" s="13" t="s">
        <x:v>181</x:v>
      </x:c>
      <x:c r="B81" s="14" t="n">
        <x:f>'Evaluation Plan'!B81</x:f>
        <x:v>79</x:v>
      </x:c>
      <x:c r="C81" s="13" t="str">
        <x:f>'Evaluation Plan'!C81</x:f>
        <x:v>Put a glass spice container in the bowl.</x:v>
      </x:c>
      <x:c r="D81" s="13" t="str">
        <x:f>'Evaluation Plan'!D81</x:f>
        <x:v>glass spice container B (C, RU); brown cup B (C, UD); yellow-white striped cup B (O, UD)</x:v>
      </x:c>
      <x:c r="E81" s="14" t="n">
        <x:f>'Evaluation Plan'!E81</x:f>
        <x:v>78</x:v>
      </x:c>
      <x:c r="F81" s="14" t="n">
        <x:f>'Evaluation Plan'!F81</x:f>
        <x:v>179</x:v>
      </x:c>
      <x:c r="G81" s="13" t="str">
        <x:f>'Evaluation Plan'!G81</x:f>
        <x:v>Exact direct-category manipulation prompt from training episode 179. The transfer target, state, and pose are preserved; only the competing glass spice container is replaced by brown cup B.</x:v>
      </x:c>
      <x:c r="H81" s="13" t="str">
        <x:f>'Evaluation Plan'!H81</x:f>
        <x:v>glass spice container B</x:v>
      </x:c>
      <x:c r="I81" s="13"/>
      <x:c r="J81" s="15" t="str">
        <x:f>'Evaluation Plan'!J81</x:f>
        <x:v>Matched manipulation control</x:v>
      </x:c>
      <x:c r="K81" s="14" t="str">
        <x:f>'Evaluation Plan'!K81</x:f>
        <x:v>SR-CT20</x:v>
      </x:c>
      <x:c r="L81" s="14" t="str">
        <x:f>'Evaluation Plan'!L81</x:f>
        <x:v>N/A</x:v>
      </x:c>
      <x:c r="M81" s="14" t="str">
        <x:f>'Evaluation Plan'!M81</x:f>
        <x:v>glass spice container</x:v>
      </x:c>
      <x:c r="N81" s="14" t="n">
        <x:f>'Evaluation Plan'!N81</x:f>
        <x:v>3</x:v>
      </x:c>
      <x:c r="O81" s="14" t="n">
        <x:f>'Evaluation Plan'!O81</x:f>
        <x:v>1</x:v>
      </x:c>
      <x:c r="P81" s="14" t="str">
        <x:f>'Evaluation Plan'!P81</x:f>
        <x:v>Empty</x:v>
      </x:c>
      <x:c r="Q81" s="13" t="str">
        <x:f>'Evaluation Plan'!Q81</x:f>
        <x:v>One-object-substitution direct-category control</x:v>
      </x:c>
      <x:c r="R81" s="14" t="n">
        <x:f>'Evaluation Plan'!R81</x:f>
        <x:v>3</x:v>
      </x:c>
      <x:c r="S81" s="13" t="str">
        <x:f>'Evaluation Plan'!S81</x:f>
        <x:v>Reset glass spice container B to its transfer pose. Replace glass spice container A with brown cup B in the same location and use the states listed in this row; preserve all other objects.</x:v>
      </x:c>
      <x:c r="T81" s="13" t="str">
        <x:f>'Evaluation Plan'!T81</x:f>
        <x:v>Pure recognition/manipulation control: the prompt uniquely names the only object from the target category, while the physical target remains identical to the transfer row.</x:v>
      </x:c>
      <x:c r="U81" s="13" t="n">
        <x:f>'Evaluation Plan'!U81</x:f>
        <x:v>0</x:v>
      </x:c>
    </x:row>
    <x:row r="82" ht="51" customHeight="1">
      <x:c r="A82" s="5" t="s">
        <x:v>181</x:v>
      </x:c>
      <x:c r="B82" s="4" t="n">
        <x:f>'Evaluation Plan'!B82</x:f>
        <x:v>80</x:v>
      </x:c>
      <x:c r="C82" s="5" t="str">
        <x:f>'Evaluation Plan'!C82</x:f>
        <x:v>Place the upside-down white cup in the bowl.</x:v>
      </x:c>
      <x:c r="D82" s="5" t="str">
        <x:f>'Evaluation Plan'!D82</x:f>
        <x:v>white cup A (O, UD); white cup B (O, RU); glass spice container A (C, RU); yellow-white striped cup B (O, RU)</x:v>
      </x:c>
      <x:c r="E82" s="4" t="n">
        <x:f>'Evaluation Plan'!E82</x:f>
        <x:v>0</x:v>
      </x:c>
      <x:c r="F82" s="4" t="str">
        <x:f>'Evaluation Plan'!F82</x:f>
        <x:v>34</x:v>
      </x:c>
      <x:c r="G82" s="5" t="str">
        <x:f>'Evaluation Plan'!G82</x:f>
        <x:v>Physical-state and manipulation-trajectory reference under a direct category prompt; the evaluated state word × object-category cell is intentionally absent from training.</x:v>
      </x:c>
      <x:c r="H82" s="5" t="str">
        <x:f>'Evaluation Plan'!H82</x:f>
        <x:v>white cup A</x:v>
      </x:c>
      <x:c r="I82" s="5"/>
      <x:c r="J82" s="12" t="str">
        <x:f>'Evaluation Plan'!J82</x:f>
        <x:v>Concept/compositional transfer</x:v>
      </x:c>
      <x:c r="K82" s="4" t="str">
        <x:f>'Evaluation Plan'!K82</x:f>
        <x:v>SR-CT21</x:v>
      </x:c>
      <x:c r="L82" s="4" t="str">
        <x:f>'Evaluation Plan'!L82</x:f>
        <x:v>UD</x:v>
      </x:c>
      <x:c r="M82" s="4" t="str">
        <x:f>'Evaluation Plan'!M82</x:f>
        <x:v>white cup</x:v>
      </x:c>
      <x:c r="N82" s="4" t="n">
        <x:f>'Evaluation Plan'!N82</x:f>
        <x:v>4</x:v>
      </x:c>
      <x:c r="O82" s="4" t="n">
        <x:f>'Evaluation Plan'!O82</x:f>
        <x:v>1</x:v>
      </x:c>
      <x:c r="P82" s="4" t="str">
        <x:f>'Evaluation Plan'!P82</x:f>
        <x:v>Empty</x:v>
      </x:c>
      <x:c r="Q82" s="5" t="str">
        <x:f>'Evaluation Plan'!Q82</x:f>
        <x:v>Primary held-out state-object composition</x:v>
      </x:c>
      <x:c r="R82" s="4" t="n">
        <x:f>'Evaluation Plan'!R82</x:f>
        <x:v>4</x:v>
      </x:c>
      <x:c r="S82" s="5" t="str">
        <x:f>'Evaluation Plan'!S82</x:f>
        <x:v>Build the listed same-category discrimination scene with the bowl empty.</x:v>
      </x:c>
      <x:c r="T82" s="5" t="str">
        <x:f>'Evaluation Plan'!T82</x:f>
        <x:v>Two same-category candidates share the non-queried state axis; only the held-out state word identifies the target. The same-category candidates share the orthogonal C/O state (O).</x:v>
      </x:c>
      <x:c r="U82" s="5" t="n">
        <x:f>'Evaluation Plan'!U82</x:f>
        <x:v>0</x:v>
      </x:c>
    </x:row>
    <x:row r="83" ht="51" customHeight="1">
      <x:c r="A83" s="11" t="s">
        <x:v>181</x:v>
      </x:c>
      <x:c r="B83" s="10" t="n">
        <x:f>'Evaluation Plan'!B83</x:f>
        <x:v>81</x:v>
      </x:c>
      <x:c r="C83" s="11" t="str">
        <x:f>'Evaluation Plan'!C83</x:f>
        <x:v>Place the open yellow-white striped cup in the bowl.</x:v>
      </x:c>
      <x:c r="D83" s="11" t="str">
        <x:f>'Evaluation Plan'!D83</x:f>
        <x:v>yellow-white striped cup B (O, RU); yellow-white striped cup A (C, RU)</x:v>
      </x:c>
      <x:c r="E83" s="10" t="n">
        <x:f>'Evaluation Plan'!E83</x:f>
        <x:v>0</x:v>
      </x:c>
      <x:c r="F83" s="10" t="str">
        <x:f>'Evaluation Plan'!F83</x:f>
        <x:v>53</x:v>
      </x:c>
      <x:c r="G83" s="11" t="str">
        <x:f>'Evaluation Plan'!G83</x:f>
        <x:v>Physical-state and manipulation-trajectory reference under a direct category prompt; the evaluated state word × object-category cell is intentionally absent from training. All objects are upright, matching the context of every explicit open/closed training demonstration.</x:v>
      </x:c>
      <x:c r="H83" s="11" t="str">
        <x:f>'Evaluation Plan'!H83</x:f>
        <x:v>yellow-white striped cup B</x:v>
      </x:c>
      <x:c r="I83" s="11"/>
      <x:c r="J83" s="12" t="str">
        <x:f>'Evaluation Plan'!J83</x:f>
        <x:v>Concept/compositional transfer</x:v>
      </x:c>
      <x:c r="K83" s="10" t="str">
        <x:f>'Evaluation Plan'!K83</x:f>
        <x:v>SR-CT22</x:v>
      </x:c>
      <x:c r="L83" s="10" t="str">
        <x:f>'Evaluation Plan'!L83</x:f>
        <x:v>O</x:v>
      </x:c>
      <x:c r="M83" s="10" t="str">
        <x:f>'Evaluation Plan'!M83</x:f>
        <x:v>yellow-white striped cup</x:v>
      </x:c>
      <x:c r="N83" s="10" t="n">
        <x:f>'Evaluation Plan'!N83</x:f>
        <x:v>2</x:v>
      </x:c>
      <x:c r="O83" s="10" t="n">
        <x:f>'Evaluation Plan'!O83</x:f>
        <x:v>1</x:v>
      </x:c>
      <x:c r="P83" s="10" t="str">
        <x:f>'Evaluation Plan'!P83</x:f>
        <x:v>Empty</x:v>
      </x:c>
      <x:c r="Q83" s="11" t="str">
        <x:f>'Evaluation Plan'!Q83</x:f>
        <x:v>Primary held-out state-object composition</x:v>
      </x:c>
      <x:c r="R83" s="10" t="n">
        <x:f>'Evaluation Plan'!R83</x:f>
        <x:v>4</x:v>
      </x:c>
      <x:c r="S83" s="11" t="str">
        <x:f>'Evaluation Plan'!S83</x:f>
        <x:v>Build the listed same-category discrimination scene with the bowl empty.</x:v>
      </x:c>
      <x:c r="T83" s="11" t="str">
        <x:f>'Evaluation Plan'!T83</x:f>
        <x:v>Two same-category candidates share the non-queried state axis; only the held-out state word identifies the target. The orthogonal orientation axis is fixed: every object is RU.</x:v>
      </x:c>
      <x:c r="U83" s="11" t="n">
        <x:f>'Evaluation Plan'!U83</x:f>
        <x:v>0</x:v>
      </x:c>
    </x:row>
    <x:row r="84" ht="51" customHeight="1">
      <x:c r="A84" s="5" t="s">
        <x:v>181</x:v>
      </x:c>
      <x:c r="B84" s="4" t="n">
        <x:f>'Evaluation Plan'!B84</x:f>
        <x:v>82</x:v>
      </x:c>
      <x:c r="C84" s="5" t="str">
        <x:f>'Evaluation Plan'!C84</x:f>
        <x:v>Place the closed brown cup in the bowl.</x:v>
      </x:c>
      <x:c r="D84" s="5" t="str">
        <x:f>'Evaluation Plan'!D84</x:f>
        <x:v>brown cup A (C, RU); brown cup B (O, RU); yellow-white striped cup A (C, RU)</x:v>
      </x:c>
      <x:c r="E84" s="4" t="n">
        <x:f>'Evaluation Plan'!E84</x:f>
        <x:v>0</x:v>
      </x:c>
      <x:c r="F84" s="4" t="str">
        <x:f>'Evaluation Plan'!F84</x:f>
        <x:v>107</x:v>
      </x:c>
      <x:c r="G84" s="5" t="str">
        <x:f>'Evaluation Plan'!G84</x:f>
        <x:v>Physical-state and manipulation-trajectory reference under a direct category prompt; the evaluated state word × object-category cell is intentionally absent from training. All objects are upright, matching the context of every explicit open/closed training demonstration.</x:v>
      </x:c>
      <x:c r="H84" s="5" t="str">
        <x:f>'Evaluation Plan'!H84</x:f>
        <x:v>brown cup A</x:v>
      </x:c>
      <x:c r="I84" s="5"/>
      <x:c r="J84" s="12" t="str">
        <x:f>'Evaluation Plan'!J84</x:f>
        <x:v>Concept/compositional transfer</x:v>
      </x:c>
      <x:c r="K84" s="4" t="str">
        <x:f>'Evaluation Plan'!K84</x:f>
        <x:v>SR-CT23</x:v>
      </x:c>
      <x:c r="L84" s="4" t="str">
        <x:f>'Evaluation Plan'!L84</x:f>
        <x:v>C</x:v>
      </x:c>
      <x:c r="M84" s="4" t="str">
        <x:f>'Evaluation Plan'!M84</x:f>
        <x:v>brown cup</x:v>
      </x:c>
      <x:c r="N84" s="4" t="n">
        <x:f>'Evaluation Plan'!N84</x:f>
        <x:v>3</x:v>
      </x:c>
      <x:c r="O84" s="4" t="n">
        <x:f>'Evaluation Plan'!O84</x:f>
        <x:v>1</x:v>
      </x:c>
      <x:c r="P84" s="4" t="str">
        <x:f>'Evaluation Plan'!P84</x:f>
        <x:v>Empty</x:v>
      </x:c>
      <x:c r="Q84" s="5" t="str">
        <x:f>'Evaluation Plan'!Q84</x:f>
        <x:v>Primary held-out state-object composition</x:v>
      </x:c>
      <x:c r="R84" s="4" t="n">
        <x:f>'Evaluation Plan'!R84</x:f>
        <x:v>4</x:v>
      </x:c>
      <x:c r="S84" s="5" t="str">
        <x:f>'Evaluation Plan'!S84</x:f>
        <x:v>Build the listed same-category discrimination scene with the bowl empty.</x:v>
      </x:c>
      <x:c r="T84" s="5" t="str">
        <x:f>'Evaluation Plan'!T84</x:f>
        <x:v>Two same-category candidates share the non-queried state axis; only the held-out state word identifies the target. The orthogonal orientation axis is fixed: every object is RU.</x:v>
      </x:c>
      <x:c r="U84" s="5" t="n">
        <x:f>'Evaluation Plan'!U84</x:f>
        <x:v>0</x:v>
      </x:c>
    </x:row>
    <x:row r="85" ht="51" customHeight="1">
      <x:c r="A85" s="11" t="s">
        <x:v>181</x:v>
      </x:c>
      <x:c r="B85" s="10" t="n">
        <x:f>'Evaluation Plan'!B85</x:f>
        <x:v>83</x:v>
      </x:c>
      <x:c r="C85" s="11" t="str">
        <x:f>'Evaluation Plan'!C85</x:f>
        <x:v>Place the upright glass spice container in the bowl.</x:v>
      </x:c>
      <x:c r="D85" s="11" t="str">
        <x:f>'Evaluation Plan'!D85</x:f>
        <x:v>glass spice container B (O, RU); glass spice container A (O, UD); brown cup B (O, UD); white cup A (C, RU)</x:v>
      </x:c>
      <x:c r="E85" s="10" t="n">
        <x:f>'Evaluation Plan'!E85</x:f>
        <x:v>0</x:v>
      </x:c>
      <x:c r="F85" s="10" t="str">
        <x:f>'Evaluation Plan'!F85</x:f>
        <x:v>183</x:v>
      </x:c>
      <x:c r="G85" s="11" t="str">
        <x:f>'Evaluation Plan'!G85</x:f>
        <x:v>Physical-state and manipulation-trajectory reference under a direct category prompt; the evaluated state word × object-category cell is intentionally absent from training.</x:v>
      </x:c>
      <x:c r="H85" s="11" t="str">
        <x:f>'Evaluation Plan'!H85</x:f>
        <x:v>glass spice container B</x:v>
      </x:c>
      <x:c r="I85" s="11"/>
      <x:c r="J85" s="12" t="str">
        <x:f>'Evaluation Plan'!J85</x:f>
        <x:v>Concept/compositional transfer</x:v>
      </x:c>
      <x:c r="K85" s="10" t="str">
        <x:f>'Evaluation Plan'!K85</x:f>
        <x:v>SR-CT24</x:v>
      </x:c>
      <x:c r="L85" s="10" t="str">
        <x:f>'Evaluation Plan'!L85</x:f>
        <x:v>RU</x:v>
      </x:c>
      <x:c r="M85" s="10" t="str">
        <x:f>'Evaluation Plan'!M85</x:f>
        <x:v>glass spice container</x:v>
      </x:c>
      <x:c r="N85" s="10" t="n">
        <x:f>'Evaluation Plan'!N85</x:f>
        <x:v>4</x:v>
      </x:c>
      <x:c r="O85" s="10" t="n">
        <x:f>'Evaluation Plan'!O85</x:f>
        <x:v>1</x:v>
      </x:c>
      <x:c r="P85" s="10" t="str">
        <x:f>'Evaluation Plan'!P85</x:f>
        <x:v>Empty</x:v>
      </x:c>
      <x:c r="Q85" s="11" t="str">
        <x:f>'Evaluation Plan'!Q85</x:f>
        <x:v>Primary held-out state-object composition</x:v>
      </x:c>
      <x:c r="R85" s="10" t="n">
        <x:f>'Evaluation Plan'!R85</x:f>
        <x:v>4</x:v>
      </x:c>
      <x:c r="S85" s="11" t="str">
        <x:f>'Evaluation Plan'!S85</x:f>
        <x:v>Build the listed same-category discrimination scene with the bowl empty.</x:v>
      </x:c>
      <x:c r="T85" s="11" t="str">
        <x:f>'Evaluation Plan'!T85</x:f>
        <x:v>Two same-category candidates share the non-queried state axis; only the held-out state word identifies the target. The same-category candidates share the orthogonal C/O state (O).</x:v>
      </x:c>
      <x:c r="U85" s="11" t="n">
        <x:f>'Evaluation Plan'!U85</x:f>
        <x:v>0</x:v>
      </x:c>
    </x:row>
    <x:row r="86" ht="51" customHeight="1">
      <x:c r="A86" s="5" t="s">
        <x:v>181</x:v>
      </x:c>
      <x:c r="B86" s="4" t="n">
        <x:f>'Evaluation Plan'!B86</x:f>
        <x:v>84</x:v>
      </x:c>
      <x:c r="C86" s="5" t="str">
        <x:f>'Evaluation Plan'!C86</x:f>
        <x:v>Place the upside-down white cup in the bowl.</x:v>
      </x:c>
      <x:c r="D86" s="5" t="str">
        <x:f>'Evaluation Plan'!D86</x:f>
        <x:v>white cup A (C, UD); white cup B (C, RU)</x:v>
      </x:c>
      <x:c r="E86" s="4" t="n">
        <x:f>'Evaluation Plan'!E86</x:f>
        <x:v>0</x:v>
      </x:c>
      <x:c r="F86" s="4" t="str">
        <x:f>'Evaluation Plan'!F86</x:f>
        <x:v>39</x:v>
      </x:c>
      <x:c r="G86" s="5" t="str">
        <x:f>'Evaluation Plan'!G86</x:f>
        <x:v>Physical-state and manipulation-trajectory reference under a direct category prompt; the evaluated state word × object-category cell is intentionally absent from training.</x:v>
      </x:c>
      <x:c r="H86" s="5" t="str">
        <x:f>'Evaluation Plan'!H86</x:f>
        <x:v>white cup A</x:v>
      </x:c>
      <x:c r="I86" s="5"/>
      <x:c r="J86" s="12" t="str">
        <x:f>'Evaluation Plan'!J86</x:f>
        <x:v>Concept/compositional transfer</x:v>
      </x:c>
      <x:c r="K86" s="4" t="str">
        <x:f>'Evaluation Plan'!K86</x:f>
        <x:v>SR-CT25</x:v>
      </x:c>
      <x:c r="L86" s="4" t="str">
        <x:f>'Evaluation Plan'!L86</x:f>
        <x:v>UD</x:v>
      </x:c>
      <x:c r="M86" s="4" t="str">
        <x:f>'Evaluation Plan'!M86</x:f>
        <x:v>white cup</x:v>
      </x:c>
      <x:c r="N86" s="4" t="n">
        <x:f>'Evaluation Plan'!N86</x:f>
        <x:v>2</x:v>
      </x:c>
      <x:c r="O86" s="4" t="n">
        <x:f>'Evaluation Plan'!O86</x:f>
        <x:v>1</x:v>
      </x:c>
      <x:c r="P86" s="4" t="str">
        <x:f>'Evaluation Plan'!P86</x:f>
        <x:v>Empty</x:v>
      </x:c>
      <x:c r="Q86" s="5" t="str">
        <x:f>'Evaluation Plan'!Q86</x:f>
        <x:v>Primary held-out state-object composition</x:v>
      </x:c>
      <x:c r="R86" s="4" t="n">
        <x:f>'Evaluation Plan'!R86</x:f>
        <x:v>4</x:v>
      </x:c>
      <x:c r="S86" s="5" t="str">
        <x:f>'Evaluation Plan'!S86</x:f>
        <x:v>Build the listed same-category discrimination scene with the bowl empty.</x:v>
      </x:c>
      <x:c r="T86" s="5" t="str">
        <x:f>'Evaluation Plan'!T86</x:f>
        <x:v>Two same-category candidates share the non-queried state axis; only the held-out state word identifies the target. The same-category candidates share the orthogonal C/O state (C).</x:v>
      </x:c>
      <x:c r="U86" s="5" t="n">
        <x:f>'Evaluation Plan'!U86</x:f>
        <x:v>0</x:v>
      </x:c>
    </x:row>
    <x:row r="87" ht="51" customHeight="1">
      <x:c r="A87" s="11" t="s">
        <x:v>181</x:v>
      </x:c>
      <x:c r="B87" s="10" t="n">
        <x:f>'Evaluation Plan'!B87</x:f>
        <x:v>85</x:v>
      </x:c>
      <x:c r="C87" s="11" t="str">
        <x:f>'Evaluation Plan'!C87</x:f>
        <x:v>Place the open yellow-white striped cup in the bowl.</x:v>
      </x:c>
      <x:c r="D87" s="11" t="str">
        <x:f>'Evaluation Plan'!D87</x:f>
        <x:v>yellow-white striped cup B (O, RU); yellow-white striped cup A (C, RU); brown cup B (O, RU)</x:v>
      </x:c>
      <x:c r="E87" s="10" t="n">
        <x:f>'Evaluation Plan'!E87</x:f>
        <x:v>0</x:v>
      </x:c>
      <x:c r="F87" s="10" t="str">
        <x:f>'Evaluation Plan'!F87</x:f>
        <x:v>64</x:v>
      </x:c>
      <x:c r="G87" s="11" t="str">
        <x:f>'Evaluation Plan'!G87</x:f>
        <x:v>Physical-state and manipulation-trajectory reference under a direct category prompt; the evaluated state word × object-category cell is intentionally absent from training. All objects are upright, matching the context of every explicit open/closed training demonstration.</x:v>
      </x:c>
      <x:c r="H87" s="11" t="str">
        <x:f>'Evaluation Plan'!H87</x:f>
        <x:v>yellow-white striped cup B</x:v>
      </x:c>
      <x:c r="I87" s="11"/>
      <x:c r="J87" s="12" t="str">
        <x:f>'Evaluation Plan'!J87</x:f>
        <x:v>Concept/compositional transfer</x:v>
      </x:c>
      <x:c r="K87" s="10" t="str">
        <x:f>'Evaluation Plan'!K87</x:f>
        <x:v>SR-CT26</x:v>
      </x:c>
      <x:c r="L87" s="10" t="str">
        <x:f>'Evaluation Plan'!L87</x:f>
        <x:v>O</x:v>
      </x:c>
      <x:c r="M87" s="10" t="str">
        <x:f>'Evaluation Plan'!M87</x:f>
        <x:v>yellow-white striped cup</x:v>
      </x:c>
      <x:c r="N87" s="10" t="n">
        <x:f>'Evaluation Plan'!N87</x:f>
        <x:v>3</x:v>
      </x:c>
      <x:c r="O87" s="10" t="n">
        <x:f>'Evaluation Plan'!O87</x:f>
        <x:v>1</x:v>
      </x:c>
      <x:c r="P87" s="10" t="str">
        <x:f>'Evaluation Plan'!P87</x:f>
        <x:v>Empty</x:v>
      </x:c>
      <x:c r="Q87" s="11" t="str">
        <x:f>'Evaluation Plan'!Q87</x:f>
        <x:v>Primary held-out state-object composition</x:v>
      </x:c>
      <x:c r="R87" s="10" t="n">
        <x:f>'Evaluation Plan'!R87</x:f>
        <x:v>4</x:v>
      </x:c>
      <x:c r="S87" s="11" t="str">
        <x:f>'Evaluation Plan'!S87</x:f>
        <x:v>Build the listed same-category discrimination scene with the bowl empty.</x:v>
      </x:c>
      <x:c r="T87" s="11" t="str">
        <x:f>'Evaluation Plan'!T87</x:f>
        <x:v>Two same-category candidates share the non-queried state axis; only the held-out state word identifies the target. The orthogonal orientation axis is fixed: every object is RU.</x:v>
      </x:c>
      <x:c r="U87" s="11" t="n">
        <x:f>'Evaluation Plan'!U87</x:f>
        <x:v>0</x:v>
      </x:c>
    </x:row>
    <x:row r="88" ht="51" customHeight="1">
      <x:c r="A88" s="5" t="s">
        <x:v>181</x:v>
      </x:c>
      <x:c r="B88" s="4" t="n">
        <x:f>'Evaluation Plan'!B88</x:f>
        <x:v>86</x:v>
      </x:c>
      <x:c r="C88" s="5" t="str">
        <x:f>'Evaluation Plan'!C88</x:f>
        <x:v>Place the closed brown cup in the bowl.</x:v>
      </x:c>
      <x:c r="D88" s="5" t="str">
        <x:f>'Evaluation Plan'!D88</x:f>
        <x:v>brown cup A (C, RU); brown cup B (O, RU); glass spice container A (C, RU); white cup B (O, RU)</x:v>
      </x:c>
      <x:c r="E88" s="4" t="n">
        <x:f>'Evaluation Plan'!E88</x:f>
        <x:v>0</x:v>
      </x:c>
      <x:c r="F88" s="4" t="str">
        <x:f>'Evaluation Plan'!F88</x:f>
        <x:v>143</x:v>
      </x:c>
      <x:c r="G88" s="5" t="str">
        <x:f>'Evaluation Plan'!G88</x:f>
        <x:v>Physical-state and manipulation-trajectory reference under a direct category prompt; the evaluated state word × object-category cell is intentionally absent from training. All objects are upright, matching the context of every explicit open/closed training demonstration.</x:v>
      </x:c>
      <x:c r="H88" s="5" t="str">
        <x:f>'Evaluation Plan'!H88</x:f>
        <x:v>brown cup A</x:v>
      </x:c>
      <x:c r="I88" s="5"/>
      <x:c r="J88" s="12" t="str">
        <x:f>'Evaluation Plan'!J88</x:f>
        <x:v>Concept/compositional transfer</x:v>
      </x:c>
      <x:c r="K88" s="4" t="str">
        <x:f>'Evaluation Plan'!K88</x:f>
        <x:v>SR-CT27</x:v>
      </x:c>
      <x:c r="L88" s="4" t="str">
        <x:f>'Evaluation Plan'!L88</x:f>
        <x:v>C</x:v>
      </x:c>
      <x:c r="M88" s="4" t="str">
        <x:f>'Evaluation Plan'!M88</x:f>
        <x:v>brown cup</x:v>
      </x:c>
      <x:c r="N88" s="4" t="n">
        <x:f>'Evaluation Plan'!N88</x:f>
        <x:v>4</x:v>
      </x:c>
      <x:c r="O88" s="4" t="n">
        <x:f>'Evaluation Plan'!O88</x:f>
        <x:v>1</x:v>
      </x:c>
      <x:c r="P88" s="4" t="str">
        <x:f>'Evaluation Plan'!P88</x:f>
        <x:v>Empty</x:v>
      </x:c>
      <x:c r="Q88" s="5" t="str">
        <x:f>'Evaluation Plan'!Q88</x:f>
        <x:v>Primary held-out state-object composition</x:v>
      </x:c>
      <x:c r="R88" s="4" t="n">
        <x:f>'Evaluation Plan'!R88</x:f>
        <x:v>4</x:v>
      </x:c>
      <x:c r="S88" s="5" t="str">
        <x:f>'Evaluation Plan'!S88</x:f>
        <x:v>Build the listed same-category discrimination scene with the bowl empty.</x:v>
      </x:c>
      <x:c r="T88" s="5" t="str">
        <x:f>'Evaluation Plan'!T88</x:f>
        <x:v>Two same-category candidates share the non-queried state axis; only the held-out state word identifies the target. The orthogonal orientation axis is fixed: every object is RU.</x:v>
      </x:c>
      <x:c r="U88" s="5" t="n">
        <x:f>'Evaluation Plan'!U88</x:f>
        <x:v>0</x:v>
      </x:c>
    </x:row>
    <x:row r="89" ht="51" customHeight="1">
      <x:c r="A89" s="11" t="s">
        <x:v>181</x:v>
      </x:c>
      <x:c r="B89" s="10" t="n">
        <x:f>'Evaluation Plan'!B89</x:f>
        <x:v>87</x:v>
      </x:c>
      <x:c r="C89" s="11" t="str">
        <x:f>'Evaluation Plan'!C89</x:f>
        <x:v>Place the upright glass spice container in the bowl.</x:v>
      </x:c>
      <x:c r="D89" s="11" t="str">
        <x:f>'Evaluation Plan'!D89</x:f>
        <x:v>glass spice container B (C, RU); glass spice container A (C, UD)</x:v>
      </x:c>
      <x:c r="E89" s="10" t="n">
        <x:f>'Evaluation Plan'!E89</x:f>
        <x:v>0</x:v>
      </x:c>
      <x:c r="F89" s="10" t="str">
        <x:f>'Evaluation Plan'!F89</x:f>
        <x:v>182</x:v>
      </x:c>
      <x:c r="G89" s="11" t="str">
        <x:f>'Evaluation Plan'!G89</x:f>
        <x:v>Physical-state and manipulation-trajectory reference under a direct category prompt; the evaluated state word × object-category cell is intentionally absent from training.</x:v>
      </x:c>
      <x:c r="H89" s="11" t="str">
        <x:f>'Evaluation Plan'!H89</x:f>
        <x:v>glass spice container B</x:v>
      </x:c>
      <x:c r="I89" s="11"/>
      <x:c r="J89" s="12" t="str">
        <x:f>'Evaluation Plan'!J89</x:f>
        <x:v>Concept/compositional transfer</x:v>
      </x:c>
      <x:c r="K89" s="10" t="str">
        <x:f>'Evaluation Plan'!K89</x:f>
        <x:v>SR-CT28</x:v>
      </x:c>
      <x:c r="L89" s="10" t="str">
        <x:f>'Evaluation Plan'!L89</x:f>
        <x:v>RU</x:v>
      </x:c>
      <x:c r="M89" s="10" t="str">
        <x:f>'Evaluation Plan'!M89</x:f>
        <x:v>glass spice container</x:v>
      </x:c>
      <x:c r="N89" s="10" t="n">
        <x:f>'Evaluation Plan'!N89</x:f>
        <x:v>2</x:v>
      </x:c>
      <x:c r="O89" s="10" t="n">
        <x:f>'Evaluation Plan'!O89</x:f>
        <x:v>1</x:v>
      </x:c>
      <x:c r="P89" s="10" t="str">
        <x:f>'Evaluation Plan'!P89</x:f>
        <x:v>Empty</x:v>
      </x:c>
      <x:c r="Q89" s="11" t="str">
        <x:f>'Evaluation Plan'!Q89</x:f>
        <x:v>Primary held-out state-object composition</x:v>
      </x:c>
      <x:c r="R89" s="10" t="n">
        <x:f>'Evaluation Plan'!R89</x:f>
        <x:v>4</x:v>
      </x:c>
      <x:c r="S89" s="11" t="str">
        <x:f>'Evaluation Plan'!S89</x:f>
        <x:v>Build the listed same-category discrimination scene with the bowl empty.</x:v>
      </x:c>
      <x:c r="T89" s="11" t="str">
        <x:f>'Evaluation Plan'!T89</x:f>
        <x:v>Two same-category candidates share the non-queried state axis; only the held-out state word identifies the target. The same-category candidates share the orthogonal C/O state (C).</x:v>
      </x:c>
      <x:c r="U89" s="11" t="n">
        <x:f>'Evaluation Plan'!U89</x:f>
        <x:v>0</x:v>
      </x:c>
    </x:row>
    <x:row r="90" ht="51" customHeight="1">
      <x:c r="A90" s="5" t="s">
        <x:v>181</x:v>
      </x:c>
      <x:c r="B90" s="4" t="n">
        <x:f>'Evaluation Plan'!B90</x:f>
        <x:v>88</x:v>
      </x:c>
      <x:c r="C90" s="5" t="str">
        <x:f>'Evaluation Plan'!C90</x:f>
        <x:v>Place the upside-down white cup in the bowl.</x:v>
      </x:c>
      <x:c r="D90" s="5" t="str">
        <x:f>'Evaluation Plan'!D90</x:f>
        <x:v>white cup A (O, UD); white cup B (O, RU); brown cup A (C, RU)</x:v>
      </x:c>
      <x:c r="E90" s="4" t="n">
        <x:f>'Evaluation Plan'!E90</x:f>
        <x:v>0</x:v>
      </x:c>
      <x:c r="F90" s="4" t="str">
        <x:f>'Evaluation Plan'!F90</x:f>
        <x:v>49</x:v>
      </x:c>
      <x:c r="G90" s="5" t="str">
        <x:f>'Evaluation Plan'!G90</x:f>
        <x:v>Physical-state and manipulation-trajectory reference under a direct category prompt; the evaluated state word × object-category cell is intentionally absent from training.</x:v>
      </x:c>
      <x:c r="H90" s="5" t="str">
        <x:f>'Evaluation Plan'!H90</x:f>
        <x:v>white cup A</x:v>
      </x:c>
      <x:c r="I90" s="5"/>
      <x:c r="J90" s="12" t="str">
        <x:f>'Evaluation Plan'!J90</x:f>
        <x:v>Concept/compositional transfer</x:v>
      </x:c>
      <x:c r="K90" s="4" t="str">
        <x:f>'Evaluation Plan'!K90</x:f>
        <x:v>SR-CT29</x:v>
      </x:c>
      <x:c r="L90" s="4" t="str">
        <x:f>'Evaluation Plan'!L90</x:f>
        <x:v>UD</x:v>
      </x:c>
      <x:c r="M90" s="4" t="str">
        <x:f>'Evaluation Plan'!M90</x:f>
        <x:v>white cup</x:v>
      </x:c>
      <x:c r="N90" s="4" t="n">
        <x:f>'Evaluation Plan'!N90</x:f>
        <x:v>3</x:v>
      </x:c>
      <x:c r="O90" s="4" t="n">
        <x:f>'Evaluation Plan'!O90</x:f>
        <x:v>1</x:v>
      </x:c>
      <x:c r="P90" s="4" t="str">
        <x:f>'Evaluation Plan'!P90</x:f>
        <x:v>Empty</x:v>
      </x:c>
      <x:c r="Q90" s="5" t="str">
        <x:f>'Evaluation Plan'!Q90</x:f>
        <x:v>Primary held-out state-object composition</x:v>
      </x:c>
      <x:c r="R90" s="4" t="n">
        <x:f>'Evaluation Plan'!R90</x:f>
        <x:v>4</x:v>
      </x:c>
      <x:c r="S90" s="5" t="str">
        <x:f>'Evaluation Plan'!S90</x:f>
        <x:v>Build the listed same-category discrimination scene with the bowl empty.</x:v>
      </x:c>
      <x:c r="T90" s="5" t="str">
        <x:f>'Evaluation Plan'!T90</x:f>
        <x:v>Two same-category candidates share the non-queried state axis; only the held-out state word identifies the target. The same-category candidates share the orthogonal C/O state (O).</x:v>
      </x:c>
      <x:c r="U90" s="5" t="n">
        <x:f>'Evaluation Plan'!U90</x:f>
        <x:v>0</x:v>
      </x:c>
    </x:row>
    <x:row r="91" ht="51" customHeight="1">
      <x:c r="A91" s="11" t="s">
        <x:v>181</x:v>
      </x:c>
      <x:c r="B91" s="10" t="n">
        <x:f>'Evaluation Plan'!B91</x:f>
        <x:v>89</x:v>
      </x:c>
      <x:c r="C91" s="11" t="str">
        <x:f>'Evaluation Plan'!C91</x:f>
        <x:v>Place the open yellow-white striped cup in the bowl.</x:v>
      </x:c>
      <x:c r="D91" s="11" t="str">
        <x:f>'Evaluation Plan'!D91</x:f>
        <x:v>yellow-white striped cup B (O, RU); yellow-white striped cup A (C, RU); glass spice container B (O, RU); white cup A (C, RU)</x:v>
      </x:c>
      <x:c r="E91" s="10" t="n">
        <x:f>'Evaluation Plan'!E91</x:f>
        <x:v>0</x:v>
      </x:c>
      <x:c r="F91" s="10" t="str">
        <x:f>'Evaluation Plan'!F91</x:f>
        <x:v>53</x:v>
      </x:c>
      <x:c r="G91" s="11" t="str">
        <x:f>'Evaluation Plan'!G91</x:f>
        <x:v>Physical-state and manipulation-trajectory reference under a direct category prompt; the evaluated state word × object-category cell is intentionally absent from training. All objects are upright, matching the context of every explicit open/closed training demonstration.</x:v>
      </x:c>
      <x:c r="H91" s="11" t="str">
        <x:f>'Evaluation Plan'!H91</x:f>
        <x:v>yellow-white striped cup B</x:v>
      </x:c>
      <x:c r="I91" s="11"/>
      <x:c r="J91" s="12" t="str">
        <x:f>'Evaluation Plan'!J91</x:f>
        <x:v>Concept/compositional transfer</x:v>
      </x:c>
      <x:c r="K91" s="10" t="str">
        <x:f>'Evaluation Plan'!K91</x:f>
        <x:v>SR-CT30</x:v>
      </x:c>
      <x:c r="L91" s="10" t="str">
        <x:f>'Evaluation Plan'!L91</x:f>
        <x:v>O</x:v>
      </x:c>
      <x:c r="M91" s="10" t="str">
        <x:f>'Evaluation Plan'!M91</x:f>
        <x:v>yellow-white striped cup</x:v>
      </x:c>
      <x:c r="N91" s="10" t="n">
        <x:f>'Evaluation Plan'!N91</x:f>
        <x:v>4</x:v>
      </x:c>
      <x:c r="O91" s="10" t="n">
        <x:f>'Evaluation Plan'!O91</x:f>
        <x:v>1</x:v>
      </x:c>
      <x:c r="P91" s="10" t="str">
        <x:f>'Evaluation Plan'!P91</x:f>
        <x:v>Empty</x:v>
      </x:c>
      <x:c r="Q91" s="11" t="str">
        <x:f>'Evaluation Plan'!Q91</x:f>
        <x:v>Primary held-out state-object composition</x:v>
      </x:c>
      <x:c r="R91" s="10" t="n">
        <x:f>'Evaluation Plan'!R91</x:f>
        <x:v>4</x:v>
      </x:c>
      <x:c r="S91" s="11" t="str">
        <x:f>'Evaluation Plan'!S91</x:f>
        <x:v>Build the listed same-category discrimination scene with the bowl empty.</x:v>
      </x:c>
      <x:c r="T91" s="11" t="str">
        <x:f>'Evaluation Plan'!T91</x:f>
        <x:v>Two same-category candidates share the non-queried state axis; only the held-out state word identifies the target. The orthogonal orientation axis is fixed: every object is RU.</x:v>
      </x:c>
      <x:c r="U91" s="11" t="n">
        <x:f>'Evaluation Plan'!U91</x:f>
        <x:v>0</x:v>
      </x:c>
    </x:row>
    <x:row r="92" ht="51" customHeight="1">
      <x:c r="A92" s="5" t="s">
        <x:v>181</x:v>
      </x:c>
      <x:c r="B92" s="4" t="n">
        <x:f>'Evaluation Plan'!B92</x:f>
        <x:v>90</x:v>
      </x:c>
      <x:c r="C92" s="5" t="str">
        <x:f>'Evaluation Plan'!C92</x:f>
        <x:v>Place the closed brown cup in the bowl.</x:v>
      </x:c>
      <x:c r="D92" s="5" t="str">
        <x:f>'Evaluation Plan'!D92</x:f>
        <x:v>brown cup A (C, RU); brown cup B (O, RU)</x:v>
      </x:c>
      <x:c r="E92" s="4" t="n">
        <x:f>'Evaluation Plan'!E92</x:f>
        <x:v>0</x:v>
      </x:c>
      <x:c r="F92" s="4" t="str">
        <x:f>'Evaluation Plan'!F92</x:f>
        <x:v>129</x:v>
      </x:c>
      <x:c r="G92" s="5" t="str">
        <x:f>'Evaluation Plan'!G92</x:f>
        <x:v>Physical-state and manipulation-trajectory reference under a direct category prompt; the evaluated state word × object-category cell is intentionally absent from training. All objects are upright, matching the context of every explicit open/closed training demonstration.</x:v>
      </x:c>
      <x:c r="H92" s="5" t="str">
        <x:f>'Evaluation Plan'!H92</x:f>
        <x:v>brown cup A</x:v>
      </x:c>
      <x:c r="I92" s="5"/>
      <x:c r="J92" s="12" t="str">
        <x:f>'Evaluation Plan'!J92</x:f>
        <x:v>Concept/compositional transfer</x:v>
      </x:c>
      <x:c r="K92" s="4" t="str">
        <x:f>'Evaluation Plan'!K92</x:f>
        <x:v>SR-CT31</x:v>
      </x:c>
      <x:c r="L92" s="4" t="str">
        <x:f>'Evaluation Plan'!L92</x:f>
        <x:v>C</x:v>
      </x:c>
      <x:c r="M92" s="4" t="str">
        <x:f>'Evaluation Plan'!M92</x:f>
        <x:v>brown cup</x:v>
      </x:c>
      <x:c r="N92" s="4" t="n">
        <x:f>'Evaluation Plan'!N92</x:f>
        <x:v>2</x:v>
      </x:c>
      <x:c r="O92" s="4" t="n">
        <x:f>'Evaluation Plan'!O92</x:f>
        <x:v>1</x:v>
      </x:c>
      <x:c r="P92" s="4" t="str">
        <x:f>'Evaluation Plan'!P92</x:f>
        <x:v>Empty</x:v>
      </x:c>
      <x:c r="Q92" s="5" t="str">
        <x:f>'Evaluation Plan'!Q92</x:f>
        <x:v>Primary held-out state-object composition</x:v>
      </x:c>
      <x:c r="R92" s="4" t="n">
        <x:f>'Evaluation Plan'!R92</x:f>
        <x:v>4</x:v>
      </x:c>
      <x:c r="S92" s="5" t="str">
        <x:f>'Evaluation Plan'!S92</x:f>
        <x:v>Build the listed same-category discrimination scene with the bowl empty.</x:v>
      </x:c>
      <x:c r="T92" s="5" t="str">
        <x:f>'Evaluation Plan'!T92</x:f>
        <x:v>Two same-category candidates share the non-queried state axis; only the held-out state word identifies the target. The orthogonal orientation axis is fixed: every object is RU.</x:v>
      </x:c>
      <x:c r="U92" s="5" t="n">
        <x:f>'Evaluation Plan'!U92</x:f>
        <x:v>0</x:v>
      </x:c>
    </x:row>
    <x:row r="93" ht="51" customHeight="1">
      <x:c r="A93" s="11" t="s">
        <x:v>181</x:v>
      </x:c>
      <x:c r="B93" s="10" t="n">
        <x:f>'Evaluation Plan'!B93</x:f>
        <x:v>91</x:v>
      </x:c>
      <x:c r="C93" s="11" t="str">
        <x:f>'Evaluation Plan'!C93</x:f>
        <x:v>Place the upright glass spice container in the bowl.</x:v>
      </x:c>
      <x:c r="D93" s="11" t="str">
        <x:f>'Evaluation Plan'!D93</x:f>
        <x:v>glass spice container B (O, RU); glass spice container A (O, UD); yellow-white striped cup B (O, UD)</x:v>
      </x:c>
      <x:c r="E93" s="10" t="n">
        <x:f>'Evaluation Plan'!E93</x:f>
        <x:v>0</x:v>
      </x:c>
      <x:c r="F93" s="10" t="str">
        <x:f>'Evaluation Plan'!F93</x:f>
        <x:v>197</x:v>
      </x:c>
      <x:c r="G93" s="11" t="str">
        <x:f>'Evaluation Plan'!G93</x:f>
        <x:v>Physical-state and manipulation-trajectory reference under a direct category prompt; the evaluated state word × object-category cell is intentionally absent from training.</x:v>
      </x:c>
      <x:c r="H93" s="11" t="str">
        <x:f>'Evaluation Plan'!H93</x:f>
        <x:v>glass spice container B</x:v>
      </x:c>
      <x:c r="I93" s="11"/>
      <x:c r="J93" s="12" t="str">
        <x:f>'Evaluation Plan'!J93</x:f>
        <x:v>Concept/compositional transfer</x:v>
      </x:c>
      <x:c r="K93" s="10" t="str">
        <x:f>'Evaluation Plan'!K93</x:f>
        <x:v>SR-CT32</x:v>
      </x:c>
      <x:c r="L93" s="10" t="str">
        <x:f>'Evaluation Plan'!L93</x:f>
        <x:v>RU</x:v>
      </x:c>
      <x:c r="M93" s="10" t="str">
        <x:f>'Evaluation Plan'!M93</x:f>
        <x:v>glass spice container</x:v>
      </x:c>
      <x:c r="N93" s="10" t="n">
        <x:f>'Evaluation Plan'!N93</x:f>
        <x:v>3</x:v>
      </x:c>
      <x:c r="O93" s="10" t="n">
        <x:f>'Evaluation Plan'!O93</x:f>
        <x:v>1</x:v>
      </x:c>
      <x:c r="P93" s="10" t="str">
        <x:f>'Evaluation Plan'!P93</x:f>
        <x:v>Empty</x:v>
      </x:c>
      <x:c r="Q93" s="11" t="str">
        <x:f>'Evaluation Plan'!Q93</x:f>
        <x:v>Primary held-out state-object composition</x:v>
      </x:c>
      <x:c r="R93" s="10" t="n">
        <x:f>'Evaluation Plan'!R93</x:f>
        <x:v>4</x:v>
      </x:c>
      <x:c r="S93" s="11" t="str">
        <x:f>'Evaluation Plan'!S93</x:f>
        <x:v>Build the listed same-category discrimination scene with the bowl empty.</x:v>
      </x:c>
      <x:c r="T93" s="11" t="str">
        <x:f>'Evaluation Plan'!T93</x:f>
        <x:v>Two same-category candidates share the non-queried state axis; only the held-out state word identifies the target. The same-category candidates share the orthogonal C/O state (O).</x:v>
      </x:c>
      <x:c r="U93" s="11" t="n">
        <x:f>'Evaluation Plan'!U93</x:f>
        <x:v>0</x:v>
      </x:c>
    </x:row>
    <x:row r="94" ht="51" customHeight="1">
      <x:c r="A94" s="5" t="s">
        <x:v>181</x:v>
      </x:c>
      <x:c r="B94" s="4" t="n">
        <x:f>'Evaluation Plan'!B94</x:f>
        <x:v>92</x:v>
      </x:c>
      <x:c r="C94" s="5" t="str">
        <x:f>'Evaluation Plan'!C94</x:f>
        <x:v>Place the upside-down white cup in the bowl.</x:v>
      </x:c>
      <x:c r="D94" s="5" t="str">
        <x:f>'Evaluation Plan'!D94</x:f>
        <x:v>white cup A (C, UD); white cup B (C, RU); glass spice container A (C, RU); yellow-white striped cup B (O, RU)</x:v>
      </x:c>
      <x:c r="E94" s="4" t="n">
        <x:f>'Evaluation Plan'!E94</x:f>
        <x:v>0</x:v>
      </x:c>
      <x:c r="F94" s="4" t="str">
        <x:f>'Evaluation Plan'!F94</x:f>
        <x:v>35</x:v>
      </x:c>
      <x:c r="G94" s="5" t="str">
        <x:f>'Evaluation Plan'!G94</x:f>
        <x:v>Physical-state and manipulation-trajectory reference under a direct category prompt; the evaluated state word × object-category cell is intentionally absent from training.</x:v>
      </x:c>
      <x:c r="H94" s="5" t="str">
        <x:f>'Evaluation Plan'!H94</x:f>
        <x:v>white cup A</x:v>
      </x:c>
      <x:c r="I94" s="5"/>
      <x:c r="J94" s="12" t="str">
        <x:f>'Evaluation Plan'!J94</x:f>
        <x:v>Concept/compositional transfer</x:v>
      </x:c>
      <x:c r="K94" s="4" t="str">
        <x:f>'Evaluation Plan'!K94</x:f>
        <x:v>SR-CT33</x:v>
      </x:c>
      <x:c r="L94" s="4" t="str">
        <x:f>'Evaluation Plan'!L94</x:f>
        <x:v>UD</x:v>
      </x:c>
      <x:c r="M94" s="4" t="str">
        <x:f>'Evaluation Plan'!M94</x:f>
        <x:v>white cup</x:v>
      </x:c>
      <x:c r="N94" s="4" t="n">
        <x:f>'Evaluation Plan'!N94</x:f>
        <x:v>4</x:v>
      </x:c>
      <x:c r="O94" s="4" t="n">
        <x:f>'Evaluation Plan'!O94</x:f>
        <x:v>1</x:v>
      </x:c>
      <x:c r="P94" s="4" t="str">
        <x:f>'Evaluation Plan'!P94</x:f>
        <x:v>Empty</x:v>
      </x:c>
      <x:c r="Q94" s="5" t="str">
        <x:f>'Evaluation Plan'!Q94</x:f>
        <x:v>Primary held-out state-object composition</x:v>
      </x:c>
      <x:c r="R94" s="4" t="n">
        <x:f>'Evaluation Plan'!R94</x:f>
        <x:v>4</x:v>
      </x:c>
      <x:c r="S94" s="5" t="str">
        <x:f>'Evaluation Plan'!S94</x:f>
        <x:v>Build the listed same-category discrimination scene with the bowl empty.</x:v>
      </x:c>
      <x:c r="T94" s="5" t="str">
        <x:f>'Evaluation Plan'!T94</x:f>
        <x:v>Two same-category candidates share the non-queried state axis; only the held-out state word identifies the target. The same-category candidates share the orthogonal C/O state (C).</x:v>
      </x:c>
      <x:c r="U94" s="5" t="n">
        <x:f>'Evaluation Plan'!U94</x:f>
        <x:v>0</x:v>
      </x:c>
    </x:row>
    <x:row r="95" ht="51" customHeight="1">
      <x:c r="A95" s="11" t="s">
        <x:v>181</x:v>
      </x:c>
      <x:c r="B95" s="10" t="n">
        <x:f>'Evaluation Plan'!B95</x:f>
        <x:v>93</x:v>
      </x:c>
      <x:c r="C95" s="11" t="str">
        <x:f>'Evaluation Plan'!C95</x:f>
        <x:v>Place the open yellow-white striped cup in the bowl.</x:v>
      </x:c>
      <x:c r="D95" s="11" t="str">
        <x:f>'Evaluation Plan'!D95</x:f>
        <x:v>yellow-white striped cup B (O, RU); yellow-white striped cup A (C, RU)</x:v>
      </x:c>
      <x:c r="E95" s="10" t="n">
        <x:f>'Evaluation Plan'!E95</x:f>
        <x:v>0</x:v>
      </x:c>
      <x:c r="F95" s="10" t="str">
        <x:f>'Evaluation Plan'!F95</x:f>
        <x:v>71</x:v>
      </x:c>
      <x:c r="G95" s="11" t="str">
        <x:f>'Evaluation Plan'!G95</x:f>
        <x:v>Physical-state and manipulation-trajectory reference under a direct category prompt; the evaluated state word × object-category cell is intentionally absent from training. All objects are upright, matching the context of every explicit open/closed training demonstration.</x:v>
      </x:c>
      <x:c r="H95" s="11" t="str">
        <x:f>'Evaluation Plan'!H95</x:f>
        <x:v>yellow-white striped cup B</x:v>
      </x:c>
      <x:c r="I95" s="11"/>
      <x:c r="J95" s="12" t="str">
        <x:f>'Evaluation Plan'!J95</x:f>
        <x:v>Concept/compositional transfer</x:v>
      </x:c>
      <x:c r="K95" s="10" t="str">
        <x:f>'Evaluation Plan'!K95</x:f>
        <x:v>SR-CT34</x:v>
      </x:c>
      <x:c r="L95" s="10" t="str">
        <x:f>'Evaluation Plan'!L95</x:f>
        <x:v>O</x:v>
      </x:c>
      <x:c r="M95" s="10" t="str">
        <x:f>'Evaluation Plan'!M95</x:f>
        <x:v>yellow-white striped cup</x:v>
      </x:c>
      <x:c r="N95" s="10" t="n">
        <x:f>'Evaluation Plan'!N95</x:f>
        <x:v>2</x:v>
      </x:c>
      <x:c r="O95" s="10" t="n">
        <x:f>'Evaluation Plan'!O95</x:f>
        <x:v>1</x:v>
      </x:c>
      <x:c r="P95" s="10" t="str">
        <x:f>'Evaluation Plan'!P95</x:f>
        <x:v>Empty</x:v>
      </x:c>
      <x:c r="Q95" s="11" t="str">
        <x:f>'Evaluation Plan'!Q95</x:f>
        <x:v>Primary held-out state-object composition</x:v>
      </x:c>
      <x:c r="R95" s="10" t="n">
        <x:f>'Evaluation Plan'!R95</x:f>
        <x:v>4</x:v>
      </x:c>
      <x:c r="S95" s="11" t="str">
        <x:f>'Evaluation Plan'!S95</x:f>
        <x:v>Build the listed same-category discrimination scene with the bowl empty.</x:v>
      </x:c>
      <x:c r="T95" s="11" t="str">
        <x:f>'Evaluation Plan'!T95</x:f>
        <x:v>Two same-category candidates share the non-queried state axis; only the held-out state word identifies the target. The orthogonal orientation axis is fixed: every object is RU.</x:v>
      </x:c>
      <x:c r="U95" s="11" t="n">
        <x:f>'Evaluation Plan'!U95</x:f>
        <x:v>0</x:v>
      </x:c>
    </x:row>
    <x:row r="96" ht="51" customHeight="1">
      <x:c r="A96" s="5" t="s">
        <x:v>181</x:v>
      </x:c>
      <x:c r="B96" s="4" t="n">
        <x:f>'Evaluation Plan'!B96</x:f>
        <x:v>94</x:v>
      </x:c>
      <x:c r="C96" s="5" t="str">
        <x:f>'Evaluation Plan'!C96</x:f>
        <x:v>Place the closed brown cup in the bowl.</x:v>
      </x:c>
      <x:c r="D96" s="5" t="str">
        <x:f>'Evaluation Plan'!D96</x:f>
        <x:v>brown cup A (C, RU); brown cup B (O, RU); yellow-white striped cup A (C, RU)</x:v>
      </x:c>
      <x:c r="E96" s="4" t="n">
        <x:f>'Evaluation Plan'!E96</x:f>
        <x:v>0</x:v>
      </x:c>
      <x:c r="F96" s="4" t="str">
        <x:f>'Evaluation Plan'!F96</x:f>
        <x:v>100</x:v>
      </x:c>
      <x:c r="G96" s="5" t="str">
        <x:f>'Evaluation Plan'!G96</x:f>
        <x:v>Physical-state and manipulation-trajectory reference under a direct category prompt; the evaluated state word × object-category cell is intentionally absent from training. All objects are upright, matching the context of every explicit open/closed training demonstration.</x:v>
      </x:c>
      <x:c r="H96" s="5" t="str">
        <x:f>'Evaluation Plan'!H96</x:f>
        <x:v>brown cup A</x:v>
      </x:c>
      <x:c r="I96" s="5"/>
      <x:c r="J96" s="12" t="str">
        <x:f>'Evaluation Plan'!J96</x:f>
        <x:v>Concept/compositional transfer</x:v>
      </x:c>
      <x:c r="K96" s="4" t="str">
        <x:f>'Evaluation Plan'!K96</x:f>
        <x:v>SR-CT35</x:v>
      </x:c>
      <x:c r="L96" s="4" t="str">
        <x:f>'Evaluation Plan'!L96</x:f>
        <x:v>C</x:v>
      </x:c>
      <x:c r="M96" s="4" t="str">
        <x:f>'Evaluation Plan'!M96</x:f>
        <x:v>brown cup</x:v>
      </x:c>
      <x:c r="N96" s="4" t="n">
        <x:f>'Evaluation Plan'!N96</x:f>
        <x:v>3</x:v>
      </x:c>
      <x:c r="O96" s="4" t="n">
        <x:f>'Evaluation Plan'!O96</x:f>
        <x:v>1</x:v>
      </x:c>
      <x:c r="P96" s="4" t="str">
        <x:f>'Evaluation Plan'!P96</x:f>
        <x:v>Empty</x:v>
      </x:c>
      <x:c r="Q96" s="5" t="str">
        <x:f>'Evaluation Plan'!Q96</x:f>
        <x:v>Primary held-out state-object composition</x:v>
      </x:c>
      <x:c r="R96" s="4" t="n">
        <x:f>'Evaluation Plan'!R96</x:f>
        <x:v>4</x:v>
      </x:c>
      <x:c r="S96" s="5" t="str">
        <x:f>'Evaluation Plan'!S96</x:f>
        <x:v>Build the listed same-category discrimination scene with the bowl empty.</x:v>
      </x:c>
      <x:c r="T96" s="5" t="str">
        <x:f>'Evaluation Plan'!T96</x:f>
        <x:v>Two same-category candidates share the non-queried state axis; only the held-out state word identifies the target. The orthogonal orientation axis is fixed: every object is RU.</x:v>
      </x:c>
      <x:c r="U96" s="5" t="n">
        <x:f>'Evaluation Plan'!U96</x:f>
        <x:v>0</x:v>
      </x:c>
    </x:row>
    <x:row r="97" ht="51" customHeight="1">
      <x:c r="A97" s="11" t="s">
        <x:v>181</x:v>
      </x:c>
      <x:c r="B97" s="10" t="n">
        <x:f>'Evaluation Plan'!B97</x:f>
        <x:v>95</x:v>
      </x:c>
      <x:c r="C97" s="11" t="str">
        <x:f>'Evaluation Plan'!C97</x:f>
        <x:v>Place the upright glass spice container in the bowl.</x:v>
      </x:c>
      <x:c r="D97" s="11" t="str">
        <x:f>'Evaluation Plan'!D97</x:f>
        <x:v>glass spice container B (C, RU); glass spice container A (C, UD); brown cup B (O, UD); white cup A (C, RU)</x:v>
      </x:c>
      <x:c r="E97" s="10" t="n">
        <x:f>'Evaluation Plan'!E97</x:f>
        <x:v>0</x:v>
      </x:c>
      <x:c r="F97" s="10" t="str">
        <x:f>'Evaluation Plan'!F97</x:f>
        <x:v>169</x:v>
      </x:c>
      <x:c r="G97" s="11" t="str">
        <x:f>'Evaluation Plan'!G97</x:f>
        <x:v>Physical-state and manipulation-trajectory reference under a direct category prompt; the evaluated state word × object-category cell is intentionally absent from training.</x:v>
      </x:c>
      <x:c r="H97" s="11" t="str">
        <x:f>'Evaluation Plan'!H97</x:f>
        <x:v>glass spice container B</x:v>
      </x:c>
      <x:c r="I97" s="11"/>
      <x:c r="J97" s="12" t="str">
        <x:f>'Evaluation Plan'!J97</x:f>
        <x:v>Concept/compositional transfer</x:v>
      </x:c>
      <x:c r="K97" s="10" t="str">
        <x:f>'Evaluation Plan'!K97</x:f>
        <x:v>SR-CT36</x:v>
      </x:c>
      <x:c r="L97" s="10" t="str">
        <x:f>'Evaluation Plan'!L97</x:f>
        <x:v>RU</x:v>
      </x:c>
      <x:c r="M97" s="10" t="str">
        <x:f>'Evaluation Plan'!M97</x:f>
        <x:v>glass spice container</x:v>
      </x:c>
      <x:c r="N97" s="10" t="n">
        <x:f>'Evaluation Plan'!N97</x:f>
        <x:v>4</x:v>
      </x:c>
      <x:c r="O97" s="10" t="n">
        <x:f>'Evaluation Plan'!O97</x:f>
        <x:v>1</x:v>
      </x:c>
      <x:c r="P97" s="10" t="str">
        <x:f>'Evaluation Plan'!P97</x:f>
        <x:v>Empty</x:v>
      </x:c>
      <x:c r="Q97" s="11" t="str">
        <x:f>'Evaluation Plan'!Q97</x:f>
        <x:v>Primary held-out state-object composition</x:v>
      </x:c>
      <x:c r="R97" s="10" t="n">
        <x:f>'Evaluation Plan'!R97</x:f>
        <x:v>4</x:v>
      </x:c>
      <x:c r="S97" s="11" t="str">
        <x:f>'Evaluation Plan'!S97</x:f>
        <x:v>Build the listed same-category discrimination scene with the bowl empty.</x:v>
      </x:c>
      <x:c r="T97" s="11" t="str">
        <x:f>'Evaluation Plan'!T97</x:f>
        <x:v>Two same-category candidates share the non-queried state axis; only the held-out state word identifies the target. The same-category candidates share the orthogonal C/O state (C).</x:v>
      </x:c>
      <x:c r="U97" s="11" t="n">
        <x:f>'Evaluation Plan'!U97</x:f>
        <x:v>0</x:v>
      </x:c>
    </x:row>
    <x:row r="98" ht="51" customHeight="1">
      <x:c r="A98" s="5" t="s">
        <x:v>181</x:v>
      </x:c>
      <x:c r="B98" s="4" t="n">
        <x:f>'Evaluation Plan'!B98</x:f>
        <x:v>96</x:v>
      </x:c>
      <x:c r="C98" s="5" t="str">
        <x:f>'Evaluation Plan'!C98</x:f>
        <x:v>Place the upside-down white cup in the bowl.</x:v>
      </x:c>
      <x:c r="D98" s="5" t="str">
        <x:f>'Evaluation Plan'!D98</x:f>
        <x:v>white cup A (O, UD); white cup B (O, RU)</x:v>
      </x:c>
      <x:c r="E98" s="4" t="n">
        <x:f>'Evaluation Plan'!E98</x:f>
        <x:v>0</x:v>
      </x:c>
      <x:c r="F98" s="4" t="str">
        <x:f>'Evaluation Plan'!F98</x:f>
        <x:v>30</x:v>
      </x:c>
      <x:c r="G98" s="5" t="str">
        <x:f>'Evaluation Plan'!G98</x:f>
        <x:v>Physical-state and manipulation-trajectory reference under a direct category prompt; the evaluated state word × object-category cell is intentionally absent from training.</x:v>
      </x:c>
      <x:c r="H98" s="5" t="str">
        <x:f>'Evaluation Plan'!H98</x:f>
        <x:v>white cup A</x:v>
      </x:c>
      <x:c r="I98" s="5"/>
      <x:c r="J98" s="12" t="str">
        <x:f>'Evaluation Plan'!J98</x:f>
        <x:v>Concept/compositional transfer</x:v>
      </x:c>
      <x:c r="K98" s="4" t="str">
        <x:f>'Evaluation Plan'!K98</x:f>
        <x:v>SR-CT37</x:v>
      </x:c>
      <x:c r="L98" s="4" t="str">
        <x:f>'Evaluation Plan'!L98</x:f>
        <x:v>UD</x:v>
      </x:c>
      <x:c r="M98" s="4" t="str">
        <x:f>'Evaluation Plan'!M98</x:f>
        <x:v>white cup</x:v>
      </x:c>
      <x:c r="N98" s="4" t="n">
        <x:f>'Evaluation Plan'!N98</x:f>
        <x:v>2</x:v>
      </x:c>
      <x:c r="O98" s="4" t="n">
        <x:f>'Evaluation Plan'!O98</x:f>
        <x:v>1</x:v>
      </x:c>
      <x:c r="P98" s="4" t="str">
        <x:f>'Evaluation Plan'!P98</x:f>
        <x:v>Empty</x:v>
      </x:c>
      <x:c r="Q98" s="5" t="str">
        <x:f>'Evaluation Plan'!Q98</x:f>
        <x:v>Primary held-out state-object composition</x:v>
      </x:c>
      <x:c r="R98" s="4" t="n">
        <x:f>'Evaluation Plan'!R98</x:f>
        <x:v>4</x:v>
      </x:c>
      <x:c r="S98" s="5" t="str">
        <x:f>'Evaluation Plan'!S98</x:f>
        <x:v>Build the listed same-category discrimination scene with the bowl empty.</x:v>
      </x:c>
      <x:c r="T98" s="5" t="str">
        <x:f>'Evaluation Plan'!T98</x:f>
        <x:v>Two same-category candidates share the non-queried state axis; only the held-out state word identifies the target. The same-category candidates share the orthogonal C/O state (O).</x:v>
      </x:c>
      <x:c r="U98" s="5" t="n">
        <x:f>'Evaluation Plan'!U98</x:f>
        <x:v>0</x:v>
      </x:c>
    </x:row>
    <x:row r="99" ht="51" customHeight="1">
      <x:c r="A99" s="11" t="s">
        <x:v>181</x:v>
      </x:c>
      <x:c r="B99" s="10" t="n">
        <x:f>'Evaluation Plan'!B99</x:f>
        <x:v>97</x:v>
      </x:c>
      <x:c r="C99" s="11" t="str">
        <x:f>'Evaluation Plan'!C99</x:f>
        <x:v>Place the open yellow-white striped cup in the bowl.</x:v>
      </x:c>
      <x:c r="D99" s="11" t="str">
        <x:f>'Evaluation Plan'!D99</x:f>
        <x:v>yellow-white striped cup B (O, RU); yellow-white striped cup A (C, RU); brown cup B (O, RU)</x:v>
      </x:c>
      <x:c r="E99" s="10" t="n">
        <x:f>'Evaluation Plan'!E99</x:f>
        <x:v>0</x:v>
      </x:c>
      <x:c r="F99" s="10" t="str">
        <x:f>'Evaluation Plan'!F99</x:f>
        <x:v>53</x:v>
      </x:c>
      <x:c r="G99" s="11" t="str">
        <x:f>'Evaluation Plan'!G99</x:f>
        <x:v>Physical-state and manipulation-trajectory reference under a direct category prompt; the evaluated state word × object-category cell is intentionally absent from training. All objects are upright, matching the context of every explicit open/closed training demonstration.</x:v>
      </x:c>
      <x:c r="H99" s="11" t="str">
        <x:f>'Evaluation Plan'!H99</x:f>
        <x:v>yellow-white striped cup B</x:v>
      </x:c>
      <x:c r="I99" s="11"/>
      <x:c r="J99" s="12" t="str">
        <x:f>'Evaluation Plan'!J99</x:f>
        <x:v>Concept/compositional transfer</x:v>
      </x:c>
      <x:c r="K99" s="10" t="str">
        <x:f>'Evaluation Plan'!K99</x:f>
        <x:v>SR-CT38</x:v>
      </x:c>
      <x:c r="L99" s="10" t="str">
        <x:f>'Evaluation Plan'!L99</x:f>
        <x:v>O</x:v>
      </x:c>
      <x:c r="M99" s="10" t="str">
        <x:f>'Evaluation Plan'!M99</x:f>
        <x:v>yellow-white striped cup</x:v>
      </x:c>
      <x:c r="N99" s="10" t="n">
        <x:f>'Evaluation Plan'!N99</x:f>
        <x:v>3</x:v>
      </x:c>
      <x:c r="O99" s="10" t="n">
        <x:f>'Evaluation Plan'!O99</x:f>
        <x:v>1</x:v>
      </x:c>
      <x:c r="P99" s="10" t="str">
        <x:f>'Evaluation Plan'!P99</x:f>
        <x:v>Empty</x:v>
      </x:c>
      <x:c r="Q99" s="11" t="str">
        <x:f>'Evaluation Plan'!Q99</x:f>
        <x:v>Primary held-out state-object composition</x:v>
      </x:c>
      <x:c r="R99" s="10" t="n">
        <x:f>'Evaluation Plan'!R99</x:f>
        <x:v>4</x:v>
      </x:c>
      <x:c r="S99" s="11" t="str">
        <x:f>'Evaluation Plan'!S99</x:f>
        <x:v>Build the listed same-category discrimination scene with the bowl empty.</x:v>
      </x:c>
      <x:c r="T99" s="11" t="str">
        <x:f>'Evaluation Plan'!T99</x:f>
        <x:v>Two same-category candidates share the non-queried state axis; only the held-out state word identifies the target. The orthogonal orientation axis is fixed: every object is RU.</x:v>
      </x:c>
      <x:c r="U99" s="11" t="n">
        <x:f>'Evaluation Plan'!U99</x:f>
        <x:v>0</x:v>
      </x:c>
    </x:row>
    <x:row r="100" ht="51" customHeight="1">
      <x:c r="A100" s="5" t="s">
        <x:v>181</x:v>
      </x:c>
      <x:c r="B100" s="4" t="n">
        <x:f>'Evaluation Plan'!B100</x:f>
        <x:v>98</x:v>
      </x:c>
      <x:c r="C100" s="5" t="str">
        <x:f>'Evaluation Plan'!C100</x:f>
        <x:v>Place the closed brown cup in the bowl.</x:v>
      </x:c>
      <x:c r="D100" s="5" t="str">
        <x:f>'Evaluation Plan'!D100</x:f>
        <x:v>brown cup A (C, RU); brown cup B (O, RU); glass spice container A (C, RU); white cup B (O, RU)</x:v>
      </x:c>
      <x:c r="E100" s="4" t="n">
        <x:f>'Evaluation Plan'!E100</x:f>
        <x:v>0</x:v>
      </x:c>
      <x:c r="F100" s="4" t="str">
        <x:f>'Evaluation Plan'!F100</x:f>
        <x:v>107</x:v>
      </x:c>
      <x:c r="G100" s="5" t="str">
        <x:f>'Evaluation Plan'!G100</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0" s="5" t="str">
        <x:f>'Evaluation Plan'!H100</x:f>
        <x:v>brown cup A</x:v>
      </x:c>
      <x:c r="I100" s="5"/>
      <x:c r="J100" s="12" t="str">
        <x:f>'Evaluation Plan'!J100</x:f>
        <x:v>Concept/compositional transfer</x:v>
      </x:c>
      <x:c r="K100" s="4" t="str">
        <x:f>'Evaluation Plan'!K100</x:f>
        <x:v>SR-CT39</x:v>
      </x:c>
      <x:c r="L100" s="4" t="str">
        <x:f>'Evaluation Plan'!L100</x:f>
        <x:v>C</x:v>
      </x:c>
      <x:c r="M100" s="4" t="str">
        <x:f>'Evaluation Plan'!M100</x:f>
        <x:v>brown cup</x:v>
      </x:c>
      <x:c r="N100" s="4" t="n">
        <x:f>'Evaluation Plan'!N100</x:f>
        <x:v>4</x:v>
      </x:c>
      <x:c r="O100" s="4" t="n">
        <x:f>'Evaluation Plan'!O100</x:f>
        <x:v>1</x:v>
      </x:c>
      <x:c r="P100" s="4" t="str">
        <x:f>'Evaluation Plan'!P100</x:f>
        <x:v>Empty</x:v>
      </x:c>
      <x:c r="Q100" s="5" t="str">
        <x:f>'Evaluation Plan'!Q100</x:f>
        <x:v>Primary held-out state-object composition</x:v>
      </x:c>
      <x:c r="R100" s="4" t="n">
        <x:f>'Evaluation Plan'!R100</x:f>
        <x:v>4</x:v>
      </x:c>
      <x:c r="S100" s="5" t="str">
        <x:f>'Evaluation Plan'!S100</x:f>
        <x:v>Build the listed same-category discrimination scene with the bowl empty.</x:v>
      </x:c>
      <x:c r="T100" s="5" t="str">
        <x:f>'Evaluation Plan'!T100</x:f>
        <x:v>Two same-category candidates share the non-queried state axis; only the held-out state word identifies the target. The orthogonal orientation axis is fixed: every object is RU.</x:v>
      </x:c>
      <x:c r="U100" s="5" t="n">
        <x:f>'Evaluation Plan'!U100</x:f>
        <x:v>0</x:v>
      </x:c>
    </x:row>
    <x:row r="101" ht="51" customHeight="1">
      <x:c r="A101" s="11" t="s">
        <x:v>181</x:v>
      </x:c>
      <x:c r="B101" s="10" t="n">
        <x:f>'Evaluation Plan'!B101</x:f>
        <x:v>99</x:v>
      </x:c>
      <x:c r="C101" s="11" t="str">
        <x:f>'Evaluation Plan'!C101</x:f>
        <x:v>Place the upright glass spice container in the bowl.</x:v>
      </x:c>
      <x:c r="D101" s="11" t="str">
        <x:f>'Evaluation Plan'!D101</x:f>
        <x:v>glass spice container B (O, RU); glass spice container A (O, UD)</x:v>
      </x:c>
      <x:c r="E101" s="10" t="n">
        <x:f>'Evaluation Plan'!E101</x:f>
        <x:v>0</x:v>
      </x:c>
      <x:c r="F101" s="10" t="str">
        <x:f>'Evaluation Plan'!F101</x:f>
        <x:v>153</x:v>
      </x:c>
      <x:c r="G101" s="11" t="str">
        <x:f>'Evaluation Plan'!G101</x:f>
        <x:v>Physical-state and manipulation-trajectory reference under a direct category prompt; the evaluated state word × object-category cell is intentionally absent from training.</x:v>
      </x:c>
      <x:c r="H101" s="11" t="str">
        <x:f>'Evaluation Plan'!H101</x:f>
        <x:v>glass spice container B</x:v>
      </x:c>
      <x:c r="I101" s="11"/>
      <x:c r="J101" s="12" t="str">
        <x:f>'Evaluation Plan'!J101</x:f>
        <x:v>Concept/compositional transfer</x:v>
      </x:c>
      <x:c r="K101" s="10" t="str">
        <x:f>'Evaluation Plan'!K101</x:f>
        <x:v>SR-CT40</x:v>
      </x:c>
      <x:c r="L101" s="10" t="str">
        <x:f>'Evaluation Plan'!L101</x:f>
        <x:v>RU</x:v>
      </x:c>
      <x:c r="M101" s="10" t="str">
        <x:f>'Evaluation Plan'!M101</x:f>
        <x:v>glass spice container</x:v>
      </x:c>
      <x:c r="N101" s="10" t="n">
        <x:f>'Evaluation Plan'!N101</x:f>
        <x:v>2</x:v>
      </x:c>
      <x:c r="O101" s="10" t="n">
        <x:f>'Evaluation Plan'!O101</x:f>
        <x:v>1</x:v>
      </x:c>
      <x:c r="P101" s="10" t="str">
        <x:f>'Evaluation Plan'!P101</x:f>
        <x:v>Empty</x:v>
      </x:c>
      <x:c r="Q101" s="11" t="str">
        <x:f>'Evaluation Plan'!Q101</x:f>
        <x:v>Primary held-out state-object composition</x:v>
      </x:c>
      <x:c r="R101" s="10" t="n">
        <x:f>'Evaluation Plan'!R101</x:f>
        <x:v>4</x:v>
      </x:c>
      <x:c r="S101" s="11" t="str">
        <x:f>'Evaluation Plan'!S101</x:f>
        <x:v>Build the listed same-category discrimination scene with the bowl empty.</x:v>
      </x:c>
      <x:c r="T101" s="11" t="str">
        <x:f>'Evaluation Plan'!T101</x:f>
        <x:v>Two same-category candidates share the non-queried state axis; only the held-out state word identifies the target. The same-category candidates share the orthogonal C/O state (O).</x:v>
      </x:c>
      <x:c r="U101" s="11" t="n">
        <x:f>'Evaluation Plan'!U101</x:f>
        <x:v>0</x:v>
      </x:c>
    </x:row>
    <x:row r="102" ht="51" customHeight="1">
      <x:c r="A102" s="5" t="s">
        <x:v>181</x:v>
      </x:c>
      <x:c r="B102" s="4" t="n">
        <x:f>'Evaluation Plan'!B102</x:f>
        <x:v>100</x:v>
      </x:c>
      <x:c r="C102" s="5" t="str">
        <x:f>'Evaluation Plan'!C102</x:f>
        <x:v>Place the upside-down white cup in the bowl.</x:v>
      </x:c>
      <x:c r="D102" s="5" t="str">
        <x:f>'Evaluation Plan'!D102</x:f>
        <x:v>white cup A (C, UD); white cup B (C, RU); brown cup A (C, RU)</x:v>
      </x:c>
      <x:c r="E102" s="4" t="n">
        <x:f>'Evaluation Plan'!E102</x:f>
        <x:v>0</x:v>
      </x:c>
      <x:c r="F102" s="4" t="str">
        <x:f>'Evaluation Plan'!F102</x:f>
        <x:v>39</x:v>
      </x:c>
      <x:c r="G102" s="5" t="str">
        <x:f>'Evaluation Plan'!G102</x:f>
        <x:v>Physical-state and manipulation-trajectory reference under a direct category prompt; the evaluated state word × object-category cell is intentionally absent from training.</x:v>
      </x:c>
      <x:c r="H102" s="5" t="str">
        <x:f>'Evaluation Plan'!H102</x:f>
        <x:v>white cup A</x:v>
      </x:c>
      <x:c r="I102" s="5"/>
      <x:c r="J102" s="12" t="str">
        <x:f>'Evaluation Plan'!J102</x:f>
        <x:v>Concept/compositional transfer</x:v>
      </x:c>
      <x:c r="K102" s="4" t="str">
        <x:f>'Evaluation Plan'!K102</x:f>
        <x:v>SR-CT41</x:v>
      </x:c>
      <x:c r="L102" s="4" t="str">
        <x:f>'Evaluation Plan'!L102</x:f>
        <x:v>UD</x:v>
      </x:c>
      <x:c r="M102" s="4" t="str">
        <x:f>'Evaluation Plan'!M102</x:f>
        <x:v>white cup</x:v>
      </x:c>
      <x:c r="N102" s="4" t="n">
        <x:f>'Evaluation Plan'!N102</x:f>
        <x:v>3</x:v>
      </x:c>
      <x:c r="O102" s="4" t="n">
        <x:f>'Evaluation Plan'!O102</x:f>
        <x:v>1</x:v>
      </x:c>
      <x:c r="P102" s="4" t="str">
        <x:f>'Evaluation Plan'!P102</x:f>
        <x:v>Empty</x:v>
      </x:c>
      <x:c r="Q102" s="5" t="str">
        <x:f>'Evaluation Plan'!Q102</x:f>
        <x:v>Primary held-out state-object composition</x:v>
      </x:c>
      <x:c r="R102" s="4" t="n">
        <x:f>'Evaluation Plan'!R102</x:f>
        <x:v>4</x:v>
      </x:c>
      <x:c r="S102" s="5" t="str">
        <x:f>'Evaluation Plan'!S102</x:f>
        <x:v>Build the listed same-category discrimination scene with the bowl empty.</x:v>
      </x:c>
      <x:c r="T102" s="5" t="str">
        <x:f>'Evaluation Plan'!T102</x:f>
        <x:v>Two same-category candidates share the non-queried state axis; only the held-out state word identifies the target. The same-category candidates share the orthogonal C/O state (C).</x:v>
      </x:c>
      <x:c r="U102" s="5" t="n">
        <x:f>'Evaluation Plan'!U102</x:f>
        <x:v>0</x:v>
      </x:c>
    </x:row>
    <x:row r="103" ht="51" customHeight="1">
      <x:c r="A103" s="11" t="s">
        <x:v>181</x:v>
      </x:c>
      <x:c r="B103" s="10" t="n">
        <x:f>'Evaluation Plan'!B103</x:f>
        <x:v>101</x:v>
      </x:c>
      <x:c r="C103" s="11" t="str">
        <x:f>'Evaluation Plan'!C103</x:f>
        <x:v>Place the open yellow-white striped cup in the bowl.</x:v>
      </x:c>
      <x:c r="D103" s="11" t="str">
        <x:f>'Evaluation Plan'!D103</x:f>
        <x:v>yellow-white striped cup B (O, RU); yellow-white striped cup A (C, RU); glass spice container B (O, RU); white cup A (C, RU)</x:v>
      </x:c>
      <x:c r="E103" s="10" t="n">
        <x:f>'Evaluation Plan'!E103</x:f>
        <x:v>0</x:v>
      </x:c>
      <x:c r="F103" s="10" t="str">
        <x:f>'Evaluation Plan'!F103</x:f>
        <x:v>72</x:v>
      </x:c>
      <x:c r="G103" s="11" t="str">
        <x:f>'Evaluation Plan'!G103</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3" s="11" t="str">
        <x:f>'Evaluation Plan'!H103</x:f>
        <x:v>yellow-white striped cup B</x:v>
      </x:c>
      <x:c r="I103" s="11"/>
      <x:c r="J103" s="12" t="str">
        <x:f>'Evaluation Plan'!J103</x:f>
        <x:v>Concept/compositional transfer</x:v>
      </x:c>
      <x:c r="K103" s="10" t="str">
        <x:f>'Evaluation Plan'!K103</x:f>
        <x:v>SR-CT42</x:v>
      </x:c>
      <x:c r="L103" s="10" t="str">
        <x:f>'Evaluation Plan'!L103</x:f>
        <x:v>O</x:v>
      </x:c>
      <x:c r="M103" s="10" t="str">
        <x:f>'Evaluation Plan'!M103</x:f>
        <x:v>yellow-white striped cup</x:v>
      </x:c>
      <x:c r="N103" s="10" t="n">
        <x:f>'Evaluation Plan'!N103</x:f>
        <x:v>4</x:v>
      </x:c>
      <x:c r="O103" s="10" t="n">
        <x:f>'Evaluation Plan'!O103</x:f>
        <x:v>1</x:v>
      </x:c>
      <x:c r="P103" s="10" t="str">
        <x:f>'Evaluation Plan'!P103</x:f>
        <x:v>Empty</x:v>
      </x:c>
      <x:c r="Q103" s="11" t="str">
        <x:f>'Evaluation Plan'!Q103</x:f>
        <x:v>Primary held-out state-object composition</x:v>
      </x:c>
      <x:c r="R103" s="10" t="n">
        <x:f>'Evaluation Plan'!R103</x:f>
        <x:v>4</x:v>
      </x:c>
      <x:c r="S103" s="11" t="str">
        <x:f>'Evaluation Plan'!S103</x:f>
        <x:v>Build the listed same-category discrimination scene with the bowl empty.</x:v>
      </x:c>
      <x:c r="T103" s="11" t="str">
        <x:f>'Evaluation Plan'!T103</x:f>
        <x:v>Two same-category candidates share the non-queried state axis; only the held-out state word identifies the target. The orthogonal orientation axis is fixed: every object is RU.</x:v>
      </x:c>
      <x:c r="U103" s="11" t="n">
        <x:f>'Evaluation Plan'!U103</x:f>
        <x:v>0</x:v>
      </x:c>
    </x:row>
    <x:row r="104" ht="51" customHeight="1">
      <x:c r="A104" s="5" t="s">
        <x:v>181</x:v>
      </x:c>
      <x:c r="B104" s="4" t="n">
        <x:f>'Evaluation Plan'!B104</x:f>
        <x:v>102</x:v>
      </x:c>
      <x:c r="C104" s="5" t="str">
        <x:f>'Evaluation Plan'!C104</x:f>
        <x:v>Place the closed brown cup in the bowl.</x:v>
      </x:c>
      <x:c r="D104" s="5" t="str">
        <x:f>'Evaluation Plan'!D104</x:f>
        <x:v>brown cup A (C, RU); brown cup B (O, RU)</x:v>
      </x:c>
      <x:c r="E104" s="4" t="n">
        <x:f>'Evaluation Plan'!E104</x:f>
        <x:v>0</x:v>
      </x:c>
      <x:c r="F104" s="4" t="str">
        <x:f>'Evaluation Plan'!F104</x:f>
        <x:v>102</x:v>
      </x:c>
      <x:c r="G104" s="5" t="str">
        <x:f>'Evaluation Plan'!G104</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4" s="5" t="str">
        <x:f>'Evaluation Plan'!H104</x:f>
        <x:v>brown cup A</x:v>
      </x:c>
      <x:c r="I104" s="5"/>
      <x:c r="J104" s="12" t="str">
        <x:f>'Evaluation Plan'!J104</x:f>
        <x:v>Concept/compositional transfer</x:v>
      </x:c>
      <x:c r="K104" s="4" t="str">
        <x:f>'Evaluation Plan'!K104</x:f>
        <x:v>SR-CT43</x:v>
      </x:c>
      <x:c r="L104" s="4" t="str">
        <x:f>'Evaluation Plan'!L104</x:f>
        <x:v>C</x:v>
      </x:c>
      <x:c r="M104" s="4" t="str">
        <x:f>'Evaluation Plan'!M104</x:f>
        <x:v>brown cup</x:v>
      </x:c>
      <x:c r="N104" s="4" t="n">
        <x:f>'Evaluation Plan'!N104</x:f>
        <x:v>2</x:v>
      </x:c>
      <x:c r="O104" s="4" t="n">
        <x:f>'Evaluation Plan'!O104</x:f>
        <x:v>1</x:v>
      </x:c>
      <x:c r="P104" s="4" t="str">
        <x:f>'Evaluation Plan'!P104</x:f>
        <x:v>Empty</x:v>
      </x:c>
      <x:c r="Q104" s="5" t="str">
        <x:f>'Evaluation Plan'!Q104</x:f>
        <x:v>Primary held-out state-object composition</x:v>
      </x:c>
      <x:c r="R104" s="4" t="n">
        <x:f>'Evaluation Plan'!R104</x:f>
        <x:v>4</x:v>
      </x:c>
      <x:c r="S104" s="5" t="str">
        <x:f>'Evaluation Plan'!S104</x:f>
        <x:v>Build the listed same-category discrimination scene with the bowl empty.</x:v>
      </x:c>
      <x:c r="T104" s="5" t="str">
        <x:f>'Evaluation Plan'!T104</x:f>
        <x:v>Two same-category candidates share the non-queried state axis; only the held-out state word identifies the target. The orthogonal orientation axis is fixed: every object is RU.</x:v>
      </x:c>
      <x:c r="U104" s="5" t="n">
        <x:f>'Evaluation Plan'!U104</x:f>
        <x:v>0</x:v>
      </x:c>
    </x:row>
    <x:row r="105" ht="51" customHeight="1">
      <x:c r="A105" s="11" t="s">
        <x:v>181</x:v>
      </x:c>
      <x:c r="B105" s="10" t="n">
        <x:f>'Evaluation Plan'!B105</x:f>
        <x:v>103</x:v>
      </x:c>
      <x:c r="C105" s="11" t="str">
        <x:f>'Evaluation Plan'!C105</x:f>
        <x:v>Place the upright glass spice container in the bowl.</x:v>
      </x:c>
      <x:c r="D105" s="11" t="str">
        <x:f>'Evaluation Plan'!D105</x:f>
        <x:v>glass spice container B (C, RU); glass spice container A (C, UD); yellow-white striped cup B (O, UD)</x:v>
      </x:c>
      <x:c r="E105" s="10" t="n">
        <x:f>'Evaluation Plan'!E105</x:f>
        <x:v>0</x:v>
      </x:c>
      <x:c r="F105" s="10" t="str">
        <x:f>'Evaluation Plan'!F105</x:f>
        <x:v>172</x:v>
      </x:c>
      <x:c r="G105" s="11" t="str">
        <x:f>'Evaluation Plan'!G105</x:f>
        <x:v>Physical-state and manipulation-trajectory reference under a direct category prompt; the evaluated state word × object-category cell is intentionally absent from training.</x:v>
      </x:c>
      <x:c r="H105" s="11" t="str">
        <x:f>'Evaluation Plan'!H105</x:f>
        <x:v>glass spice container B</x:v>
      </x:c>
      <x:c r="I105" s="11"/>
      <x:c r="J105" s="12" t="str">
        <x:f>'Evaluation Plan'!J105</x:f>
        <x:v>Concept/compositional transfer</x:v>
      </x:c>
      <x:c r="K105" s="10" t="str">
        <x:f>'Evaluation Plan'!K105</x:f>
        <x:v>SR-CT44</x:v>
      </x:c>
      <x:c r="L105" s="10" t="str">
        <x:f>'Evaluation Plan'!L105</x:f>
        <x:v>RU</x:v>
      </x:c>
      <x:c r="M105" s="10" t="str">
        <x:f>'Evaluation Plan'!M105</x:f>
        <x:v>glass spice container</x:v>
      </x:c>
      <x:c r="N105" s="10" t="n">
        <x:f>'Evaluation Plan'!N105</x:f>
        <x:v>3</x:v>
      </x:c>
      <x:c r="O105" s="10" t="n">
        <x:f>'Evaluation Plan'!O105</x:f>
        <x:v>1</x:v>
      </x:c>
      <x:c r="P105" s="10" t="str">
        <x:f>'Evaluation Plan'!P105</x:f>
        <x:v>Empty</x:v>
      </x:c>
      <x:c r="Q105" s="11" t="str">
        <x:f>'Evaluation Plan'!Q105</x:f>
        <x:v>Primary held-out state-object composition</x:v>
      </x:c>
      <x:c r="R105" s="10" t="n">
        <x:f>'Evaluation Plan'!R105</x:f>
        <x:v>4</x:v>
      </x:c>
      <x:c r="S105" s="11" t="str">
        <x:f>'Evaluation Plan'!S105</x:f>
        <x:v>Build the listed same-category discrimination scene with the bowl empty.</x:v>
      </x:c>
      <x:c r="T105" s="11" t="str">
        <x:f>'Evaluation Plan'!T105</x:f>
        <x:v>Two same-category candidates share the non-queried state axis; only the held-out state word identifies the target. The same-category candidates share the orthogonal C/O state (C).</x:v>
      </x:c>
      <x:c r="U105" s="11" t="n">
        <x:f>'Evaluation Plan'!U105</x:f>
        <x:v>0</x:v>
      </x:c>
    </x:row>
    <x:row r="106" ht="51" customHeight="1">
      <x:c r="A106" s="5" t="s">
        <x:v>181</x:v>
      </x:c>
      <x:c r="B106" s="4" t="n">
        <x:f>'Evaluation Plan'!B106</x:f>
        <x:v>104</x:v>
      </x:c>
      <x:c r="C106" s="5" t="str">
        <x:f>'Evaluation Plan'!C106</x:f>
        <x:v>Place the upside-down white cup in the bowl.</x:v>
      </x:c>
      <x:c r="D106" s="5" t="str">
        <x:f>'Evaluation Plan'!D106</x:f>
        <x:v>white cup A (O, UD); white cup B (O, RU); glass spice container A (C, RU); yellow-white striped cup B (O, RU)</x:v>
      </x:c>
      <x:c r="E106" s="4" t="n">
        <x:f>'Evaluation Plan'!E106</x:f>
        <x:v>0</x:v>
      </x:c>
      <x:c r="F106" s="4" t="str">
        <x:f>'Evaluation Plan'!F106</x:f>
        <x:v>32</x:v>
      </x:c>
      <x:c r="G106" s="5" t="str">
        <x:f>'Evaluation Plan'!G106</x:f>
        <x:v>Physical-state and manipulation-trajectory reference under a direct category prompt; the evaluated state word × object-category cell is intentionally absent from training.</x:v>
      </x:c>
      <x:c r="H106" s="5" t="str">
        <x:f>'Evaluation Plan'!H106</x:f>
        <x:v>white cup A</x:v>
      </x:c>
      <x:c r="I106" s="5"/>
      <x:c r="J106" s="12" t="str">
        <x:f>'Evaluation Plan'!J106</x:f>
        <x:v>Concept/compositional transfer</x:v>
      </x:c>
      <x:c r="K106" s="4" t="str">
        <x:f>'Evaluation Plan'!K106</x:f>
        <x:v>SR-CT45</x:v>
      </x:c>
      <x:c r="L106" s="4" t="str">
        <x:f>'Evaluation Plan'!L106</x:f>
        <x:v>UD</x:v>
      </x:c>
      <x:c r="M106" s="4" t="str">
        <x:f>'Evaluation Plan'!M106</x:f>
        <x:v>white cup</x:v>
      </x:c>
      <x:c r="N106" s="4" t="n">
        <x:f>'Evaluation Plan'!N106</x:f>
        <x:v>4</x:v>
      </x:c>
      <x:c r="O106" s="4" t="n">
        <x:f>'Evaluation Plan'!O106</x:f>
        <x:v>1</x:v>
      </x:c>
      <x:c r="P106" s="4" t="str">
        <x:f>'Evaluation Plan'!P106</x:f>
        <x:v>Empty</x:v>
      </x:c>
      <x:c r="Q106" s="5" t="str">
        <x:f>'Evaluation Plan'!Q106</x:f>
        <x:v>Primary held-out state-object composition</x:v>
      </x:c>
      <x:c r="R106" s="4" t="n">
        <x:f>'Evaluation Plan'!R106</x:f>
        <x:v>4</x:v>
      </x:c>
      <x:c r="S106" s="5" t="str">
        <x:f>'Evaluation Plan'!S106</x:f>
        <x:v>Build the listed same-category discrimination scene with the bowl empty.</x:v>
      </x:c>
      <x:c r="T106" s="5" t="str">
        <x:f>'Evaluation Plan'!T106</x:f>
        <x:v>Two same-category candidates share the non-queried state axis; only the held-out state word identifies the target. The same-category candidates share the orthogonal C/O state (O).</x:v>
      </x:c>
      <x:c r="U106" s="5" t="n">
        <x:f>'Evaluation Plan'!U106</x:f>
        <x:v>0</x:v>
      </x:c>
    </x:row>
    <x:row r="107" ht="51" customHeight="1">
      <x:c r="A107" s="11" t="s">
        <x:v>181</x:v>
      </x:c>
      <x:c r="B107" s="10" t="n">
        <x:f>'Evaluation Plan'!B107</x:f>
        <x:v>105</x:v>
      </x:c>
      <x:c r="C107" s="11" t="str">
        <x:f>'Evaluation Plan'!C107</x:f>
        <x:v>Place the open yellow-white striped cup in the bowl.</x:v>
      </x:c>
      <x:c r="D107" s="11" t="str">
        <x:f>'Evaluation Plan'!D107</x:f>
        <x:v>yellow-white striped cup B (O, RU); yellow-white striped cup A (C, RU)</x:v>
      </x:c>
      <x:c r="E107" s="10" t="n">
        <x:f>'Evaluation Plan'!E107</x:f>
        <x:v>0</x:v>
      </x:c>
      <x:c r="F107" s="10" t="str">
        <x:f>'Evaluation Plan'!F107</x:f>
        <x:v>53</x:v>
      </x:c>
      <x:c r="G107" s="11" t="str">
        <x:f>'Evaluation Plan'!G107</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7" s="11" t="str">
        <x:f>'Evaluation Plan'!H107</x:f>
        <x:v>yellow-white striped cup B</x:v>
      </x:c>
      <x:c r="I107" s="11"/>
      <x:c r="J107" s="12" t="str">
        <x:f>'Evaluation Plan'!J107</x:f>
        <x:v>Concept/compositional transfer</x:v>
      </x:c>
      <x:c r="K107" s="10" t="str">
        <x:f>'Evaluation Plan'!K107</x:f>
        <x:v>SR-CT46</x:v>
      </x:c>
      <x:c r="L107" s="10" t="str">
        <x:f>'Evaluation Plan'!L107</x:f>
        <x:v>O</x:v>
      </x:c>
      <x:c r="M107" s="10" t="str">
        <x:f>'Evaluation Plan'!M107</x:f>
        <x:v>yellow-white striped cup</x:v>
      </x:c>
      <x:c r="N107" s="10" t="n">
        <x:f>'Evaluation Plan'!N107</x:f>
        <x:v>2</x:v>
      </x:c>
      <x:c r="O107" s="10" t="n">
        <x:f>'Evaluation Plan'!O107</x:f>
        <x:v>1</x:v>
      </x:c>
      <x:c r="P107" s="10" t="str">
        <x:f>'Evaluation Plan'!P107</x:f>
        <x:v>Empty</x:v>
      </x:c>
      <x:c r="Q107" s="11" t="str">
        <x:f>'Evaluation Plan'!Q107</x:f>
        <x:v>Primary held-out state-object composition</x:v>
      </x:c>
      <x:c r="R107" s="10" t="n">
        <x:f>'Evaluation Plan'!R107</x:f>
        <x:v>4</x:v>
      </x:c>
      <x:c r="S107" s="11" t="str">
        <x:f>'Evaluation Plan'!S107</x:f>
        <x:v>Build the listed same-category discrimination scene with the bowl empty.</x:v>
      </x:c>
      <x:c r="T107" s="11" t="str">
        <x:f>'Evaluation Plan'!T107</x:f>
        <x:v>Two same-category candidates share the non-queried state axis; only the held-out state word identifies the target. The orthogonal orientation axis is fixed: every object is RU.</x:v>
      </x:c>
      <x:c r="U107" s="11" t="n">
        <x:f>'Evaluation Plan'!U107</x:f>
        <x:v>0</x:v>
      </x:c>
    </x:row>
    <x:row r="108" ht="51" customHeight="1">
      <x:c r="A108" s="5" t="s">
        <x:v>181</x:v>
      </x:c>
      <x:c r="B108" s="4" t="n">
        <x:f>'Evaluation Plan'!B108</x:f>
        <x:v>106</x:v>
      </x:c>
      <x:c r="C108" s="5" t="str">
        <x:f>'Evaluation Plan'!C108</x:f>
        <x:v>Place the closed brown cup in the bowl.</x:v>
      </x:c>
      <x:c r="D108" s="5" t="str">
        <x:f>'Evaluation Plan'!D108</x:f>
        <x:v>brown cup A (C, RU); brown cup B (O, RU); yellow-white striped cup A (C, RU)</x:v>
      </x:c>
      <x:c r="E108" s="4" t="n">
        <x:f>'Evaluation Plan'!E108</x:f>
        <x:v>0</x:v>
      </x:c>
      <x:c r="F108" s="4" t="str">
        <x:f>'Evaluation Plan'!F108</x:f>
        <x:v>129</x:v>
      </x:c>
      <x:c r="G108" s="5" t="str">
        <x:f>'Evaluation Plan'!G108</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8" s="5" t="str">
        <x:f>'Evaluation Plan'!H108</x:f>
        <x:v>brown cup A</x:v>
      </x:c>
      <x:c r="I108" s="5"/>
      <x:c r="J108" s="12" t="str">
        <x:f>'Evaluation Plan'!J108</x:f>
        <x:v>Concept/compositional transfer</x:v>
      </x:c>
      <x:c r="K108" s="4" t="str">
        <x:f>'Evaluation Plan'!K108</x:f>
        <x:v>SR-CT47</x:v>
      </x:c>
      <x:c r="L108" s="4" t="str">
        <x:f>'Evaluation Plan'!L108</x:f>
        <x:v>C</x:v>
      </x:c>
      <x:c r="M108" s="4" t="str">
        <x:f>'Evaluation Plan'!M108</x:f>
        <x:v>brown cup</x:v>
      </x:c>
      <x:c r="N108" s="4" t="n">
        <x:f>'Evaluation Plan'!N108</x:f>
        <x:v>3</x:v>
      </x:c>
      <x:c r="O108" s="4" t="n">
        <x:f>'Evaluation Plan'!O108</x:f>
        <x:v>1</x:v>
      </x:c>
      <x:c r="P108" s="4" t="str">
        <x:f>'Evaluation Plan'!P108</x:f>
        <x:v>Empty</x:v>
      </x:c>
      <x:c r="Q108" s="5" t="str">
        <x:f>'Evaluation Plan'!Q108</x:f>
        <x:v>Primary held-out state-object composition</x:v>
      </x:c>
      <x:c r="R108" s="4" t="n">
        <x:f>'Evaluation Plan'!R108</x:f>
        <x:v>4</x:v>
      </x:c>
      <x:c r="S108" s="5" t="str">
        <x:f>'Evaluation Plan'!S108</x:f>
        <x:v>Build the listed same-category discrimination scene with the bowl empty.</x:v>
      </x:c>
      <x:c r="T108" s="5" t="str">
        <x:f>'Evaluation Plan'!T108</x:f>
        <x:v>Two same-category candidates share the non-queried state axis; only the held-out state word identifies the target. The orthogonal orientation axis is fixed: every object is RU.</x:v>
      </x:c>
      <x:c r="U108" s="5" t="n">
        <x:f>'Evaluation Plan'!U108</x:f>
        <x:v>0</x:v>
      </x:c>
    </x:row>
    <x:row r="109" ht="51" customHeight="1">
      <x:c r="A109" s="11" t="s">
        <x:v>181</x:v>
      </x:c>
      <x:c r="B109" s="10" t="n">
        <x:f>'Evaluation Plan'!B109</x:f>
        <x:v>107</x:v>
      </x:c>
      <x:c r="C109" s="11" t="str">
        <x:f>'Evaluation Plan'!C109</x:f>
        <x:v>Place the upright glass spice container in the bowl.</x:v>
      </x:c>
      <x:c r="D109" s="11" t="str">
        <x:f>'Evaluation Plan'!D109</x:f>
        <x:v>glass spice container B (O, RU); glass spice container A (O, UD); brown cup B (O, UD); white cup A (C, RU)</x:v>
      </x:c>
      <x:c r="E109" s="10" t="n">
        <x:f>'Evaluation Plan'!E109</x:f>
        <x:v>0</x:v>
      </x:c>
      <x:c r="F109" s="10" t="str">
        <x:f>'Evaluation Plan'!F109</x:f>
        <x:v>157</x:v>
      </x:c>
      <x:c r="G109" s="11" t="str">
        <x:f>'Evaluation Plan'!G109</x:f>
        <x:v>Physical-state and manipulation-trajectory reference under a direct category prompt; the evaluated state word × object-category cell is intentionally absent from training.</x:v>
      </x:c>
      <x:c r="H109" s="11" t="str">
        <x:f>'Evaluation Plan'!H109</x:f>
        <x:v>glass spice container B</x:v>
      </x:c>
      <x:c r="I109" s="11"/>
      <x:c r="J109" s="12" t="str">
        <x:f>'Evaluation Plan'!J109</x:f>
        <x:v>Concept/compositional transfer</x:v>
      </x:c>
      <x:c r="K109" s="10" t="str">
        <x:f>'Evaluation Plan'!K109</x:f>
        <x:v>SR-CT48</x:v>
      </x:c>
      <x:c r="L109" s="10" t="str">
        <x:f>'Evaluation Plan'!L109</x:f>
        <x:v>RU</x:v>
      </x:c>
      <x:c r="M109" s="10" t="str">
        <x:f>'Evaluation Plan'!M109</x:f>
        <x:v>glass spice container</x:v>
      </x:c>
      <x:c r="N109" s="10" t="n">
        <x:f>'Evaluation Plan'!N109</x:f>
        <x:v>4</x:v>
      </x:c>
      <x:c r="O109" s="10" t="n">
        <x:f>'Evaluation Plan'!O109</x:f>
        <x:v>1</x:v>
      </x:c>
      <x:c r="P109" s="10" t="str">
        <x:f>'Evaluation Plan'!P109</x:f>
        <x:v>Empty</x:v>
      </x:c>
      <x:c r="Q109" s="11" t="str">
        <x:f>'Evaluation Plan'!Q109</x:f>
        <x:v>Primary held-out state-object composition</x:v>
      </x:c>
      <x:c r="R109" s="10" t="n">
        <x:f>'Evaluation Plan'!R109</x:f>
        <x:v>4</x:v>
      </x:c>
      <x:c r="S109" s="11" t="str">
        <x:f>'Evaluation Plan'!S109</x:f>
        <x:v>Build the listed same-category discrimination scene with the bowl empty.</x:v>
      </x:c>
      <x:c r="T109" s="11" t="str">
        <x:f>'Evaluation Plan'!T109</x:f>
        <x:v>Two same-category candidates share the non-queried state axis; only the held-out state word identifies the target. The same-category candidates share the orthogonal C/O state (O).</x:v>
      </x:c>
      <x:c r="U109" s="11" t="n">
        <x:f>'Evaluation Plan'!U109</x:f>
        <x:v>0</x:v>
      </x:c>
    </x:row>
    <x:row r="110" ht="51" customHeight="1">
      <x:c r="A110" s="5" t="s">
        <x:v>181</x:v>
      </x:c>
      <x:c r="B110" s="4" t="n">
        <x:f>'Evaluation Plan'!B110</x:f>
        <x:v>108</x:v>
      </x:c>
      <x:c r="C110" s="5" t="str">
        <x:f>'Evaluation Plan'!C110</x:f>
        <x:v>Place the upside-down white cup in the bowl.</x:v>
      </x:c>
      <x:c r="D110" s="5" t="str">
        <x:f>'Evaluation Plan'!D110</x:f>
        <x:v>white cup A (C, UD); white cup B (C, RU)</x:v>
      </x:c>
      <x:c r="E110" s="4" t="n">
        <x:f>'Evaluation Plan'!E110</x:f>
        <x:v>0</x:v>
      </x:c>
      <x:c r="F110" s="4" t="str">
        <x:f>'Evaluation Plan'!F110</x:f>
        <x:v>35</x:v>
      </x:c>
      <x:c r="G110" s="5" t="str">
        <x:f>'Evaluation Plan'!G110</x:f>
        <x:v>Physical-state and manipulation-trajectory reference under a direct category prompt; the evaluated state word × object-category cell is intentionally absent from training.</x:v>
      </x:c>
      <x:c r="H110" s="5" t="str">
        <x:f>'Evaluation Plan'!H110</x:f>
        <x:v>white cup A</x:v>
      </x:c>
      <x:c r="I110" s="5"/>
      <x:c r="J110" s="12" t="str">
        <x:f>'Evaluation Plan'!J110</x:f>
        <x:v>Concept/compositional transfer</x:v>
      </x:c>
      <x:c r="K110" s="4" t="str">
        <x:f>'Evaluation Plan'!K110</x:f>
        <x:v>SR-CT49</x:v>
      </x:c>
      <x:c r="L110" s="4" t="str">
        <x:f>'Evaluation Plan'!L110</x:f>
        <x:v>UD</x:v>
      </x:c>
      <x:c r="M110" s="4" t="str">
        <x:f>'Evaluation Plan'!M110</x:f>
        <x:v>white cup</x:v>
      </x:c>
      <x:c r="N110" s="4" t="n">
        <x:f>'Evaluation Plan'!N110</x:f>
        <x:v>2</x:v>
      </x:c>
      <x:c r="O110" s="4" t="n">
        <x:f>'Evaluation Plan'!O110</x:f>
        <x:v>1</x:v>
      </x:c>
      <x:c r="P110" s="4" t="str">
        <x:f>'Evaluation Plan'!P110</x:f>
        <x:v>Empty</x:v>
      </x:c>
      <x:c r="Q110" s="5" t="str">
        <x:f>'Evaluation Plan'!Q110</x:f>
        <x:v>Primary held-out state-object composition</x:v>
      </x:c>
      <x:c r="R110" s="4" t="n">
        <x:f>'Evaluation Plan'!R110</x:f>
        <x:v>4</x:v>
      </x:c>
      <x:c r="S110" s="5" t="str">
        <x:f>'Evaluation Plan'!S110</x:f>
        <x:v>Build the listed same-category discrimination scene with the bowl empty.</x:v>
      </x:c>
      <x:c r="T110" s="5" t="str">
        <x:f>'Evaluation Plan'!T110</x:f>
        <x:v>Two same-category candidates share the non-queried state axis; only the held-out state word identifies the target. The same-category candidates share the orthogonal C/O state (C).</x:v>
      </x:c>
      <x:c r="U110" s="5" t="n">
        <x:f>'Evaluation Plan'!U110</x:f>
        <x:v>0</x:v>
      </x:c>
    </x:row>
    <x:row r="111" ht="51" customHeight="1">
      <x:c r="A111" s="11" t="s">
        <x:v>181</x:v>
      </x:c>
      <x:c r="B111" s="10" t="n">
        <x:f>'Evaluation Plan'!B111</x:f>
        <x:v>109</x:v>
      </x:c>
      <x:c r="C111" s="11" t="str">
        <x:f>'Evaluation Plan'!C111</x:f>
        <x:v>Place the open yellow-white striped cup in the bowl.</x:v>
      </x:c>
      <x:c r="D111" s="11" t="str">
        <x:f>'Evaluation Plan'!D111</x:f>
        <x:v>yellow-white striped cup B (O, RU); yellow-white striped cup A (C, RU); brown cup B (O, RU)</x:v>
      </x:c>
      <x:c r="E111" s="10" t="n">
        <x:f>'Evaluation Plan'!E111</x:f>
        <x:v>0</x:v>
      </x:c>
      <x:c r="F111" s="10" t="str">
        <x:f>'Evaluation Plan'!F111</x:f>
        <x:v>64</x:v>
      </x:c>
      <x:c r="G111" s="11" t="str">
        <x:f>'Evaluation Plan'!G111</x:f>
        <x:v>Physical-state and manipulation-trajectory reference under a direct category prompt; the evaluated state word × object-category cell is intentionally absent from training. All objects are upright, matching the context of every explicit open/closed training demonstration.</x:v>
      </x:c>
      <x:c r="H111" s="11" t="str">
        <x:f>'Evaluation Plan'!H111</x:f>
        <x:v>yellow-white striped cup B</x:v>
      </x:c>
      <x:c r="I111" s="11"/>
      <x:c r="J111" s="12" t="str">
        <x:f>'Evaluation Plan'!J111</x:f>
        <x:v>Concept/compositional transfer</x:v>
      </x:c>
      <x:c r="K111" s="10" t="str">
        <x:f>'Evaluation Plan'!K111</x:f>
        <x:v>SR-CT50</x:v>
      </x:c>
      <x:c r="L111" s="10" t="str">
        <x:f>'Evaluation Plan'!L111</x:f>
        <x:v>O</x:v>
      </x:c>
      <x:c r="M111" s="10" t="str">
        <x:f>'Evaluation Plan'!M111</x:f>
        <x:v>yellow-white striped cup</x:v>
      </x:c>
      <x:c r="N111" s="10" t="n">
        <x:f>'Evaluation Plan'!N111</x:f>
        <x:v>3</x:v>
      </x:c>
      <x:c r="O111" s="10" t="n">
        <x:f>'Evaluation Plan'!O111</x:f>
        <x:v>1</x:v>
      </x:c>
      <x:c r="P111" s="10" t="str">
        <x:f>'Evaluation Plan'!P111</x:f>
        <x:v>Empty</x:v>
      </x:c>
      <x:c r="Q111" s="11" t="str">
        <x:f>'Evaluation Plan'!Q111</x:f>
        <x:v>Primary held-out state-object composition</x:v>
      </x:c>
      <x:c r="R111" s="10" t="n">
        <x:f>'Evaluation Plan'!R111</x:f>
        <x:v>4</x:v>
      </x:c>
      <x:c r="S111" s="11" t="str">
        <x:f>'Evaluation Plan'!S111</x:f>
        <x:v>Build the listed same-category discrimination scene with the bowl empty.</x:v>
      </x:c>
      <x:c r="T111" s="11" t="str">
        <x:f>'Evaluation Plan'!T111</x:f>
        <x:v>Two same-category candidates share the non-queried state axis; only the held-out state word identifies the target. The orthogonal orientation axis is fixed: every object is RU.</x:v>
      </x:c>
      <x:c r="U111" s="11" t="n">
        <x:f>'Evaluation Plan'!U111</x:f>
        <x:v>0</x:v>
      </x:c>
    </x:row>
    <x:row r="112" ht="51" customHeight="1">
      <x:c r="A112" s="5" t="s">
        <x:v>181</x:v>
      </x:c>
      <x:c r="B112" s="4" t="n">
        <x:f>'Evaluation Plan'!B112</x:f>
        <x:v>110</x:v>
      </x:c>
      <x:c r="C112" s="5" t="str">
        <x:f>'Evaluation Plan'!C112</x:f>
        <x:v>Place the closed black cup in the bowl.</x:v>
      </x:c>
      <x:c r="D112" s="5" t="str">
        <x:f>'Evaluation Plan'!D112</x:f>
        <x:v>black cup A (C, RU); black cup B (O, RU)</x:v>
      </x:c>
      <x:c r="E112" s="4" t="n">
        <x:f>'Evaluation Plan'!E112</x:f>
        <x:v>0</x:v>
      </x:c>
      <x:c r="F112" s="4" t="n">
        <x:f>'Evaluation Plan'!F112</x:f>
        <x:v>0</x:v>
      </x:c>
      <x:c r="G112" s="5" t="str">
        <x:f>'Evaluation Plan'!G112</x:f>
        <x:v>State-word concept reference from training episode 0; black cups are globally unseen. This is an exact-scene state counterfactual pair, not a direct-name manipulation control.</x:v>
      </x:c>
      <x:c r="H112" s="5" t="str">
        <x:f>'Evaluation Plan'!H112</x:f>
        <x:v>black cup A</x:v>
      </x:c>
      <x:c r="I112" s="5"/>
      <x:c r="J112" s="19" t="str">
        <x:f>'Evaluation Plan'!J112</x:f>
        <x:v>Novel-object state reasoning</x:v>
      </x:c>
      <x:c r="K112" s="4" t="str">
        <x:f>'Evaluation Plan'!K112</x:f>
        <x:v>SR-BLACK-CF01</x:v>
      </x:c>
      <x:c r="L112" s="4" t="str">
        <x:f>'Evaluation Plan'!L112</x:f>
        <x:v>C</x:v>
      </x:c>
      <x:c r="M112" s="4" t="str">
        <x:f>'Evaluation Plan'!M112</x:f>
        <x:v>black cup</x:v>
      </x:c>
      <x:c r="N112" s="4" t="n">
        <x:f>'Evaluation Plan'!N112</x:f>
        <x:v>2</x:v>
      </x:c>
      <x:c r="O112" s="4" t="n">
        <x:f>'Evaluation Plan'!O112</x:f>
        <x:v>1</x:v>
      </x:c>
      <x:c r="P112" s="4" t="str">
        <x:f>'Evaluation Plan'!P112</x:f>
        <x:v>Empty</x:v>
      </x:c>
      <x:c r="Q112" s="5" t="str">
        <x:f>'Evaluation Plan'!Q112</x:f>
        <x:v>Exact-scene counterfactual globally unseen black-cup state reasoning</x:v>
      </x:c>
      <x:c r="R112" s="4" t="n">
        <x:f>'Evaluation Plan'!R112</x:f>
        <x:v>5</x:v>
      </x:c>
      <x:c r="S112" s="5" t="str">
        <x:f>'Evaluation Plan'!S112</x:f>
        <x:v>Build the listed scene with both black cups and an empty bowl.</x:v>
      </x:c>
      <x:c r="T112" s="5" t="str">
        <x:f>'Evaluation Plan'!T112</x:f>
        <x:v>Counterfactual C/O pair: both black cups and every distractor are RU; only the queried state word changes the correct black cup.</x:v>
      </x:c>
      <x:c r="U112" s="5" t="n">
        <x:f>'Evaluation Plan'!U112</x:f>
        <x:v>0</x:v>
      </x:c>
    </x:row>
    <x:row r="113" ht="51" customHeight="1">
      <x:c r="A113" s="11" t="s">
        <x:v>181</x:v>
      </x:c>
      <x:c r="B113" s="10" t="n">
        <x:f>'Evaluation Plan'!B113</x:f>
        <x:v>111</x:v>
      </x:c>
      <x:c r="C113" s="11" t="str">
        <x:f>'Evaluation Plan'!C113</x:f>
        <x:v>Place the open black cup in the bowl.</x:v>
      </x:c>
      <x:c r="D113" s="11" t="str">
        <x:f>'Evaluation Plan'!D113</x:f>
        <x:v>black cup A (C, RU); black cup B (O, RU)</x:v>
      </x:c>
      <x:c r="E113" s="10" t="n">
        <x:f>'Evaluation Plan'!E113</x:f>
        <x:v>110</x:v>
      </x:c>
      <x:c r="F113" s="10" t="n">
        <x:f>'Evaluation Plan'!F113</x:f>
        <x:v>101</x:v>
      </x:c>
      <x:c r="G113" s="11" t="str">
        <x:f>'Evaluation Plan'!G113</x:f>
        <x:v>State-word concept reference from training episode 101; black cups are globally unseen. This is an exact-scene state counterfactual pair, not a direct-name manipulation control.</x:v>
      </x:c>
      <x:c r="H113" s="11" t="str">
        <x:f>'Evaluation Plan'!H113</x:f>
        <x:v>black cup B</x:v>
      </x:c>
      <x:c r="I113" s="11"/>
      <x:c r="J113" s="19" t="str">
        <x:f>'Evaluation Plan'!J113</x:f>
        <x:v>Novel-object state reasoning</x:v>
      </x:c>
      <x:c r="K113" s="10" t="str">
        <x:f>'Evaluation Plan'!K113</x:f>
        <x:v>SR-BLACK-CF01</x:v>
      </x:c>
      <x:c r="L113" s="10" t="str">
        <x:f>'Evaluation Plan'!L113</x:f>
        <x:v>O</x:v>
      </x:c>
      <x:c r="M113" s="10" t="str">
        <x:f>'Evaluation Plan'!M113</x:f>
        <x:v>black cup</x:v>
      </x:c>
      <x:c r="N113" s="10" t="n">
        <x:f>'Evaluation Plan'!N113</x:f>
        <x:v>2</x:v>
      </x:c>
      <x:c r="O113" s="10" t="n">
        <x:f>'Evaluation Plan'!O113</x:f>
        <x:v>1</x:v>
      </x:c>
      <x:c r="P113" s="10" t="str">
        <x:f>'Evaluation Plan'!P113</x:f>
        <x:v>Empty</x:v>
      </x:c>
      <x:c r="Q113" s="11" t="str">
        <x:f>'Evaluation Plan'!Q113</x:f>
        <x:v>Exact-scene counterfactual globally unseen black-cup state reasoning</x:v>
      </x:c>
      <x:c r="R113" s="10" t="n">
        <x:f>'Evaluation Plan'!R113</x:f>
        <x:v>5</x:v>
      </x:c>
      <x:c r="S113" s="11" t="str">
        <x:f>'Evaluation Plan'!S113</x:f>
        <x:v>Reset the moved black cup to its marked pose; preserve the exact scene and change only the state word in the prompt.</x:v>
      </x:c>
      <x:c r="T113" s="11" t="str">
        <x:f>'Evaluation Plan'!T113</x:f>
        <x:v>Counterfactual C/O pair: both black cups and every distractor are RU; only the queried state word changes the correct black cup.</x:v>
      </x:c>
      <x:c r="U113" s="11" t="n">
        <x:f>'Evaluation Plan'!U113</x:f>
        <x:v>0</x:v>
      </x:c>
    </x:row>
    <x:row r="114" ht="51" customHeight="1">
      <x:c r="A114" s="5" t="s">
        <x:v>181</x:v>
      </x:c>
      <x:c r="B114" s="4" t="n">
        <x:f>'Evaluation Plan'!B114</x:f>
        <x:v>112</x:v>
      </x:c>
      <x:c r="C114" s="5" t="str">
        <x:f>'Evaluation Plan'!C114</x:f>
        <x:v>Place the upside-down black cup in the bowl.</x:v>
      </x:c>
      <x:c r="D114" s="5" t="str">
        <x:f>'Evaluation Plan'!D114</x:f>
        <x:v>black cup A (C, UD); black cup B (C, RU); yellow-white striped cup B (O, UD)</x:v>
      </x:c>
      <x:c r="E114" s="4" t="n">
        <x:f>'Evaluation Plan'!E114</x:f>
        <x:v>0</x:v>
      </x:c>
      <x:c r="F114" s="4" t="n">
        <x:f>'Evaluation Plan'!F114</x:f>
        <x:v>78</x:v>
      </x:c>
      <x:c r="G114" s="5" t="str">
        <x:f>'Evaluation Plan'!G114</x:f>
        <x:v>State-word concept reference from training episode 78; black cups are globally unseen. This is an exact-scene state counterfactual pair, not a direct-name manipulation control.</x:v>
      </x:c>
      <x:c r="H114" s="5" t="str">
        <x:f>'Evaluation Plan'!H114</x:f>
        <x:v>black cup A</x:v>
      </x:c>
      <x:c r="I114" s="5"/>
      <x:c r="J114" s="19" t="str">
        <x:f>'Evaluation Plan'!J114</x:f>
        <x:v>Novel-object state reasoning</x:v>
      </x:c>
      <x:c r="K114" s="4" t="str">
        <x:f>'Evaluation Plan'!K114</x:f>
        <x:v>SR-BLACK-CF02</x:v>
      </x:c>
      <x:c r="L114" s="4" t="str">
        <x:f>'Evaluation Plan'!L114</x:f>
        <x:v>UD</x:v>
      </x:c>
      <x:c r="M114" s="4" t="str">
        <x:f>'Evaluation Plan'!M114</x:f>
        <x:v>black cup</x:v>
      </x:c>
      <x:c r="N114" s="4" t="n">
        <x:f>'Evaluation Plan'!N114</x:f>
        <x:v>3</x:v>
      </x:c>
      <x:c r="O114" s="4" t="n">
        <x:f>'Evaluation Plan'!O114</x:f>
        <x:v>1</x:v>
      </x:c>
      <x:c r="P114" s="4" t="str">
        <x:f>'Evaluation Plan'!P114</x:f>
        <x:v>Empty</x:v>
      </x:c>
      <x:c r="Q114" s="5" t="str">
        <x:f>'Evaluation Plan'!Q114</x:f>
        <x:v>Exact-scene counterfactual globally unseen black-cup state reasoning</x:v>
      </x:c>
      <x:c r="R114" s="4" t="n">
        <x:f>'Evaluation Plan'!R114</x:f>
        <x:v>5</x:v>
      </x:c>
      <x:c r="S114" s="5" t="str">
        <x:f>'Evaluation Plan'!S114</x:f>
        <x:v>Build the listed scene with both black cups and an empty bowl.</x:v>
      </x:c>
      <x:c r="T114" s="5" t="str">
        <x:f>'Evaluation Plan'!T114</x:f>
        <x:v>Counterfactual UD/RU pair: both black cups share the orthogonal C/O state (C); only the queried state word changes the correct black cup.</x:v>
      </x:c>
      <x:c r="U114" s="5" t="n">
        <x:f>'Evaluation Plan'!U114</x:f>
        <x:v>0</x:v>
      </x:c>
    </x:row>
    <x:row r="115" ht="51" customHeight="1">
      <x:c r="A115" s="11" t="s">
        <x:v>181</x:v>
      </x:c>
      <x:c r="B115" s="10" t="n">
        <x:f>'Evaluation Plan'!B115</x:f>
        <x:v>113</x:v>
      </x:c>
      <x:c r="C115" s="11" t="str">
        <x:f>'Evaluation Plan'!C115</x:f>
        <x:v>Place the upright black cup in the bowl.</x:v>
      </x:c>
      <x:c r="D115" s="11" t="str">
        <x:f>'Evaluation Plan'!D115</x:f>
        <x:v>black cup A (C, UD); black cup B (C, RU); yellow-white striped cup B (O, UD)</x:v>
      </x:c>
      <x:c r="E115" s="10" t="n">
        <x:f>'Evaluation Plan'!E115</x:f>
        <x:v>112</x:v>
      </x:c>
      <x:c r="F115" s="10" t="n">
        <x:f>'Evaluation Plan'!F115</x:f>
        <x:v>26</x:v>
      </x:c>
      <x:c r="G115" s="11" t="str">
        <x:f>'Evaluation Plan'!G115</x:f>
        <x:v>State-word concept reference from training episode 26; black cups are globally unseen. This is an exact-scene state counterfactual pair, not a direct-name manipulation control.</x:v>
      </x:c>
      <x:c r="H115" s="11" t="str">
        <x:f>'Evaluation Plan'!H115</x:f>
        <x:v>black cup B</x:v>
      </x:c>
      <x:c r="I115" s="11"/>
      <x:c r="J115" s="19" t="str">
        <x:f>'Evaluation Plan'!J115</x:f>
        <x:v>Novel-object state reasoning</x:v>
      </x:c>
      <x:c r="K115" s="10" t="str">
        <x:f>'Evaluation Plan'!K115</x:f>
        <x:v>SR-BLACK-CF02</x:v>
      </x:c>
      <x:c r="L115" s="10" t="str">
        <x:f>'Evaluation Plan'!L115</x:f>
        <x:v>RU</x:v>
      </x:c>
      <x:c r="M115" s="10" t="str">
        <x:f>'Evaluation Plan'!M115</x:f>
        <x:v>black cup</x:v>
      </x:c>
      <x:c r="N115" s="10" t="n">
        <x:f>'Evaluation Plan'!N115</x:f>
        <x:v>3</x:v>
      </x:c>
      <x:c r="O115" s="10" t="n">
        <x:f>'Evaluation Plan'!O115</x:f>
        <x:v>1</x:v>
      </x:c>
      <x:c r="P115" s="10" t="str">
        <x:f>'Evaluation Plan'!P115</x:f>
        <x:v>Empty</x:v>
      </x:c>
      <x:c r="Q115" s="11" t="str">
        <x:f>'Evaluation Plan'!Q115</x:f>
        <x:v>Exact-scene counterfactual globally unseen black-cup state reasoning</x:v>
      </x:c>
      <x:c r="R115" s="10" t="n">
        <x:f>'Evaluation Plan'!R115</x:f>
        <x:v>5</x:v>
      </x:c>
      <x:c r="S115" s="11" t="str">
        <x:f>'Evaluation Plan'!S115</x:f>
        <x:v>Reset the moved black cup to its marked pose; preserve the exact scene and change only the state word in the prompt.</x:v>
      </x:c>
      <x:c r="T115" s="11" t="str">
        <x:f>'Evaluation Plan'!T115</x:f>
        <x:v>Counterfactual UD/RU pair: both black cups share the orthogonal C/O state (C); only the queried state word changes the correct black cup.</x:v>
      </x:c>
      <x:c r="U115" s="11" t="n">
        <x:f>'Evaluation Plan'!U115</x:f>
        <x:v>0</x:v>
      </x:c>
    </x:row>
    <x:row r="116" ht="51" customHeight="1">
      <x:c r="A116" s="5" t="s">
        <x:v>181</x:v>
      </x:c>
      <x:c r="B116" s="4" t="n">
        <x:f>'Evaluation Plan'!B116</x:f>
        <x:v>114</x:v>
      </x:c>
      <x:c r="C116" s="5" t="str">
        <x:f>'Evaluation Plan'!C116</x:f>
        <x:v>Place the closed black cup in the bowl.</x:v>
      </x:c>
      <x:c r="D116" s="5" t="str">
        <x:f>'Evaluation Plan'!D116</x:f>
        <x:v>black cup A (O, RU); black cup B (C, RU); brown cup A (C, RU); glass spice container B (O, RU)</x:v>
      </x:c>
      <x:c r="E116" s="4" t="n">
        <x:f>'Evaluation Plan'!E116</x:f>
        <x:v>0</x:v>
      </x:c>
      <x:c r="F116" s="4" t="n">
        <x:f>'Evaluation Plan'!F116</x:f>
        <x:v>0</x:v>
      </x:c>
      <x:c r="G116" s="5" t="str">
        <x:f>'Evaluation Plan'!G116</x:f>
        <x:v>State-word concept reference from training episode 0; black cups are globally unseen. This is an exact-scene state counterfactual pair, not a direct-name manipulation control.</x:v>
      </x:c>
      <x:c r="H116" s="5" t="str">
        <x:f>'Evaluation Plan'!H116</x:f>
        <x:v>black cup B</x:v>
      </x:c>
      <x:c r="I116" s="5"/>
      <x:c r="J116" s="19" t="str">
        <x:f>'Evaluation Plan'!J116</x:f>
        <x:v>Novel-object state reasoning</x:v>
      </x:c>
      <x:c r="K116" s="4" t="str">
        <x:f>'Evaluation Plan'!K116</x:f>
        <x:v>SR-BLACK-CF03</x:v>
      </x:c>
      <x:c r="L116" s="4" t="str">
        <x:f>'Evaluation Plan'!L116</x:f>
        <x:v>C</x:v>
      </x:c>
      <x:c r="M116" s="4" t="str">
        <x:f>'Evaluation Plan'!M116</x:f>
        <x:v>black cup</x:v>
      </x:c>
      <x:c r="N116" s="4" t="n">
        <x:f>'Evaluation Plan'!N116</x:f>
        <x:v>4</x:v>
      </x:c>
      <x:c r="O116" s="4" t="n">
        <x:f>'Evaluation Plan'!O116</x:f>
        <x:v>1</x:v>
      </x:c>
      <x:c r="P116" s="4" t="str">
        <x:f>'Evaluation Plan'!P116</x:f>
        <x:v>Empty</x:v>
      </x:c>
      <x:c r="Q116" s="5" t="str">
        <x:f>'Evaluation Plan'!Q116</x:f>
        <x:v>Exact-scene counterfactual globally unseen black-cup state reasoning</x:v>
      </x:c>
      <x:c r="R116" s="4" t="n">
        <x:f>'Evaluation Plan'!R116</x:f>
        <x:v>5</x:v>
      </x:c>
      <x:c r="S116" s="5" t="str">
        <x:f>'Evaluation Plan'!S116</x:f>
        <x:v>Build the listed scene with both black cups and an empty bowl.</x:v>
      </x:c>
      <x:c r="T116" s="5" t="str">
        <x:f>'Evaluation Plan'!T116</x:f>
        <x:v>Counterfactual C/O pair: both black cups and every distractor are RU; only the queried state word changes the correct black cup.</x:v>
      </x:c>
      <x:c r="U116" s="5" t="n">
        <x:f>'Evaluation Plan'!U116</x:f>
        <x:v>0</x:v>
      </x:c>
    </x:row>
    <x:row r="117" ht="51" customHeight="1">
      <x:c r="A117" s="11" t="s">
        <x:v>181</x:v>
      </x:c>
      <x:c r="B117" s="10" t="n">
        <x:f>'Evaluation Plan'!B117</x:f>
        <x:v>115</x:v>
      </x:c>
      <x:c r="C117" s="11" t="str">
        <x:f>'Evaluation Plan'!C117</x:f>
        <x:v>Place the open black cup in the bowl.</x:v>
      </x:c>
      <x:c r="D117" s="11" t="str">
        <x:f>'Evaluation Plan'!D117</x:f>
        <x:v>black cup A (O, RU); black cup B (C, RU); brown cup A (C, RU); glass spice container B (O, RU)</x:v>
      </x:c>
      <x:c r="E117" s="10" t="n">
        <x:f>'Evaluation Plan'!E117</x:f>
        <x:v>114</x:v>
      </x:c>
      <x:c r="F117" s="10" t="n">
        <x:f>'Evaluation Plan'!F117</x:f>
        <x:v>101</x:v>
      </x:c>
      <x:c r="G117" s="11" t="str">
        <x:f>'Evaluation Plan'!G117</x:f>
        <x:v>State-word concept reference from training episode 101; black cups are globally unseen. This is an exact-scene state counterfactual pair, not a direct-name manipulation control.</x:v>
      </x:c>
      <x:c r="H117" s="11" t="str">
        <x:f>'Evaluation Plan'!H117</x:f>
        <x:v>black cup A</x:v>
      </x:c>
      <x:c r="I117" s="11"/>
      <x:c r="J117" s="19" t="str">
        <x:f>'Evaluation Plan'!J117</x:f>
        <x:v>Novel-object state reasoning</x:v>
      </x:c>
      <x:c r="K117" s="10" t="str">
        <x:f>'Evaluation Plan'!K117</x:f>
        <x:v>SR-BLACK-CF03</x:v>
      </x:c>
      <x:c r="L117" s="10" t="str">
        <x:f>'Evaluation Plan'!L117</x:f>
        <x:v>O</x:v>
      </x:c>
      <x:c r="M117" s="10" t="str">
        <x:f>'Evaluation Plan'!M117</x:f>
        <x:v>black cup</x:v>
      </x:c>
      <x:c r="N117" s="10" t="n">
        <x:f>'Evaluation Plan'!N117</x:f>
        <x:v>4</x:v>
      </x:c>
      <x:c r="O117" s="10" t="n">
        <x:f>'Evaluation Plan'!O117</x:f>
        <x:v>1</x:v>
      </x:c>
      <x:c r="P117" s="10" t="str">
        <x:f>'Evaluation Plan'!P117</x:f>
        <x:v>Empty</x:v>
      </x:c>
      <x:c r="Q117" s="11" t="str">
        <x:f>'Evaluation Plan'!Q117</x:f>
        <x:v>Exact-scene counterfactual globally unseen black-cup state reasoning</x:v>
      </x:c>
      <x:c r="R117" s="10" t="n">
        <x:f>'Evaluation Plan'!R117</x:f>
        <x:v>5</x:v>
      </x:c>
      <x:c r="S117" s="11" t="str">
        <x:f>'Evaluation Plan'!S117</x:f>
        <x:v>Reset the moved black cup to its marked pose; preserve the exact scene and change only the state word in the prompt.</x:v>
      </x:c>
      <x:c r="T117" s="11" t="str">
        <x:f>'Evaluation Plan'!T117</x:f>
        <x:v>Counterfactual C/O pair: both black cups and every distractor are RU; only the queried state word changes the correct black cup.</x:v>
      </x:c>
      <x:c r="U117" s="11" t="n">
        <x:f>'Evaluation Plan'!U117</x:f>
        <x:v>0</x:v>
      </x:c>
    </x:row>
    <x:row r="118" ht="51" customHeight="1">
      <x:c r="A118" s="5" t="s">
        <x:v>181</x:v>
      </x:c>
      <x:c r="B118" s="4" t="n">
        <x:f>'Evaluation Plan'!B118</x:f>
        <x:v>116</x:v>
      </x:c>
      <x:c r="C118" s="5" t="str">
        <x:f>'Evaluation Plan'!C118</x:f>
        <x:v>Place the upside-down black cup in the bowl.</x:v>
      </x:c>
      <x:c r="D118" s="5" t="str">
        <x:f>'Evaluation Plan'!D118</x:f>
        <x:v>black cup A (O, RU); black cup B (O, UD)</x:v>
      </x:c>
      <x:c r="E118" s="4" t="n">
        <x:f>'Evaluation Plan'!E118</x:f>
        <x:v>0</x:v>
      </x:c>
      <x:c r="F118" s="4" t="n">
        <x:f>'Evaluation Plan'!F118</x:f>
        <x:v>78</x:v>
      </x:c>
      <x:c r="G118" s="5" t="str">
        <x:f>'Evaluation Plan'!G118</x:f>
        <x:v>State-word concept reference from training episode 78; black cups are globally unseen. This is an exact-scene state counterfactual pair, not a direct-name manipulation control.</x:v>
      </x:c>
      <x:c r="H118" s="5" t="str">
        <x:f>'Evaluation Plan'!H118</x:f>
        <x:v>black cup B</x:v>
      </x:c>
      <x:c r="I118" s="5"/>
      <x:c r="J118" s="19" t="str">
        <x:f>'Evaluation Plan'!J118</x:f>
        <x:v>Novel-object state reasoning</x:v>
      </x:c>
      <x:c r="K118" s="4" t="str">
        <x:f>'Evaluation Plan'!K118</x:f>
        <x:v>SR-BLACK-CF04</x:v>
      </x:c>
      <x:c r="L118" s="4" t="str">
        <x:f>'Evaluation Plan'!L118</x:f>
        <x:v>UD</x:v>
      </x:c>
      <x:c r="M118" s="4" t="str">
        <x:f>'Evaluation Plan'!M118</x:f>
        <x:v>black cup</x:v>
      </x:c>
      <x:c r="N118" s="4" t="n">
        <x:f>'Evaluation Plan'!N118</x:f>
        <x:v>2</x:v>
      </x:c>
      <x:c r="O118" s="4" t="n">
        <x:f>'Evaluation Plan'!O118</x:f>
        <x:v>1</x:v>
      </x:c>
      <x:c r="P118" s="4" t="str">
        <x:f>'Evaluation Plan'!P118</x:f>
        <x:v>Empty</x:v>
      </x:c>
      <x:c r="Q118" s="5" t="str">
        <x:f>'Evaluation Plan'!Q118</x:f>
        <x:v>Exact-scene counterfactual globally unseen black-cup state reasoning</x:v>
      </x:c>
      <x:c r="R118" s="4" t="n">
        <x:f>'Evaluation Plan'!R118</x:f>
        <x:v>5</x:v>
      </x:c>
      <x:c r="S118" s="5" t="str">
        <x:f>'Evaluation Plan'!S118</x:f>
        <x:v>Build the listed scene with both black cups and an empty bowl.</x:v>
      </x:c>
      <x:c r="T118" s="5" t="str">
        <x:f>'Evaluation Plan'!T118</x:f>
        <x:v>Counterfactual UD/RU pair: both black cups share the orthogonal C/O state (O); only the queried state word changes the correct black cup.</x:v>
      </x:c>
      <x:c r="U118" s="5" t="n">
        <x:f>'Evaluation Plan'!U118</x:f>
        <x:v>0</x:v>
      </x:c>
    </x:row>
    <x:row r="119" ht="51" customHeight="1">
      <x:c r="A119" s="11" t="s">
        <x:v>181</x:v>
      </x:c>
      <x:c r="B119" s="10" t="n">
        <x:f>'Evaluation Plan'!B119</x:f>
        <x:v>117</x:v>
      </x:c>
      <x:c r="C119" s="11" t="str">
        <x:f>'Evaluation Plan'!C119</x:f>
        <x:v>Place the upright black cup in the bowl.</x:v>
      </x:c>
      <x:c r="D119" s="11" t="str">
        <x:f>'Evaluation Plan'!D119</x:f>
        <x:v>black cup A (O, RU); black cup B (O, UD)</x:v>
      </x:c>
      <x:c r="E119" s="10" t="n">
        <x:f>'Evaluation Plan'!E119</x:f>
        <x:v>116</x:v>
      </x:c>
      <x:c r="F119" s="10" t="n">
        <x:f>'Evaluation Plan'!F119</x:f>
        <x:v>26</x:v>
      </x:c>
      <x:c r="G119" s="11" t="str">
        <x:f>'Evaluation Plan'!G119</x:f>
        <x:v>State-word concept reference from training episode 26; black cups are globally unseen. This is an exact-scene state counterfactual pair, not a direct-name manipulation control.</x:v>
      </x:c>
      <x:c r="H119" s="11" t="str">
        <x:f>'Evaluation Plan'!H119</x:f>
        <x:v>black cup A</x:v>
      </x:c>
      <x:c r="I119" s="11"/>
      <x:c r="J119" s="19" t="str">
        <x:f>'Evaluation Plan'!J119</x:f>
        <x:v>Novel-object state reasoning</x:v>
      </x:c>
      <x:c r="K119" s="10" t="str">
        <x:f>'Evaluation Plan'!K119</x:f>
        <x:v>SR-BLACK-CF04</x:v>
      </x:c>
      <x:c r="L119" s="10" t="str">
        <x:f>'Evaluation Plan'!L119</x:f>
        <x:v>RU</x:v>
      </x:c>
      <x:c r="M119" s="10" t="str">
        <x:f>'Evaluation Plan'!M119</x:f>
        <x:v>black cup</x:v>
      </x:c>
      <x:c r="N119" s="10" t="n">
        <x:f>'Evaluation Plan'!N119</x:f>
        <x:v>2</x:v>
      </x:c>
      <x:c r="O119" s="10" t="n">
        <x:f>'Evaluation Plan'!O119</x:f>
        <x:v>1</x:v>
      </x:c>
      <x:c r="P119" s="10" t="str">
        <x:f>'Evaluation Plan'!P119</x:f>
        <x:v>Empty</x:v>
      </x:c>
      <x:c r="Q119" s="11" t="str">
        <x:f>'Evaluation Plan'!Q119</x:f>
        <x:v>Exact-scene counterfactual globally unseen black-cup state reasoning</x:v>
      </x:c>
      <x:c r="R119" s="10" t="n">
        <x:f>'Evaluation Plan'!R119</x:f>
        <x:v>5</x:v>
      </x:c>
      <x:c r="S119" s="11" t="str">
        <x:f>'Evaluation Plan'!S119</x:f>
        <x:v>Reset the moved black cup to its marked pose; preserve the exact scene and change only the state word in the prompt.</x:v>
      </x:c>
      <x:c r="T119" s="11" t="str">
        <x:f>'Evaluation Plan'!T119</x:f>
        <x:v>Counterfactual UD/RU pair: both black cups share the orthogonal C/O state (O); only the queried state word changes the correct black cup.</x:v>
      </x:c>
      <x:c r="U119" s="11" t="n">
        <x:f>'Evaluation Plan'!U119</x:f>
        <x:v>0</x:v>
      </x:c>
    </x:row>
    <x:row r="120" ht="51" customHeight="1">
      <x:c r="A120" s="5" t="s">
        <x:v>181</x:v>
      </x:c>
      <x:c r="B120" s="4" t="n">
        <x:f>'Evaluation Plan'!B120</x:f>
        <x:v>118</x:v>
      </x:c>
      <x:c r="C120" s="5" t="str">
        <x:f>'Evaluation Plan'!C120</x:f>
        <x:v>Place the closed black cup in the bowl.</x:v>
      </x:c>
      <x:c r="D120" s="5" t="str">
        <x:f>'Evaluation Plan'!D120</x:f>
        <x:v>black cup A (C, RU); black cup B (O, RU); white cup A (C, RU)</x:v>
      </x:c>
      <x:c r="E120" s="4" t="n">
        <x:f>'Evaluation Plan'!E120</x:f>
        <x:v>0</x:v>
      </x:c>
      <x:c r="F120" s="4" t="n">
        <x:f>'Evaluation Plan'!F120</x:f>
        <x:v>0</x:v>
      </x:c>
      <x:c r="G120" s="5" t="str">
        <x:f>'Evaluation Plan'!G120</x:f>
        <x:v>State-word concept reference from training episode 0; black cups are globally unseen. This is an exact-scene state counterfactual pair, not a direct-name manipulation control.</x:v>
      </x:c>
      <x:c r="H120" s="5" t="str">
        <x:f>'Evaluation Plan'!H120</x:f>
        <x:v>black cup A</x:v>
      </x:c>
      <x:c r="I120" s="5"/>
      <x:c r="J120" s="19" t="str">
        <x:f>'Evaluation Plan'!J120</x:f>
        <x:v>Novel-object state reasoning</x:v>
      </x:c>
      <x:c r="K120" s="4" t="str">
        <x:f>'Evaluation Plan'!K120</x:f>
        <x:v>SR-BLACK-CF05</x:v>
      </x:c>
      <x:c r="L120" s="4" t="str">
        <x:f>'Evaluation Plan'!L120</x:f>
        <x:v>C</x:v>
      </x:c>
      <x:c r="M120" s="4" t="str">
        <x:f>'Evaluation Plan'!M120</x:f>
        <x:v>black cup</x:v>
      </x:c>
      <x:c r="N120" s="4" t="n">
        <x:f>'Evaluation Plan'!N120</x:f>
        <x:v>3</x:v>
      </x:c>
      <x:c r="O120" s="4" t="n">
        <x:f>'Evaluation Plan'!O120</x:f>
        <x:v>1</x:v>
      </x:c>
      <x:c r="P120" s="4" t="str">
        <x:f>'Evaluation Plan'!P120</x:f>
        <x:v>Empty</x:v>
      </x:c>
      <x:c r="Q120" s="5" t="str">
        <x:f>'Evaluation Plan'!Q120</x:f>
        <x:v>Exact-scene counterfactual globally unseen black-cup state reasoning</x:v>
      </x:c>
      <x:c r="R120" s="4" t="n">
        <x:f>'Evaluation Plan'!R120</x:f>
        <x:v>5</x:v>
      </x:c>
      <x:c r="S120" s="5" t="str">
        <x:f>'Evaluation Plan'!S120</x:f>
        <x:v>Build the listed scene with both black cups and an empty bowl.</x:v>
      </x:c>
      <x:c r="T120" s="5" t="str">
        <x:f>'Evaluation Plan'!T120</x:f>
        <x:v>Counterfactual C/O pair: both black cups and every distractor are RU; only the queried state word changes the correct black cup.</x:v>
      </x:c>
      <x:c r="U120" s="5" t="n">
        <x:f>'Evaluation Plan'!U120</x:f>
        <x:v>0</x:v>
      </x:c>
    </x:row>
    <x:row r="121" ht="51" customHeight="1">
      <x:c r="A121" s="11" t="s">
        <x:v>181</x:v>
      </x:c>
      <x:c r="B121" s="10" t="n">
        <x:f>'Evaluation Plan'!B121</x:f>
        <x:v>119</x:v>
      </x:c>
      <x:c r="C121" s="11" t="str">
        <x:f>'Evaluation Plan'!C121</x:f>
        <x:v>Place the open black cup in the bowl.</x:v>
      </x:c>
      <x:c r="D121" s="11" t="str">
        <x:f>'Evaluation Plan'!D121</x:f>
        <x:v>black cup A (C, RU); black cup B (O, RU); white cup A (C, RU)</x:v>
      </x:c>
      <x:c r="E121" s="10" t="n">
        <x:f>'Evaluation Plan'!E121</x:f>
        <x:v>118</x:v>
      </x:c>
      <x:c r="F121" s="10" t="n">
        <x:f>'Evaluation Plan'!F121</x:f>
        <x:v>101</x:v>
      </x:c>
      <x:c r="G121" s="11" t="str">
        <x:f>'Evaluation Plan'!G121</x:f>
        <x:v>State-word concept reference from training episode 101; black cups are globally unseen. This is an exact-scene state counterfactual pair, not a direct-name manipulation control.</x:v>
      </x:c>
      <x:c r="H121" s="11" t="str">
        <x:f>'Evaluation Plan'!H121</x:f>
        <x:v>black cup B</x:v>
      </x:c>
      <x:c r="I121" s="11"/>
      <x:c r="J121" s="19" t="str">
        <x:f>'Evaluation Plan'!J121</x:f>
        <x:v>Novel-object state reasoning</x:v>
      </x:c>
      <x:c r="K121" s="10" t="str">
        <x:f>'Evaluation Plan'!K121</x:f>
        <x:v>SR-BLACK-CF05</x:v>
      </x:c>
      <x:c r="L121" s="10" t="str">
        <x:f>'Evaluation Plan'!L121</x:f>
        <x:v>O</x:v>
      </x:c>
      <x:c r="M121" s="10" t="str">
        <x:f>'Evaluation Plan'!M121</x:f>
        <x:v>black cup</x:v>
      </x:c>
      <x:c r="N121" s="10" t="n">
        <x:f>'Evaluation Plan'!N121</x:f>
        <x:v>3</x:v>
      </x:c>
      <x:c r="O121" s="10" t="n">
        <x:f>'Evaluation Plan'!O121</x:f>
        <x:v>1</x:v>
      </x:c>
      <x:c r="P121" s="10" t="str">
        <x:f>'Evaluation Plan'!P121</x:f>
        <x:v>Empty</x:v>
      </x:c>
      <x:c r="Q121" s="11" t="str">
        <x:f>'Evaluation Plan'!Q121</x:f>
        <x:v>Exact-scene counterfactual globally unseen black-cup state reasoning</x:v>
      </x:c>
      <x:c r="R121" s="10" t="n">
        <x:f>'Evaluation Plan'!R121</x:f>
        <x:v>5</x:v>
      </x:c>
      <x:c r="S121" s="11" t="str">
        <x:f>'Evaluation Plan'!S121</x:f>
        <x:v>Reset the moved black cup to its marked pose; preserve the exact scene and change only the state word in the prompt.</x:v>
      </x:c>
      <x:c r="T121" s="11" t="str">
        <x:f>'Evaluation Plan'!T121</x:f>
        <x:v>Counterfactual C/O pair: both black cups and every distractor are RU; only the queried state word changes the correct black cup.</x:v>
      </x:c>
      <x:c r="U121" s="11" t="n">
        <x:f>'Evaluation Plan'!U121</x:f>
        <x:v>0</x:v>
      </x:c>
    </x:row>
    <x:row r="122" ht="51" customHeight="1">
      <x:c r="A122" s="5" t="s">
        <x:v>181</x:v>
      </x:c>
      <x:c r="B122" s="4" t="n">
        <x:f>'Evaluation Plan'!B122</x:f>
        <x:v>120</x:v>
      </x:c>
      <x:c r="C122" s="5" t="str">
        <x:f>'Evaluation Plan'!C122</x:f>
        <x:v>Place the upside-down black cup in the bowl.</x:v>
      </x:c>
      <x:c r="D122" s="5" t="str">
        <x:f>'Evaluation Plan'!D122</x:f>
        <x:v>black cup A (C, UD); black cup B (C, RU); yellow-white striped cup B (O, UD); brown cup A (C, RU)</x:v>
      </x:c>
      <x:c r="E122" s="4" t="n">
        <x:f>'Evaluation Plan'!E122</x:f>
        <x:v>0</x:v>
      </x:c>
      <x:c r="F122" s="4" t="n">
        <x:f>'Evaluation Plan'!F122</x:f>
        <x:v>78</x:v>
      </x:c>
      <x:c r="G122" s="5" t="str">
        <x:f>'Evaluation Plan'!G122</x:f>
        <x:v>State-word concept reference from training episode 78; black cups are globally unseen. This is an exact-scene state counterfactual pair, not a direct-name manipulation control.</x:v>
      </x:c>
      <x:c r="H122" s="5" t="str">
        <x:f>'Evaluation Plan'!H122</x:f>
        <x:v>black cup A</x:v>
      </x:c>
      <x:c r="I122" s="5"/>
      <x:c r="J122" s="19" t="str">
        <x:f>'Evaluation Plan'!J122</x:f>
        <x:v>Novel-object state reasoning</x:v>
      </x:c>
      <x:c r="K122" s="4" t="str">
        <x:f>'Evaluation Plan'!K122</x:f>
        <x:v>SR-BLACK-CF06</x:v>
      </x:c>
      <x:c r="L122" s="4" t="str">
        <x:f>'Evaluation Plan'!L122</x:f>
        <x:v>UD</x:v>
      </x:c>
      <x:c r="M122" s="4" t="str">
        <x:f>'Evaluation Plan'!M122</x:f>
        <x:v>black cup</x:v>
      </x:c>
      <x:c r="N122" s="4" t="n">
        <x:f>'Evaluation Plan'!N122</x:f>
        <x:v>4</x:v>
      </x:c>
      <x:c r="O122" s="4" t="n">
        <x:f>'Evaluation Plan'!O122</x:f>
        <x:v>1</x:v>
      </x:c>
      <x:c r="P122" s="4" t="str">
        <x:f>'Evaluation Plan'!P122</x:f>
        <x:v>Empty</x:v>
      </x:c>
      <x:c r="Q122" s="5" t="str">
        <x:f>'Evaluation Plan'!Q122</x:f>
        <x:v>Exact-scene counterfactual globally unseen black-cup state reasoning</x:v>
      </x:c>
      <x:c r="R122" s="4" t="n">
        <x:f>'Evaluation Plan'!R122</x:f>
        <x:v>5</x:v>
      </x:c>
      <x:c r="S122" s="5" t="str">
        <x:f>'Evaluation Plan'!S122</x:f>
        <x:v>Build the listed scene with both black cups and an empty bowl.</x:v>
      </x:c>
      <x:c r="T122" s="5" t="str">
        <x:f>'Evaluation Plan'!T122</x:f>
        <x:v>Counterfactual UD/RU pair: both black cups share the orthogonal C/O state (C); only the queried state word changes the correct black cup.</x:v>
      </x:c>
      <x:c r="U122" s="5" t="n">
        <x:f>'Evaluation Plan'!U122</x:f>
        <x:v>0</x:v>
      </x:c>
    </x:row>
    <x:row r="123" ht="51" customHeight="1">
      <x:c r="A123" s="11" t="s">
        <x:v>181</x:v>
      </x:c>
      <x:c r="B123" s="10" t="n">
        <x:f>'Evaluation Plan'!B123</x:f>
        <x:v>121</x:v>
      </x:c>
      <x:c r="C123" s="11" t="str">
        <x:f>'Evaluation Plan'!C123</x:f>
        <x:v>Place the upright black cup in the bowl.</x:v>
      </x:c>
      <x:c r="D123" s="11" t="str">
        <x:f>'Evaluation Plan'!D123</x:f>
        <x:v>black cup A (C, UD); black cup B (C, RU); yellow-white striped cup B (O, UD); brown cup A (C, RU)</x:v>
      </x:c>
      <x:c r="E123" s="10" t="n">
        <x:f>'Evaluation Plan'!E123</x:f>
        <x:v>120</x:v>
      </x:c>
      <x:c r="F123" s="10" t="n">
        <x:f>'Evaluation Plan'!F123</x:f>
        <x:v>26</x:v>
      </x:c>
      <x:c r="G123" s="11" t="str">
        <x:f>'Evaluation Plan'!G123</x:f>
        <x:v>State-word concept reference from training episode 26; black cups are globally unseen. This is an exact-scene state counterfactual pair, not a direct-name manipulation control.</x:v>
      </x:c>
      <x:c r="H123" s="11" t="str">
        <x:f>'Evaluation Plan'!H123</x:f>
        <x:v>black cup B</x:v>
      </x:c>
      <x:c r="I123" s="11"/>
      <x:c r="J123" s="19" t="str">
        <x:f>'Evaluation Plan'!J123</x:f>
        <x:v>Novel-object state reasoning</x:v>
      </x:c>
      <x:c r="K123" s="10" t="str">
        <x:f>'Evaluation Plan'!K123</x:f>
        <x:v>SR-BLACK-CF06</x:v>
      </x:c>
      <x:c r="L123" s="10" t="str">
        <x:f>'Evaluation Plan'!L123</x:f>
        <x:v>RU</x:v>
      </x:c>
      <x:c r="M123" s="10" t="str">
        <x:f>'Evaluation Plan'!M123</x:f>
        <x:v>black cup</x:v>
      </x:c>
      <x:c r="N123" s="10" t="n">
        <x:f>'Evaluation Plan'!N123</x:f>
        <x:v>4</x:v>
      </x:c>
      <x:c r="O123" s="10" t="n">
        <x:f>'Evaluation Plan'!O123</x:f>
        <x:v>1</x:v>
      </x:c>
      <x:c r="P123" s="10" t="str">
        <x:f>'Evaluation Plan'!P123</x:f>
        <x:v>Empty</x:v>
      </x:c>
      <x:c r="Q123" s="11" t="str">
        <x:f>'Evaluation Plan'!Q123</x:f>
        <x:v>Exact-scene counterfactual globally unseen black-cup state reasoning</x:v>
      </x:c>
      <x:c r="R123" s="10" t="n">
        <x:f>'Evaluation Plan'!R123</x:f>
        <x:v>5</x:v>
      </x:c>
      <x:c r="S123" s="11" t="str">
        <x:f>'Evaluation Plan'!S123</x:f>
        <x:v>Reset the moved black cup to its marked pose; preserve the exact scene and change only the state word in the prompt.</x:v>
      </x:c>
      <x:c r="T123" s="11" t="str">
        <x:f>'Evaluation Plan'!T123</x:f>
        <x:v>Counterfactual UD/RU pair: both black cups share the orthogonal C/O state (C); only the queried state word changes the correct black cup.</x:v>
      </x:c>
      <x:c r="U123" s="11" t="n">
        <x:f>'Evaluation Plan'!U123</x:f>
        <x:v>0</x:v>
      </x:c>
    </x:row>
    <x:row r="124" ht="51" customHeight="1">
      <x:c r="A124" s="5" t="s">
        <x:v>181</x:v>
      </x:c>
      <x:c r="B124" s="4" t="n">
        <x:f>'Evaluation Plan'!B124</x:f>
        <x:v>122</x:v>
      </x:c>
      <x:c r="C124" s="5" t="str">
        <x:f>'Evaluation Plan'!C124</x:f>
        <x:v>Place the closed black cup in the bowl.</x:v>
      </x:c>
      <x:c r="D124" s="5" t="str">
        <x:f>'Evaluation Plan'!D124</x:f>
        <x:v>black cup A (O, RU); black cup B (C, RU)</x:v>
      </x:c>
      <x:c r="E124" s="4" t="n">
        <x:f>'Evaluation Plan'!E124</x:f>
        <x:v>0</x:v>
      </x:c>
      <x:c r="F124" s="4" t="n">
        <x:f>'Evaluation Plan'!F124</x:f>
        <x:v>0</x:v>
      </x:c>
      <x:c r="G124" s="5" t="str">
        <x:f>'Evaluation Plan'!G124</x:f>
        <x:v>State-word concept reference from training episode 0; black cups are globally unseen. This is an exact-scene state counterfactual pair, not a direct-name manipulation control.</x:v>
      </x:c>
      <x:c r="H124" s="5" t="str">
        <x:f>'Evaluation Plan'!H124</x:f>
        <x:v>black cup B</x:v>
      </x:c>
      <x:c r="I124" s="5"/>
      <x:c r="J124" s="19" t="str">
        <x:f>'Evaluation Plan'!J124</x:f>
        <x:v>Novel-object state reasoning</x:v>
      </x:c>
      <x:c r="K124" s="4" t="str">
        <x:f>'Evaluation Plan'!K124</x:f>
        <x:v>SR-BLACK-CF07</x:v>
      </x:c>
      <x:c r="L124" s="4" t="str">
        <x:f>'Evaluation Plan'!L124</x:f>
        <x:v>C</x:v>
      </x:c>
      <x:c r="M124" s="4" t="str">
        <x:f>'Evaluation Plan'!M124</x:f>
        <x:v>black cup</x:v>
      </x:c>
      <x:c r="N124" s="4" t="n">
        <x:f>'Evaluation Plan'!N124</x:f>
        <x:v>2</x:v>
      </x:c>
      <x:c r="O124" s="4" t="n">
        <x:f>'Evaluation Plan'!O124</x:f>
        <x:v>1</x:v>
      </x:c>
      <x:c r="P124" s="4" t="str">
        <x:f>'Evaluation Plan'!P124</x:f>
        <x:v>Empty</x:v>
      </x:c>
      <x:c r="Q124" s="5" t="str">
        <x:f>'Evaluation Plan'!Q124</x:f>
        <x:v>Exact-scene counterfactual globally unseen black-cup state reasoning</x:v>
      </x:c>
      <x:c r="R124" s="4" t="n">
        <x:f>'Evaluation Plan'!R124</x:f>
        <x:v>5</x:v>
      </x:c>
      <x:c r="S124" s="5" t="str">
        <x:f>'Evaluation Plan'!S124</x:f>
        <x:v>Build the listed scene with both black cups and an empty bowl.</x:v>
      </x:c>
      <x:c r="T124" s="5" t="str">
        <x:f>'Evaluation Plan'!T124</x:f>
        <x:v>Counterfactual C/O pair: both black cups and every distractor are RU; only the queried state word changes the correct black cup.</x:v>
      </x:c>
      <x:c r="U124" s="5" t="n">
        <x:f>'Evaluation Plan'!U124</x:f>
        <x:v>0</x:v>
      </x:c>
    </x:row>
    <x:row r="125" ht="51" customHeight="1">
      <x:c r="A125" s="11" t="s">
        <x:v>181</x:v>
      </x:c>
      <x:c r="B125" s="10" t="n">
        <x:f>'Evaluation Plan'!B125</x:f>
        <x:v>123</x:v>
      </x:c>
      <x:c r="C125" s="11" t="str">
        <x:f>'Evaluation Plan'!C125</x:f>
        <x:v>Place the open black cup in the bowl.</x:v>
      </x:c>
      <x:c r="D125" s="11" t="str">
        <x:f>'Evaluation Plan'!D125</x:f>
        <x:v>black cup A (O, RU); black cup B (C, RU)</x:v>
      </x:c>
      <x:c r="E125" s="10" t="n">
        <x:f>'Evaluation Plan'!E125</x:f>
        <x:v>122</x:v>
      </x:c>
      <x:c r="F125" s="10" t="n">
        <x:f>'Evaluation Plan'!F125</x:f>
        <x:v>101</x:v>
      </x:c>
      <x:c r="G125" s="11" t="str">
        <x:f>'Evaluation Plan'!G125</x:f>
        <x:v>State-word concept reference from training episode 101; black cups are globally unseen. This is an exact-scene state counterfactual pair, not a direct-name manipulation control.</x:v>
      </x:c>
      <x:c r="H125" s="11" t="str">
        <x:f>'Evaluation Plan'!H125</x:f>
        <x:v>black cup A</x:v>
      </x:c>
      <x:c r="I125" s="11"/>
      <x:c r="J125" s="19" t="str">
        <x:f>'Evaluation Plan'!J125</x:f>
        <x:v>Novel-object state reasoning</x:v>
      </x:c>
      <x:c r="K125" s="10" t="str">
        <x:f>'Evaluation Plan'!K125</x:f>
        <x:v>SR-BLACK-CF07</x:v>
      </x:c>
      <x:c r="L125" s="10" t="str">
        <x:f>'Evaluation Plan'!L125</x:f>
        <x:v>O</x:v>
      </x:c>
      <x:c r="M125" s="10" t="str">
        <x:f>'Evaluation Plan'!M125</x:f>
        <x:v>black cup</x:v>
      </x:c>
      <x:c r="N125" s="10" t="n">
        <x:f>'Evaluation Plan'!N125</x:f>
        <x:v>2</x:v>
      </x:c>
      <x:c r="O125" s="10" t="n">
        <x:f>'Evaluation Plan'!O125</x:f>
        <x:v>1</x:v>
      </x:c>
      <x:c r="P125" s="10" t="str">
        <x:f>'Evaluation Plan'!P125</x:f>
        <x:v>Empty</x:v>
      </x:c>
      <x:c r="Q125" s="11" t="str">
        <x:f>'Evaluation Plan'!Q125</x:f>
        <x:v>Exact-scene counterfactual globally unseen black-cup state reasoning</x:v>
      </x:c>
      <x:c r="R125" s="10" t="n">
        <x:f>'Evaluation Plan'!R125</x:f>
        <x:v>5</x:v>
      </x:c>
      <x:c r="S125" s="11" t="str">
        <x:f>'Evaluation Plan'!S125</x:f>
        <x:v>Reset the moved black cup to its marked pose; preserve the exact scene and change only the state word in the prompt.</x:v>
      </x:c>
      <x:c r="T125" s="11" t="str">
        <x:f>'Evaluation Plan'!T125</x:f>
        <x:v>Counterfactual C/O pair: both black cups and every distractor are RU; only the queried state word changes the correct black cup.</x:v>
      </x:c>
      <x:c r="U125" s="11" t="n">
        <x:f>'Evaluation Plan'!U125</x:f>
        <x:v>0</x:v>
      </x:c>
    </x:row>
    <x:row r="126" ht="51" customHeight="1">
      <x:c r="A126" s="5" t="s">
        <x:v>181</x:v>
      </x:c>
      <x:c r="B126" s="4" t="n">
        <x:f>'Evaluation Plan'!B126</x:f>
        <x:v>124</x:v>
      </x:c>
      <x:c r="C126" s="5" t="str">
        <x:f>'Evaluation Plan'!C126</x:f>
        <x:v>Place the upside-down black cup in the bowl.</x:v>
      </x:c>
      <x:c r="D126" s="5" t="str">
        <x:f>'Evaluation Plan'!D126</x:f>
        <x:v>black cup A (O, RU); black cup B (O, UD); glass spice container B (O, UD)</x:v>
      </x:c>
      <x:c r="E126" s="4" t="n">
        <x:f>'Evaluation Plan'!E126</x:f>
        <x:v>0</x:v>
      </x:c>
      <x:c r="F126" s="4" t="n">
        <x:f>'Evaluation Plan'!F126</x:f>
        <x:v>78</x:v>
      </x:c>
      <x:c r="G126" s="5" t="str">
        <x:f>'Evaluation Plan'!G126</x:f>
        <x:v>State-word concept reference from training episode 78; black cups are globally unseen. This is an exact-scene state counterfactual pair, not a direct-name manipulation control.</x:v>
      </x:c>
      <x:c r="H126" s="5" t="str">
        <x:f>'Evaluation Plan'!H126</x:f>
        <x:v>black cup B</x:v>
      </x:c>
      <x:c r="I126" s="5"/>
      <x:c r="J126" s="19" t="str">
        <x:f>'Evaluation Plan'!J126</x:f>
        <x:v>Novel-object state reasoning</x:v>
      </x:c>
      <x:c r="K126" s="4" t="str">
        <x:f>'Evaluation Plan'!K126</x:f>
        <x:v>SR-BLACK-CF08</x:v>
      </x:c>
      <x:c r="L126" s="4" t="str">
        <x:f>'Evaluation Plan'!L126</x:f>
        <x:v>UD</x:v>
      </x:c>
      <x:c r="M126" s="4" t="str">
        <x:f>'Evaluation Plan'!M126</x:f>
        <x:v>black cup</x:v>
      </x:c>
      <x:c r="N126" s="4" t="n">
        <x:f>'Evaluation Plan'!N126</x:f>
        <x:v>3</x:v>
      </x:c>
      <x:c r="O126" s="4" t="n">
        <x:f>'Evaluation Plan'!O126</x:f>
        <x:v>1</x:v>
      </x:c>
      <x:c r="P126" s="4" t="str">
        <x:f>'Evaluation Plan'!P126</x:f>
        <x:v>Empty</x:v>
      </x:c>
      <x:c r="Q126" s="5" t="str">
        <x:f>'Evaluation Plan'!Q126</x:f>
        <x:v>Exact-scene counterfactual globally unseen black-cup state reasoning</x:v>
      </x:c>
      <x:c r="R126" s="4" t="n">
        <x:f>'Evaluation Plan'!R126</x:f>
        <x:v>5</x:v>
      </x:c>
      <x:c r="S126" s="5" t="str">
        <x:f>'Evaluation Plan'!S126</x:f>
        <x:v>Build the listed scene with both black cups and an empty bowl.</x:v>
      </x:c>
      <x:c r="T126" s="5" t="str">
        <x:f>'Evaluation Plan'!T126</x:f>
        <x:v>Counterfactual UD/RU pair: both black cups share the orthogonal C/O state (O); only the queried state word changes the correct black cup.</x:v>
      </x:c>
      <x:c r="U126" s="5" t="n">
        <x:f>'Evaluation Plan'!U126</x:f>
        <x:v>0</x:v>
      </x:c>
    </x:row>
    <x:row r="127" ht="51" customHeight="1">
      <x:c r="A127" s="11" t="s">
        <x:v>181</x:v>
      </x:c>
      <x:c r="B127" s="10" t="n">
        <x:f>'Evaluation Plan'!B127</x:f>
        <x:v>125</x:v>
      </x:c>
      <x:c r="C127" s="11" t="str">
        <x:f>'Evaluation Plan'!C127</x:f>
        <x:v>Place the upright black cup in the bowl.</x:v>
      </x:c>
      <x:c r="D127" s="11" t="str">
        <x:f>'Evaluation Plan'!D127</x:f>
        <x:v>black cup A (O, RU); black cup B (O, UD); glass spice container B (O, UD)</x:v>
      </x:c>
      <x:c r="E127" s="10" t="n">
        <x:f>'Evaluation Plan'!E127</x:f>
        <x:v>124</x:v>
      </x:c>
      <x:c r="F127" s="10" t="n">
        <x:f>'Evaluation Plan'!F127</x:f>
        <x:v>26</x:v>
      </x:c>
      <x:c r="G127" s="11" t="str">
        <x:f>'Evaluation Plan'!G127</x:f>
        <x:v>State-word concept reference from training episode 26; black cups are globally unseen. This is an exact-scene state counterfactual pair, not a direct-name manipulation control.</x:v>
      </x:c>
      <x:c r="H127" s="11" t="str">
        <x:f>'Evaluation Plan'!H127</x:f>
        <x:v>black cup A</x:v>
      </x:c>
      <x:c r="I127" s="11"/>
      <x:c r="J127" s="19" t="str">
        <x:f>'Evaluation Plan'!J127</x:f>
        <x:v>Novel-object state reasoning</x:v>
      </x:c>
      <x:c r="K127" s="10" t="str">
        <x:f>'Evaluation Plan'!K127</x:f>
        <x:v>SR-BLACK-CF08</x:v>
      </x:c>
      <x:c r="L127" s="10" t="str">
        <x:f>'Evaluation Plan'!L127</x:f>
        <x:v>RU</x:v>
      </x:c>
      <x:c r="M127" s="10" t="str">
        <x:f>'Evaluation Plan'!M127</x:f>
        <x:v>black cup</x:v>
      </x:c>
      <x:c r="N127" s="10" t="n">
        <x:f>'Evaluation Plan'!N127</x:f>
        <x:v>3</x:v>
      </x:c>
      <x:c r="O127" s="10" t="n">
        <x:f>'Evaluation Plan'!O127</x:f>
        <x:v>1</x:v>
      </x:c>
      <x:c r="P127" s="10" t="str">
        <x:f>'Evaluation Plan'!P127</x:f>
        <x:v>Empty</x:v>
      </x:c>
      <x:c r="Q127" s="11" t="str">
        <x:f>'Evaluation Plan'!Q127</x:f>
        <x:v>Exact-scene counterfactual globally unseen black-cup state reasoning</x:v>
      </x:c>
      <x:c r="R127" s="10" t="n">
        <x:f>'Evaluation Plan'!R127</x:f>
        <x:v>5</x:v>
      </x:c>
      <x:c r="S127" s="11" t="str">
        <x:f>'Evaluation Plan'!S127</x:f>
        <x:v>Reset the moved black cup to its marked pose; preserve the exact scene and change only the state word in the prompt.</x:v>
      </x:c>
      <x:c r="T127" s="11" t="str">
        <x:f>'Evaluation Plan'!T127</x:f>
        <x:v>Counterfactual UD/RU pair: both black cups share the orthogonal C/O state (O); only the queried state word changes the correct black cup.</x:v>
      </x:c>
      <x:c r="U127" s="11" t="n">
        <x:f>'Evaluation Plan'!U127</x:f>
        <x:v>0</x:v>
      </x:c>
    </x:row>
    <x:row r="128" ht="51" customHeight="1">
      <x:c r="A128" s="5" t="s">
        <x:v>181</x:v>
      </x:c>
      <x:c r="B128" s="4" t="n">
        <x:f>'Evaluation Plan'!B128</x:f>
        <x:v>126</x:v>
      </x:c>
      <x:c r="C128" s="5" t="str">
        <x:f>'Evaluation Plan'!C128</x:f>
        <x:v>Place the closed black cup in the bowl.</x:v>
      </x:c>
      <x:c r="D128" s="5" t="str">
        <x:f>'Evaluation Plan'!D128</x:f>
        <x:v>black cup A (C, RU); black cup B (O, RU); white cup A (C, RU); yellow-white striped cup B (O, RU)</x:v>
      </x:c>
      <x:c r="E128" s="4" t="n">
        <x:f>'Evaluation Plan'!E128</x:f>
        <x:v>0</x:v>
      </x:c>
      <x:c r="F128" s="4" t="n">
        <x:f>'Evaluation Plan'!F128</x:f>
        <x:v>0</x:v>
      </x:c>
      <x:c r="G128" s="5" t="str">
        <x:f>'Evaluation Plan'!G128</x:f>
        <x:v>State-word concept reference from training episode 0; black cups are globally unseen. This is an exact-scene state counterfactual pair, not a direct-name manipulation control.</x:v>
      </x:c>
      <x:c r="H128" s="5" t="str">
        <x:f>'Evaluation Plan'!H128</x:f>
        <x:v>black cup A</x:v>
      </x:c>
      <x:c r="I128" s="5"/>
      <x:c r="J128" s="19" t="str">
        <x:f>'Evaluation Plan'!J128</x:f>
        <x:v>Novel-object state reasoning</x:v>
      </x:c>
      <x:c r="K128" s="4" t="str">
        <x:f>'Evaluation Plan'!K128</x:f>
        <x:v>SR-BLACK-CF09</x:v>
      </x:c>
      <x:c r="L128" s="4" t="str">
        <x:f>'Evaluation Plan'!L128</x:f>
        <x:v>C</x:v>
      </x:c>
      <x:c r="M128" s="4" t="str">
        <x:f>'Evaluation Plan'!M128</x:f>
        <x:v>black cup</x:v>
      </x:c>
      <x:c r="N128" s="4" t="n">
        <x:f>'Evaluation Plan'!N128</x:f>
        <x:v>4</x:v>
      </x:c>
      <x:c r="O128" s="4" t="n">
        <x:f>'Evaluation Plan'!O128</x:f>
        <x:v>1</x:v>
      </x:c>
      <x:c r="P128" s="4" t="str">
        <x:f>'Evaluation Plan'!P128</x:f>
        <x:v>Empty</x:v>
      </x:c>
      <x:c r="Q128" s="5" t="str">
        <x:f>'Evaluation Plan'!Q128</x:f>
        <x:v>Exact-scene counterfactual globally unseen black-cup state reasoning</x:v>
      </x:c>
      <x:c r="R128" s="4" t="n">
        <x:f>'Evaluation Plan'!R128</x:f>
        <x:v>5</x:v>
      </x:c>
      <x:c r="S128" s="5" t="str">
        <x:f>'Evaluation Plan'!S128</x:f>
        <x:v>Build the listed scene with both black cups and an empty bowl.</x:v>
      </x:c>
      <x:c r="T128" s="5" t="str">
        <x:f>'Evaluation Plan'!T128</x:f>
        <x:v>Counterfactual C/O pair: both black cups and every distractor are RU; only the queried state word changes the correct black cup.</x:v>
      </x:c>
      <x:c r="U128" s="5" t="n">
        <x:f>'Evaluation Plan'!U128</x:f>
        <x:v>0</x:v>
      </x:c>
    </x:row>
    <x:row r="129" ht="51" customHeight="1">
      <x:c r="A129" s="11" t="s">
        <x:v>181</x:v>
      </x:c>
      <x:c r="B129" s="10" t="n">
        <x:f>'Evaluation Plan'!B129</x:f>
        <x:v>127</x:v>
      </x:c>
      <x:c r="C129" s="11" t="str">
        <x:f>'Evaluation Plan'!C129</x:f>
        <x:v>Place the open black cup in the bowl.</x:v>
      </x:c>
      <x:c r="D129" s="11" t="str">
        <x:f>'Evaluation Plan'!D129</x:f>
        <x:v>black cup A (C, RU); black cup B (O, RU); white cup A (C, RU); yellow-white striped cup B (O, RU)</x:v>
      </x:c>
      <x:c r="E129" s="10" t="n">
        <x:f>'Evaluation Plan'!E129</x:f>
        <x:v>126</x:v>
      </x:c>
      <x:c r="F129" s="10" t="n">
        <x:f>'Evaluation Plan'!F129</x:f>
        <x:v>101</x:v>
      </x:c>
      <x:c r="G129" s="11" t="str">
        <x:f>'Evaluation Plan'!G129</x:f>
        <x:v>State-word concept reference from training episode 101; black cups are globally unseen. This is an exact-scene state counterfactual pair, not a direct-name manipulation control.</x:v>
      </x:c>
      <x:c r="H129" s="11" t="str">
        <x:f>'Evaluation Plan'!H129</x:f>
        <x:v>black cup B</x:v>
      </x:c>
      <x:c r="I129" s="11"/>
      <x:c r="J129" s="19" t="str">
        <x:f>'Evaluation Plan'!J129</x:f>
        <x:v>Novel-object state reasoning</x:v>
      </x:c>
      <x:c r="K129" s="10" t="str">
        <x:f>'Evaluation Plan'!K129</x:f>
        <x:v>SR-BLACK-CF09</x:v>
      </x:c>
      <x:c r="L129" s="10" t="str">
        <x:f>'Evaluation Plan'!L129</x:f>
        <x:v>O</x:v>
      </x:c>
      <x:c r="M129" s="10" t="str">
        <x:f>'Evaluation Plan'!M129</x:f>
        <x:v>black cup</x:v>
      </x:c>
      <x:c r="N129" s="10" t="n">
        <x:f>'Evaluation Plan'!N129</x:f>
        <x:v>4</x:v>
      </x:c>
      <x:c r="O129" s="10" t="n">
        <x:f>'Evaluation Plan'!O129</x:f>
        <x:v>1</x:v>
      </x:c>
      <x:c r="P129" s="10" t="str">
        <x:f>'Evaluation Plan'!P129</x:f>
        <x:v>Empty</x:v>
      </x:c>
      <x:c r="Q129" s="11" t="str">
        <x:f>'Evaluation Plan'!Q129</x:f>
        <x:v>Exact-scene counterfactual globally unseen black-cup state reasoning</x:v>
      </x:c>
      <x:c r="R129" s="10" t="n">
        <x:f>'Evaluation Plan'!R129</x:f>
        <x:v>5</x:v>
      </x:c>
      <x:c r="S129" s="11" t="str">
        <x:f>'Evaluation Plan'!S129</x:f>
        <x:v>Reset the moved black cup to its marked pose; preserve the exact scene and change only the state word in the prompt.</x:v>
      </x:c>
      <x:c r="T129" s="11" t="str">
        <x:f>'Evaluation Plan'!T129</x:f>
        <x:v>Counterfactual C/O pair: both black cups and every distractor are RU; only the queried state word changes the correct black cup.</x:v>
      </x:c>
      <x:c r="U129" s="11" t="n">
        <x:f>'Evaluation Plan'!U129</x:f>
        <x:v>0</x:v>
      </x:c>
    </x:row>
    <x:row r="130" ht="51" customHeight="1">
      <x:c r="A130" s="5" t="s">
        <x:v>181</x:v>
      </x:c>
      <x:c r="B130" s="4" t="n">
        <x:f>'Evaluation Plan'!B130</x:f>
        <x:v>128</x:v>
      </x:c>
      <x:c r="C130" s="5" t="str">
        <x:f>'Evaluation Plan'!C130</x:f>
        <x:v>Place the upside-down black cup in the bowl.</x:v>
      </x:c>
      <x:c r="D130" s="5" t="str">
        <x:f>'Evaluation Plan'!D130</x:f>
        <x:v>black cup A (C, UD); black cup B (C, RU); yellow-white striped cup B (O, UD)</x:v>
      </x:c>
      <x:c r="E130" s="4" t="n">
        <x:f>'Evaluation Plan'!E130</x:f>
        <x:v>0</x:v>
      </x:c>
      <x:c r="F130" s="4" t="n">
        <x:f>'Evaluation Plan'!F130</x:f>
        <x:v>78</x:v>
      </x:c>
      <x:c r="G130" s="5" t="str">
        <x:f>'Evaluation Plan'!G130</x:f>
        <x:v>State-word concept reference from training episode 78; black cups are globally unseen. This is an exact-scene state counterfactual pair, not a direct-name manipulation control.</x:v>
      </x:c>
      <x:c r="H130" s="5" t="str">
        <x:f>'Evaluation Plan'!H130</x:f>
        <x:v>black cup A</x:v>
      </x:c>
      <x:c r="I130" s="5"/>
      <x:c r="J130" s="19" t="str">
        <x:f>'Evaluation Plan'!J130</x:f>
        <x:v>Novel-object state reasoning</x:v>
      </x:c>
      <x:c r="K130" s="4" t="str">
        <x:f>'Evaluation Plan'!K130</x:f>
        <x:v>SR-BLACK-CF10</x:v>
      </x:c>
      <x:c r="L130" s="4" t="str">
        <x:f>'Evaluation Plan'!L130</x:f>
        <x:v>UD</x:v>
      </x:c>
      <x:c r="M130" s="4" t="str">
        <x:f>'Evaluation Plan'!M130</x:f>
        <x:v>black cup</x:v>
      </x:c>
      <x:c r="N130" s="4" t="n">
        <x:f>'Evaluation Plan'!N130</x:f>
        <x:v>3</x:v>
      </x:c>
      <x:c r="O130" s="4" t="n">
        <x:f>'Evaluation Plan'!O130</x:f>
        <x:v>1</x:v>
      </x:c>
      <x:c r="P130" s="4" t="str">
        <x:f>'Evaluation Plan'!P130</x:f>
        <x:v>Empty</x:v>
      </x:c>
      <x:c r="Q130" s="5" t="str">
        <x:f>'Evaluation Plan'!Q130</x:f>
        <x:v>Exact-scene counterfactual globally unseen black-cup state reasoning</x:v>
      </x:c>
      <x:c r="R130" s="4" t="n">
        <x:f>'Evaluation Plan'!R130</x:f>
        <x:v>5</x:v>
      </x:c>
      <x:c r="S130" s="5" t="str">
        <x:f>'Evaluation Plan'!S130</x:f>
        <x:v>Build the listed scene with both black cups and an empty bowl.</x:v>
      </x:c>
      <x:c r="T130" s="5" t="str">
        <x:f>'Evaluation Plan'!T130</x:f>
        <x:v>Counterfactual UD/RU pair: both black cups share the orthogonal C/O state (C); only the queried state word changes the correct black cup.</x:v>
      </x:c>
      <x:c r="U130" s="5" t="n">
        <x:f>'Evaluation Plan'!U130</x:f>
        <x:v>0</x:v>
      </x:c>
    </x:row>
    <x:row r="131" ht="51" customHeight="1">
      <x:c r="A131" s="11" t="s">
        <x:v>181</x:v>
      </x:c>
      <x:c r="B131" s="10" t="n">
        <x:f>'Evaluation Plan'!B131</x:f>
        <x:v>129</x:v>
      </x:c>
      <x:c r="C131" s="11" t="str">
        <x:f>'Evaluation Plan'!C131</x:f>
        <x:v>Place the upright black cup in the bowl.</x:v>
      </x:c>
      <x:c r="D131" s="11" t="str">
        <x:f>'Evaluation Plan'!D131</x:f>
        <x:v>black cup A (C, UD); black cup B (C, RU); yellow-white striped cup B (O, UD)</x:v>
      </x:c>
      <x:c r="E131" s="10" t="n">
        <x:f>'Evaluation Plan'!E131</x:f>
        <x:v>128</x:v>
      </x:c>
      <x:c r="F131" s="10" t="n">
        <x:f>'Evaluation Plan'!F131</x:f>
        <x:v>26</x:v>
      </x:c>
      <x:c r="G131" s="11" t="str">
        <x:f>'Evaluation Plan'!G131</x:f>
        <x:v>State-word concept reference from training episode 26; black cups are globally unseen. This is an exact-scene state counterfactual pair, not a direct-name manipulation control.</x:v>
      </x:c>
      <x:c r="H131" s="11" t="str">
        <x:f>'Evaluation Plan'!H131</x:f>
        <x:v>black cup B</x:v>
      </x:c>
      <x:c r="I131" s="11"/>
      <x:c r="J131" s="19" t="str">
        <x:f>'Evaluation Plan'!J131</x:f>
        <x:v>Novel-object state reasoning</x:v>
      </x:c>
      <x:c r="K131" s="10" t="str">
        <x:f>'Evaluation Plan'!K131</x:f>
        <x:v>SR-BLACK-CF10</x:v>
      </x:c>
      <x:c r="L131" s="10" t="str">
        <x:f>'Evaluation Plan'!L131</x:f>
        <x:v>RU</x:v>
      </x:c>
      <x:c r="M131" s="10" t="str">
        <x:f>'Evaluation Plan'!M131</x:f>
        <x:v>black cup</x:v>
      </x:c>
      <x:c r="N131" s="10" t="n">
        <x:f>'Evaluation Plan'!N131</x:f>
        <x:v>3</x:v>
      </x:c>
      <x:c r="O131" s="10" t="n">
        <x:f>'Evaluation Plan'!O131</x:f>
        <x:v>1</x:v>
      </x:c>
      <x:c r="P131" s="10" t="str">
        <x:f>'Evaluation Plan'!P131</x:f>
        <x:v>Empty</x:v>
      </x:c>
      <x:c r="Q131" s="11" t="str">
        <x:f>'Evaluation Plan'!Q131</x:f>
        <x:v>Exact-scene counterfactual globally unseen black-cup state reasoning</x:v>
      </x:c>
      <x:c r="R131" s="10" t="n">
        <x:f>'Evaluation Plan'!R131</x:f>
        <x:v>5</x:v>
      </x:c>
      <x:c r="S131" s="11" t="str">
        <x:f>'Evaluation Plan'!S131</x:f>
        <x:v>Reset the moved black cup to its marked pose; preserve the exact scene and change only the state word in the prompt.</x:v>
      </x:c>
      <x:c r="T131" s="11" t="str">
        <x:f>'Evaluation Plan'!T131</x:f>
        <x:v>Counterfactual UD/RU pair: both black cups share the orthogonal C/O state (C); only the queried state word changes the correct black cup.</x:v>
      </x:c>
      <x:c r="U131" s="11" t="n">
        <x:f>'Evaluation Plan'!U131</x:f>
        <x:v>0</x:v>
      </x:c>
    </x:row>
    <x:row r="132" ht="51" customHeight="1">
      <x:c r="A132" s="5" t="s">
        <x:v>181</x:v>
      </x:c>
      <x:c r="B132" s="4" t="n">
        <x:f>'Evaluation Plan'!B132</x:f>
        <x:v>130</x:v>
      </x:c>
      <x:c r="C132" s="5" t="str">
        <x:f>'Evaluation Plan'!C132</x:f>
        <x:v>Place the closed white cup in the bowl.</x:v>
      </x:c>
      <x:c r="D132" s="5" t="str">
        <x:f>'Evaluation Plan'!D132</x:f>
        <x:v>white cup A (O, RU); white cup B (O, RU)</x:v>
      </x:c>
      <x:c r="E132" s="4" t="n">
        <x:f>'Evaluation Plan'!E132</x:f>
        <x:v>0</x:v>
      </x:c>
      <x:c r="F132" s="4" t="str">
        <x:f>'Evaluation Plan'!F132</x:f>
        <x:v>0</x:v>
      </x:c>
      <x:c r="G132" s="5" t="str">
        <x:f>'Evaluation Plan'!G132</x:f>
        <x:v>The state-object concept is explicitly trained, but training does not contain a no-satisfying-target abstention trajectory. All objects are upright, matching the context of every explicit open/closed training demonstration.</x:v>
      </x:c>
      <x:c r="H132" s="5" t="str">
        <x:f>'Evaluation Plan'!H132</x:f>
        <x:v>NO-OP; no object has state C, so nothing should be picked up</x:v>
      </x:c>
      <x:c r="I132" s="5"/>
      <x:c r="J132" s="7" t="str">
        <x:f>'Evaluation Plan'!J132</x:f>
        <x:v>No valid target / no movement</x:v>
      </x:c>
      <x:c r="K132" s="4" t="str">
        <x:f>'Evaluation Plan'!K132</x:f>
        <x:v>SR-NOOP01</x:v>
      </x:c>
      <x:c r="L132" s="4" t="str">
        <x:f>'Evaluation Plan'!L132</x:f>
        <x:v>C</x:v>
      </x:c>
      <x:c r="M132" s="4" t="str">
        <x:f>'Evaluation Plan'!M132</x:f>
        <x:v>white cup</x:v>
      </x:c>
      <x:c r="N132" s="4" t="n">
        <x:f>'Evaluation Plan'!N132</x:f>
        <x:v>2</x:v>
      </x:c>
      <x:c r="O132" s="4" t="n">
        <x:f>'Evaluation Plan'!O132</x:f>
        <x:v>0</x:v>
      </x:c>
      <x:c r="P132" s="4" t="str">
        <x:f>'Evaluation Plan'!P132</x:f>
        <x:v>Empty</x:v>
      </x:c>
      <x:c r="Q132" s="5" t="str">
        <x:f>'Evaluation Plan'!Q132</x:f>
        <x:v>No satisfying state present; bowl remains empty</x:v>
      </x:c>
      <x:c r="R132" s="4" t="n">
        <x:f>'Evaluation Plan'!R132</x:f>
        <x:v>6</x:v>
      </x:c>
      <x:c r="S132" s="5" t="str">
        <x:f>'Evaluation Plan'!S132</x:f>
        <x:v>Build the listed no-match scene and confirm the bowl is empty.</x:v>
      </x:c>
      <x:c r="T132" s="5" t="str">
        <x:f>'Evaluation Plan'!T132</x:f>
        <x:v>No object in the entire scene has the queried state. The prompt uses the same canonical frame as active trials, and the queried state-object cell is training-supported. The orthogonal orientation axis is fixed: every object is RU.</x:v>
      </x:c>
      <x:c r="U132" s="5" t="n">
        <x:f>'Evaluation Plan'!U132</x:f>
        <x:v>0</x:v>
      </x:c>
    </x:row>
    <x:row r="133" ht="51" customHeight="1">
      <x:c r="A133" s="11" t="s">
        <x:v>181</x:v>
      </x:c>
      <x:c r="B133" s="10" t="n">
        <x:f>'Evaluation Plan'!B133</x:f>
        <x:v>131</x:v>
      </x:c>
      <x:c r="C133" s="11" t="str">
        <x:f>'Evaluation Plan'!C133</x:f>
        <x:v>Place the upside-down yellow-white striped cup in the bowl.</x:v>
      </x:c>
      <x:c r="D133" s="11" t="str">
        <x:f>'Evaluation Plan'!D133</x:f>
        <x:v>yellow-white striped cup A (C, RU); yellow-white striped cup B (C, RU); brown cup B (O, RU)</x:v>
      </x:c>
      <x:c r="E133" s="10" t="n">
        <x:f>'Evaluation Plan'!E133</x:f>
        <x:v>0</x:v>
      </x:c>
      <x:c r="F133" s="10" t="str">
        <x:f>'Evaluation Plan'!F133</x:f>
        <x:v>78</x:v>
      </x:c>
      <x:c r="G133" s="11" t="str">
        <x:f>'Evaluation Plan'!G133</x:f>
        <x:v>The state-object concept is explicitly trained, but training does not contain a no-satisfying-target abstention trajectory.</x:v>
      </x:c>
      <x:c r="H133" s="11" t="str">
        <x:f>'Evaluation Plan'!H133</x:f>
        <x:v>NO-OP; no object has state UD, so nothing should be picked up</x:v>
      </x:c>
      <x:c r="I133" s="11"/>
      <x:c r="J133" s="7" t="str">
        <x:f>'Evaluation Plan'!J133</x:f>
        <x:v>No valid target / no movement</x:v>
      </x:c>
      <x:c r="K133" s="10" t="str">
        <x:f>'Evaluation Plan'!K133</x:f>
        <x:v>SR-NOOP02</x:v>
      </x:c>
      <x:c r="L133" s="10" t="str">
        <x:f>'Evaluation Plan'!L133</x:f>
        <x:v>UD</x:v>
      </x:c>
      <x:c r="M133" s="10" t="str">
        <x:f>'Evaluation Plan'!M133</x:f>
        <x:v>yellow-white striped cup</x:v>
      </x:c>
      <x:c r="N133" s="10" t="n">
        <x:f>'Evaluation Plan'!N133</x:f>
        <x:v>3</x:v>
      </x:c>
      <x:c r="O133" s="10" t="n">
        <x:f>'Evaluation Plan'!O133</x:f>
        <x:v>0</x:v>
      </x:c>
      <x:c r="P133" s="10" t="str">
        <x:f>'Evaluation Plan'!P133</x:f>
        <x:v>Empty</x:v>
      </x:c>
      <x:c r="Q133" s="11" t="str">
        <x:f>'Evaluation Plan'!Q133</x:f>
        <x:v>No satisfying state present; bowl remains empty</x:v>
      </x:c>
      <x:c r="R133" s="10" t="n">
        <x:f>'Evaluation Plan'!R133</x:f>
        <x:v>6</x:v>
      </x:c>
      <x:c r="S133" s="11" t="str">
        <x:f>'Evaluation Plan'!S133</x:f>
        <x:v>Build the listed no-match scene and confirm the bowl is empty.</x:v>
      </x:c>
      <x:c r="T133" s="11" t="str">
        <x:f>'Evaluation Plan'!T133</x:f>
        <x:v>No object in the entire scene has the queried state. The prompt uses the same canonical frame as active trials, and the queried state-object cell is training-supported. The same-category candidates share the orthogonal C/O state (C).</x:v>
      </x:c>
      <x:c r="U133" s="11" t="n">
        <x:f>'Evaluation Plan'!U133</x:f>
        <x:v>0</x:v>
      </x:c>
    </x:row>
    <x:row r="134" ht="51" customHeight="1">
      <x:c r="A134" s="5" t="s">
        <x:v>181</x:v>
      </x:c>
      <x:c r="B134" s="4" t="n">
        <x:f>'Evaluation Plan'!B134</x:f>
        <x:v>132</x:v>
      </x:c>
      <x:c r="C134" s="5" t="str">
        <x:f>'Evaluation Plan'!C134</x:f>
        <x:v>Place the open brown cup in the bowl.</x:v>
      </x:c>
      <x:c r="D134" s="5" t="str">
        <x:f>'Evaluation Plan'!D134</x:f>
        <x:v>brown cup A (C, RU); brown cup B (C, RU); glass spice container A (C, RU); white cup B (C, RU)</x:v>
      </x:c>
      <x:c r="E134" s="4" t="n">
        <x:f>'Evaluation Plan'!E134</x:f>
        <x:v>0</x:v>
      </x:c>
      <x:c r="F134" s="4" t="str">
        <x:f>'Evaluation Plan'!F134</x:f>
        <x:v>101</x:v>
      </x:c>
      <x:c r="G134" s="5" t="str">
        <x:f>'Evaluation Plan'!G134</x:f>
        <x:v>The state-object concept is explicitly trained, but training does not contain a no-satisfying-target abstention trajectory. All objects are upright, matching the context of every explicit open/closed training demonstration.</x:v>
      </x:c>
      <x:c r="H134" s="5" t="str">
        <x:f>'Evaluation Plan'!H134</x:f>
        <x:v>NO-OP; no object has state O, so nothing should be picked up</x:v>
      </x:c>
      <x:c r="I134" s="5"/>
      <x:c r="J134" s="7" t="str">
        <x:f>'Evaluation Plan'!J134</x:f>
        <x:v>No valid target / no movement</x:v>
      </x:c>
      <x:c r="K134" s="4" t="str">
        <x:f>'Evaluation Plan'!K134</x:f>
        <x:v>SR-NOOP03</x:v>
      </x:c>
      <x:c r="L134" s="4" t="str">
        <x:f>'Evaluation Plan'!L134</x:f>
        <x:v>O</x:v>
      </x:c>
      <x:c r="M134" s="4" t="str">
        <x:f>'Evaluation Plan'!M134</x:f>
        <x:v>brown cup</x:v>
      </x:c>
      <x:c r="N134" s="4" t="n">
        <x:f>'Evaluation Plan'!N134</x:f>
        <x:v>4</x:v>
      </x:c>
      <x:c r="O134" s="4" t="n">
        <x:f>'Evaluation Plan'!O134</x:f>
        <x:v>0</x:v>
      </x:c>
      <x:c r="P134" s="4" t="str">
        <x:f>'Evaluation Plan'!P134</x:f>
        <x:v>Empty</x:v>
      </x:c>
      <x:c r="Q134" s="5" t="str">
        <x:f>'Evaluation Plan'!Q134</x:f>
        <x:v>No satisfying state present; bowl remains empty</x:v>
      </x:c>
      <x:c r="R134" s="4" t="n">
        <x:f>'Evaluation Plan'!R134</x:f>
        <x:v>6</x:v>
      </x:c>
      <x:c r="S134" s="5" t="str">
        <x:f>'Evaluation Plan'!S134</x:f>
        <x:v>Build the listed no-match scene and confirm the bowl is empty.</x:v>
      </x:c>
      <x:c r="T134" s="5" t="str">
        <x:f>'Evaluation Plan'!T134</x:f>
        <x:v>No object in the entire scene has the queried state. The prompt uses the same canonical frame as active trials, and the queried state-object cell is training-supported. The orthogonal orientation axis is fixed: every object is RU.</x:v>
      </x:c>
      <x:c r="U134" s="5" t="n">
        <x:f>'Evaluation Plan'!U134</x:f>
        <x:v>0</x:v>
      </x:c>
    </x:row>
    <x:row r="135" ht="51" customHeight="1">
      <x:c r="A135" s="11" t="s">
        <x:v>181</x:v>
      </x:c>
      <x:c r="B135" s="10" t="n">
        <x:f>'Evaluation Plan'!B135</x:f>
        <x:v>133</x:v>
      </x:c>
      <x:c r="C135" s="11" t="str">
        <x:f>'Evaluation Plan'!C135</x:f>
        <x:v>Place the closed glass spice container in the bowl.</x:v>
      </x:c>
      <x:c r="D135" s="11" t="str">
        <x:f>'Evaluation Plan'!D135</x:f>
        <x:v>glass spice container A (O, RU); glass spice container B (O, RU)</x:v>
      </x:c>
      <x:c r="E135" s="10" t="n">
        <x:f>'Evaluation Plan'!E135</x:f>
        <x:v>0</x:v>
      </x:c>
      <x:c r="F135" s="10" t="str">
        <x:f>'Evaluation Plan'!F135</x:f>
        <x:v>151</x:v>
      </x:c>
      <x:c r="G135" s="11" t="str">
        <x:f>'Evaluation Plan'!G135</x:f>
        <x:v>The state-object concept is explicitly trained, but training does not contain a no-satisfying-target abstention trajectory. All objects are upright, matching the context of every explicit open/closed training demonstration.</x:v>
      </x:c>
      <x:c r="H135" s="11" t="str">
        <x:f>'Evaluation Plan'!H135</x:f>
        <x:v>NO-OP; no object has state C, so nothing should be picked up</x:v>
      </x:c>
      <x:c r="I135" s="11"/>
      <x:c r="J135" s="7" t="str">
        <x:f>'Evaluation Plan'!J135</x:f>
        <x:v>No valid target / no movement</x:v>
      </x:c>
      <x:c r="K135" s="10" t="str">
        <x:f>'Evaluation Plan'!K135</x:f>
        <x:v>SR-NOOP04</x:v>
      </x:c>
      <x:c r="L135" s="10" t="str">
        <x:f>'Evaluation Plan'!L135</x:f>
        <x:v>C</x:v>
      </x:c>
      <x:c r="M135" s="10" t="str">
        <x:f>'Evaluation Plan'!M135</x:f>
        <x:v>glass spice container</x:v>
      </x:c>
      <x:c r="N135" s="10" t="n">
        <x:f>'Evaluation Plan'!N135</x:f>
        <x:v>2</x:v>
      </x:c>
      <x:c r="O135" s="10" t="n">
        <x:f>'Evaluation Plan'!O135</x:f>
        <x:v>0</x:v>
      </x:c>
      <x:c r="P135" s="10" t="str">
        <x:f>'Evaluation Plan'!P135</x:f>
        <x:v>Empty</x:v>
      </x:c>
      <x:c r="Q135" s="11" t="str">
        <x:f>'Evaluation Plan'!Q135</x:f>
        <x:v>No satisfying state present; bowl remains empty</x:v>
      </x:c>
      <x:c r="R135" s="10" t="n">
        <x:f>'Evaluation Plan'!R135</x:f>
        <x:v>6</x:v>
      </x:c>
      <x:c r="S135" s="11" t="str">
        <x:f>'Evaluation Plan'!S135</x:f>
        <x:v>Build the listed no-match scene and confirm the bowl is empty.</x:v>
      </x:c>
      <x:c r="T135" s="11" t="str">
        <x:f>'Evaluation Plan'!T135</x:f>
        <x:v>No object in the entire scene has the queried state. The prompt uses the same canonical frame as active trials, and the queried state-object cell is training-supported. The orthogonal orientation axis is fixed: every object is RU.</x:v>
      </x:c>
      <x:c r="U135" s="11" t="n">
        <x:f>'Evaluation Plan'!U135</x:f>
        <x:v>0</x:v>
      </x:c>
    </x:row>
    <x:row r="136" ht="51" customHeight="1">
      <x:c r="A136" s="5" t="s">
        <x:v>181</x:v>
      </x:c>
      <x:c r="B136" s="4" t="n">
        <x:f>'Evaluation Plan'!B136</x:f>
        <x:v>134</x:v>
      </x:c>
      <x:c r="C136" s="5" t="str">
        <x:f>'Evaluation Plan'!C136</x:f>
        <x:v>Place the open white cup in the bowl.</x:v>
      </x:c>
      <x:c r="D136" s="5" t="str">
        <x:f>'Evaluation Plan'!D136</x:f>
        <x:v>white cup A (C, RU); white cup B (C, RU); glass spice container B (C, RU)</x:v>
      </x:c>
      <x:c r="E136" s="4" t="n">
        <x:f>'Evaluation Plan'!E136</x:f>
        <x:v>0</x:v>
      </x:c>
      <x:c r="F136" s="4" t="str">
        <x:f>'Evaluation Plan'!F136</x:f>
        <x:v>1</x:v>
      </x:c>
      <x:c r="G136" s="5" t="str">
        <x:f>'Evaluation Plan'!G136</x:f>
        <x:v>The state-object concept is explicitly trained, but training does not contain a no-satisfying-target abstention trajectory. All objects are upright, matching the context of every explicit open/closed training demonstration.</x:v>
      </x:c>
      <x:c r="H136" s="5" t="str">
        <x:f>'Evaluation Plan'!H136</x:f>
        <x:v>NO-OP; no object has state O, so nothing should be picked up</x:v>
      </x:c>
      <x:c r="I136" s="5"/>
      <x:c r="J136" s="7" t="str">
        <x:f>'Evaluation Plan'!J136</x:f>
        <x:v>No valid target / no movement</x:v>
      </x:c>
      <x:c r="K136" s="4" t="str">
        <x:f>'Evaluation Plan'!K136</x:f>
        <x:v>SR-NOOP05</x:v>
      </x:c>
      <x:c r="L136" s="4" t="str">
        <x:f>'Evaluation Plan'!L136</x:f>
        <x:v>O</x:v>
      </x:c>
      <x:c r="M136" s="4" t="str">
        <x:f>'Evaluation Plan'!M136</x:f>
        <x:v>white cup</x:v>
      </x:c>
      <x:c r="N136" s="4" t="n">
        <x:f>'Evaluation Plan'!N136</x:f>
        <x:v>3</x:v>
      </x:c>
      <x:c r="O136" s="4" t="n">
        <x:f>'Evaluation Plan'!O136</x:f>
        <x:v>0</x:v>
      </x:c>
      <x:c r="P136" s="4" t="str">
        <x:f>'Evaluation Plan'!P136</x:f>
        <x:v>Empty</x:v>
      </x:c>
      <x:c r="Q136" s="5" t="str">
        <x:f>'Evaluation Plan'!Q136</x:f>
        <x:v>No satisfying state present; bowl remains empty</x:v>
      </x:c>
      <x:c r="R136" s="4" t="n">
        <x:f>'Evaluation Plan'!R136</x:f>
        <x:v>6</x:v>
      </x:c>
      <x:c r="S136" s="5" t="str">
        <x:f>'Evaluation Plan'!S136</x:f>
        <x:v>Build the listed no-match scene and confirm the bowl is empty.</x:v>
      </x:c>
      <x:c r="T136" s="5" t="str">
        <x:f>'Evaluation Plan'!T136</x:f>
        <x:v>No object in the entire scene has the queried state. The prompt uses the same canonical frame as active trials, and the queried state-object cell is training-supported. The orthogonal orientation axis is fixed: every object is RU.</x:v>
      </x:c>
      <x:c r="U136" s="5" t="n">
        <x:f>'Evaluation Plan'!U136</x:f>
        <x:v>0</x:v>
      </x:c>
    </x:row>
    <x:row r="137" ht="51" customHeight="1">
      <x:c r="A137" s="11" t="s">
        <x:v>181</x:v>
      </x:c>
      <x:c r="B137" s="10" t="n">
        <x:f>'Evaluation Plan'!B137</x:f>
        <x:v>135</x:v>
      </x:c>
      <x:c r="C137" s="11" t="str">
        <x:f>'Evaluation Plan'!C137</x:f>
        <x:v>Place the upright yellow-white striped cup in the bowl.</x:v>
      </x:c>
      <x:c r="D137" s="11" t="str">
        <x:f>'Evaluation Plan'!D137</x:f>
        <x:v>yellow-white striped cup A (O, UD); yellow-white striped cup B (O, UD); white cup A (C, UD); brown cup B (O, UD)</x:v>
      </x:c>
      <x:c r="E137" s="10" t="n">
        <x:f>'Evaluation Plan'!E137</x:f>
        <x:v>0</x:v>
      </x:c>
      <x:c r="F137" s="10" t="str">
        <x:f>'Evaluation Plan'!F137</x:f>
        <x:v>75</x:v>
      </x:c>
      <x:c r="G137" s="11" t="str">
        <x:f>'Evaluation Plan'!G137</x:f>
        <x:v>The state-object concept is explicitly trained, but training does not contain a no-satisfying-target abstention trajectory.</x:v>
      </x:c>
      <x:c r="H137" s="11" t="str">
        <x:f>'Evaluation Plan'!H137</x:f>
        <x:v>NO-OP; no object has state RU, so nothing should be picked up</x:v>
      </x:c>
      <x:c r="I137" s="11"/>
      <x:c r="J137" s="7" t="str">
        <x:f>'Evaluation Plan'!J137</x:f>
        <x:v>No valid target / no movement</x:v>
      </x:c>
      <x:c r="K137" s="10" t="str">
        <x:f>'Evaluation Plan'!K137</x:f>
        <x:v>SR-NOOP06</x:v>
      </x:c>
      <x:c r="L137" s="10" t="str">
        <x:f>'Evaluation Plan'!L137</x:f>
        <x:v>RU</x:v>
      </x:c>
      <x:c r="M137" s="10" t="str">
        <x:f>'Evaluation Plan'!M137</x:f>
        <x:v>yellow-white striped cup</x:v>
      </x:c>
      <x:c r="N137" s="10" t="n">
        <x:f>'Evaluation Plan'!N137</x:f>
        <x:v>4</x:v>
      </x:c>
      <x:c r="O137" s="10" t="n">
        <x:f>'Evaluation Plan'!O137</x:f>
        <x:v>0</x:v>
      </x:c>
      <x:c r="P137" s="10" t="str">
        <x:f>'Evaluation Plan'!P137</x:f>
        <x:v>Empty</x:v>
      </x:c>
      <x:c r="Q137" s="11" t="str">
        <x:f>'Evaluation Plan'!Q137</x:f>
        <x:v>No satisfying state present; bowl remains empty</x:v>
      </x:c>
      <x:c r="R137" s="10" t="n">
        <x:f>'Evaluation Plan'!R137</x:f>
        <x:v>6</x:v>
      </x:c>
      <x:c r="S137" s="11" t="str">
        <x:f>'Evaluation Plan'!S137</x:f>
        <x:v>Build the listed no-match scene and confirm the bowl is empty.</x:v>
      </x:c>
      <x:c r="T137" s="11" t="str">
        <x:f>'Evaluation Plan'!T137</x:f>
        <x:v>No object in the entire scene has the queried state. The prompt uses the same canonical frame as active trials, and the queried state-object cell is training-supported. The same-category candidates share the orthogonal C/O state (O).</x:v>
      </x:c>
      <x:c r="U137" s="11" t="n">
        <x:f>'Evaluation Plan'!U137</x:f>
        <x:v>0</x:v>
      </x:c>
    </x:row>
    <x:row r="138" ht="51" customHeight="1">
      <x:c r="A138" s="5" t="s">
        <x:v>181</x:v>
      </x:c>
      <x:c r="B138" s="4" t="n">
        <x:f>'Evaluation Plan'!B138</x:f>
        <x:v>136</x:v>
      </x:c>
      <x:c r="C138" s="5" t="str">
        <x:f>'Evaluation Plan'!C138</x:f>
        <x:v>Place the upside-down brown cup in the bowl.</x:v>
      </x:c>
      <x:c r="D138" s="5" t="str">
        <x:f>'Evaluation Plan'!D138</x:f>
        <x:v>brown cup A (O, RU); brown cup B (O, RU)</x:v>
      </x:c>
      <x:c r="E138" s="4" t="n">
        <x:f>'Evaluation Plan'!E138</x:f>
        <x:v>0</x:v>
      </x:c>
      <x:c r="F138" s="4" t="str">
        <x:f>'Evaluation Plan'!F138</x:f>
        <x:v>125</x:v>
      </x:c>
      <x:c r="G138" s="5" t="str">
        <x:f>'Evaluation Plan'!G138</x:f>
        <x:v>The state-object concept is explicitly trained, but training does not contain a no-satisfying-target abstention trajectory.</x:v>
      </x:c>
      <x:c r="H138" s="5" t="str">
        <x:f>'Evaluation Plan'!H138</x:f>
        <x:v>NO-OP; no object has state UD, so nothing should be picked up</x:v>
      </x:c>
      <x:c r="I138" s="5"/>
      <x:c r="J138" s="7" t="str">
        <x:f>'Evaluation Plan'!J138</x:f>
        <x:v>No valid target / no movement</x:v>
      </x:c>
      <x:c r="K138" s="4" t="str">
        <x:f>'Evaluation Plan'!K138</x:f>
        <x:v>SR-NOOP07</x:v>
      </x:c>
      <x:c r="L138" s="4" t="str">
        <x:f>'Evaluation Plan'!L138</x:f>
        <x:v>UD</x:v>
      </x:c>
      <x:c r="M138" s="4" t="str">
        <x:f>'Evaluation Plan'!M138</x:f>
        <x:v>brown cup</x:v>
      </x:c>
      <x:c r="N138" s="4" t="n">
        <x:f>'Evaluation Plan'!N138</x:f>
        <x:v>2</x:v>
      </x:c>
      <x:c r="O138" s="4" t="n">
        <x:f>'Evaluation Plan'!O138</x:f>
        <x:v>0</x:v>
      </x:c>
      <x:c r="P138" s="4" t="str">
        <x:f>'Evaluation Plan'!P138</x:f>
        <x:v>Empty</x:v>
      </x:c>
      <x:c r="Q138" s="5" t="str">
        <x:f>'Evaluation Plan'!Q138</x:f>
        <x:v>No satisfying state present; bowl remains empty</x:v>
      </x:c>
      <x:c r="R138" s="4" t="n">
        <x:f>'Evaluation Plan'!R138</x:f>
        <x:v>6</x:v>
      </x:c>
      <x:c r="S138" s="5" t="str">
        <x:f>'Evaluation Plan'!S138</x:f>
        <x:v>Build the listed no-match scene and confirm the bowl is empty.</x:v>
      </x:c>
      <x:c r="T138" s="5" t="str">
        <x:f>'Evaluation Plan'!T138</x:f>
        <x:v>No object in the entire scene has the queried state. The prompt uses the same canonical frame as active trials, and the queried state-object cell is training-supported. The same-category candidates share the orthogonal C/O state (O).</x:v>
      </x:c>
      <x:c r="U138" s="5" t="n">
        <x:f>'Evaluation Plan'!U138</x:f>
        <x:v>0</x:v>
      </x:c>
    </x:row>
    <x:row r="139" ht="51" customHeight="1">
      <x:c r="A139" s="11" t="s">
        <x:v>181</x:v>
      </x:c>
      <x:c r="B139" s="10" t="n">
        <x:f>'Evaluation Plan'!B139</x:f>
        <x:v>137</x:v>
      </x:c>
      <x:c r="C139" s="11" t="str">
        <x:f>'Evaluation Plan'!C139</x:f>
        <x:v>Place the open glass spice container in the bowl.</x:v>
      </x:c>
      <x:c r="D139" s="11" t="str">
        <x:f>'Evaluation Plan'!D139</x:f>
        <x:v>glass spice container A (C, RU); glass spice container B (C, RU); brown cup A (C, RU)</x:v>
      </x:c>
      <x:c r="E139" s="10" t="n">
        <x:f>'Evaluation Plan'!E139</x:f>
        <x:v>0</x:v>
      </x:c>
      <x:c r="F139" s="10" t="str">
        <x:f>'Evaluation Plan'!F139</x:f>
        <x:v>150</x:v>
      </x:c>
      <x:c r="G139" s="11" t="str">
        <x:f>'Evaluation Plan'!G139</x:f>
        <x:v>The state-object concept is explicitly trained, but training does not contain a no-satisfying-target abstention trajectory. All objects are upright, matching the context of every explicit open/closed training demonstration.</x:v>
      </x:c>
      <x:c r="H139" s="11" t="str">
        <x:f>'Evaluation Plan'!H139</x:f>
        <x:v>NO-OP; no object has state O, so nothing should be picked up</x:v>
      </x:c>
      <x:c r="I139" s="11"/>
      <x:c r="J139" s="7" t="str">
        <x:f>'Evaluation Plan'!J139</x:f>
        <x:v>No valid target / no movement</x:v>
      </x:c>
      <x:c r="K139" s="10" t="str">
        <x:f>'Evaluation Plan'!K139</x:f>
        <x:v>SR-NOOP08</x:v>
      </x:c>
      <x:c r="L139" s="10" t="str">
        <x:f>'Evaluation Plan'!L139</x:f>
        <x:v>O</x:v>
      </x:c>
      <x:c r="M139" s="10" t="str">
        <x:f>'Evaluation Plan'!M139</x:f>
        <x:v>glass spice container</x:v>
      </x:c>
      <x:c r="N139" s="10" t="n">
        <x:f>'Evaluation Plan'!N139</x:f>
        <x:v>3</x:v>
      </x:c>
      <x:c r="O139" s="10" t="n">
        <x:f>'Evaluation Plan'!O139</x:f>
        <x:v>0</x:v>
      </x:c>
      <x:c r="P139" s="10" t="str">
        <x:f>'Evaluation Plan'!P139</x:f>
        <x:v>Empty</x:v>
      </x:c>
      <x:c r="Q139" s="11" t="str">
        <x:f>'Evaluation Plan'!Q139</x:f>
        <x:v>No satisfying state present; bowl remains empty</x:v>
      </x:c>
      <x:c r="R139" s="10" t="n">
        <x:f>'Evaluation Plan'!R139</x:f>
        <x:v>6</x:v>
      </x:c>
      <x:c r="S139" s="11" t="str">
        <x:f>'Evaluation Plan'!S139</x:f>
        <x:v>Build the listed no-match scene and confirm the bowl is empty.</x:v>
      </x:c>
      <x:c r="T139" s="11" t="str">
        <x:f>'Evaluation Plan'!T139</x:f>
        <x:v>No object in the entire scene has the queried state. The prompt uses the same canonical frame as active trials, and the queried state-object cell is training-supported. The orthogonal orientation axis is fixed: every object is RU.</x:v>
      </x:c>
      <x:c r="U139" s="11" t="n">
        <x:f>'Evaluation Plan'!U139</x:f>
        <x:v>0</x:v>
      </x:c>
    </x:row>
    <x:row r="140" ht="51" customHeight="1">
      <x:c r="A140" s="5" t="s">
        <x:v>181</x:v>
      </x:c>
      <x:c r="B140" s="4" t="n">
        <x:f>'Evaluation Plan'!B140</x:f>
        <x:v>138</x:v>
      </x:c>
      <x:c r="C140" s="5" t="str">
        <x:f>'Evaluation Plan'!C140</x:f>
        <x:v>Place the upright white cup in the bowl.</x:v>
      </x:c>
      <x:c r="D140" s="5" t="str">
        <x:f>'Evaluation Plan'!D140</x:f>
        <x:v>white cup A (C, UD); white cup B (C, UD); brown cup A (C, UD); glass spice container B (O, UD)</x:v>
      </x:c>
      <x:c r="E140" s="4" t="n">
        <x:f>'Evaluation Plan'!E140</x:f>
        <x:v>0</x:v>
      </x:c>
      <x:c r="F140" s="4" t="str">
        <x:f>'Evaluation Plan'!F140</x:f>
        <x:v>26</x:v>
      </x:c>
      <x:c r="G140" s="5" t="str">
        <x:f>'Evaluation Plan'!G140</x:f>
        <x:v>The state-object concept is explicitly trained, but training does not contain a no-satisfying-target abstention trajectory.</x:v>
      </x:c>
      <x:c r="H140" s="5" t="str">
        <x:f>'Evaluation Plan'!H140</x:f>
        <x:v>NO-OP; no object has state RU, so nothing should be picked up</x:v>
      </x:c>
      <x:c r="I140" s="5"/>
      <x:c r="J140" s="7" t="str">
        <x:f>'Evaluation Plan'!J140</x:f>
        <x:v>No valid target / no movement</x:v>
      </x:c>
      <x:c r="K140" s="4" t="str">
        <x:f>'Evaluation Plan'!K140</x:f>
        <x:v>SR-NOOP09</x:v>
      </x:c>
      <x:c r="L140" s="4" t="str">
        <x:f>'Evaluation Plan'!L140</x:f>
        <x:v>RU</x:v>
      </x:c>
      <x:c r="M140" s="4" t="str">
        <x:f>'Evaluation Plan'!M140</x:f>
        <x:v>white cup</x:v>
      </x:c>
      <x:c r="N140" s="4" t="n">
        <x:f>'Evaluation Plan'!N140</x:f>
        <x:v>4</x:v>
      </x:c>
      <x:c r="O140" s="4" t="n">
        <x:f>'Evaluation Plan'!O140</x:f>
        <x:v>0</x:v>
      </x:c>
      <x:c r="P140" s="4" t="str">
        <x:f>'Evaluation Plan'!P140</x:f>
        <x:v>Empty</x:v>
      </x:c>
      <x:c r="Q140" s="5" t="str">
        <x:f>'Evaluation Plan'!Q140</x:f>
        <x:v>No satisfying state present; bowl remains empty</x:v>
      </x:c>
      <x:c r="R140" s="4" t="n">
        <x:f>'Evaluation Plan'!R140</x:f>
        <x:v>6</x:v>
      </x:c>
      <x:c r="S140" s="5" t="str">
        <x:f>'Evaluation Plan'!S140</x:f>
        <x:v>Build the listed no-match scene and confirm the bowl is empty.</x:v>
      </x:c>
      <x:c r="T140" s="5" t="str">
        <x:f>'Evaluation Plan'!T140</x:f>
        <x:v>No object in the entire scene has the queried state. The prompt uses the same canonical frame as active trials, and the queried state-object cell is training-supported. The same-category candidates share the orthogonal C/O state (C).</x:v>
      </x:c>
      <x:c r="U140" s="5" t="n">
        <x:f>'Evaluation Plan'!U140</x:f>
        <x:v>0</x:v>
      </x:c>
    </x:row>
    <x:row r="141" ht="51" customHeight="1">
      <x:c r="A141" s="11" t="s">
        <x:v>181</x:v>
      </x:c>
      <x:c r="B141" s="10" t="n">
        <x:f>'Evaluation Plan'!B141</x:f>
        <x:v>139</x:v>
      </x:c>
      <x:c r="C141" s="11" t="str">
        <x:f>'Evaluation Plan'!C141</x:f>
        <x:v>Place the closed yellow-white striped cup in the bowl.</x:v>
      </x:c>
      <x:c r="D141" s="11" t="str">
        <x:f>'Evaluation Plan'!D141</x:f>
        <x:v>yellow-white striped cup A (O, RU); yellow-white striped cup B (O, RU)</x:v>
      </x:c>
      <x:c r="E141" s="10" t="n">
        <x:f>'Evaluation Plan'!E141</x:f>
        <x:v>0</x:v>
      </x:c>
      <x:c r="F141" s="10" t="str">
        <x:f>'Evaluation Plan'!F141</x:f>
        <x:v>51</x:v>
      </x:c>
      <x:c r="G141" s="11" t="str">
        <x:f>'Evaluation Plan'!G141</x:f>
        <x:v>The state-object concept is explicitly trained, but training does not contain a no-satisfying-target abstention trajectory. All objects are upright, matching the context of every explicit open/closed training demonstration.</x:v>
      </x:c>
      <x:c r="H141" s="11" t="str">
        <x:f>'Evaluation Plan'!H141</x:f>
        <x:v>NO-OP; no object has state C, so nothing should be picked up</x:v>
      </x:c>
      <x:c r="I141" s="11"/>
      <x:c r="J141" s="7" t="str">
        <x:f>'Evaluation Plan'!J141</x:f>
        <x:v>No valid target / no movement</x:v>
      </x:c>
      <x:c r="K141" s="10" t="str">
        <x:f>'Evaluation Plan'!K141</x:f>
        <x:v>SR-NOOP10</x:v>
      </x:c>
      <x:c r="L141" s="10" t="str">
        <x:f>'Evaluation Plan'!L141</x:f>
        <x:v>C</x:v>
      </x:c>
      <x:c r="M141" s="10" t="str">
        <x:f>'Evaluation Plan'!M141</x:f>
        <x:v>yellow-white striped cup</x:v>
      </x:c>
      <x:c r="N141" s="10" t="n">
        <x:f>'Evaluation Plan'!N141</x:f>
        <x:v>2</x:v>
      </x:c>
      <x:c r="O141" s="10" t="n">
        <x:f>'Evaluation Plan'!O141</x:f>
        <x:v>0</x:v>
      </x:c>
      <x:c r="P141" s="10" t="str">
        <x:f>'Evaluation Plan'!P141</x:f>
        <x:v>Empty</x:v>
      </x:c>
      <x:c r="Q141" s="11" t="str">
        <x:f>'Evaluation Plan'!Q141</x:f>
        <x:v>No satisfying state present; bowl remains empty</x:v>
      </x:c>
      <x:c r="R141" s="10" t="n">
        <x:f>'Evaluation Plan'!R141</x:f>
        <x:v>6</x:v>
      </x:c>
      <x:c r="S141" s="11" t="str">
        <x:f>'Evaluation Plan'!S141</x:f>
        <x:v>Build the listed no-match scene and confirm the bowl is empty.</x:v>
      </x:c>
      <x:c r="T141" s="11" t="str">
        <x:f>'Evaluation Plan'!T141</x:f>
        <x:v>No object in the entire scene has the queried state. The prompt uses the same canonical frame as active trials, and the queried state-object cell is training-supported. The orthogonal orientation axis is fixed: every object is RU.</x:v>
      </x:c>
      <x:c r="U141" s="11" t="n">
        <x:f>'Evaluation Plan'!U141</x:f>
        <x:v>0</x:v>
      </x:c>
    </x:row>
    <x:row r="142" ht="51" customHeight="1">
      <x:c r="A142" s="5" t="s">
        <x:v>181</x:v>
      </x:c>
      <x:c r="B142" s="4" t="n">
        <x:f>'Evaluation Plan'!B142</x:f>
        <x:v>140</x:v>
      </x:c>
      <x:c r="C142" s="5" t="str">
        <x:f>'Evaluation Plan'!C142</x:f>
        <x:v>Place the upright brown cup in the bowl.</x:v>
      </x:c>
      <x:c r="D142" s="5" t="str">
        <x:f>'Evaluation Plan'!D142</x:f>
        <x:v>brown cup A (C, UD); brown cup B (C, UD); white cup A (C, UD)</x:v>
      </x:c>
      <x:c r="E142" s="4" t="n">
        <x:f>'Evaluation Plan'!E142</x:f>
        <x:v>0</x:v>
      </x:c>
      <x:c r="F142" s="4" t="str">
        <x:f>'Evaluation Plan'!F142</x:f>
        <x:v>128</x:v>
      </x:c>
      <x:c r="G142" s="5" t="str">
        <x:f>'Evaluation Plan'!G142</x:f>
        <x:v>The state-object concept is explicitly trained, but training does not contain a no-satisfying-target abstention trajectory.</x:v>
      </x:c>
      <x:c r="H142" s="5" t="str">
        <x:f>'Evaluation Plan'!H142</x:f>
        <x:v>NO-OP; no object has state RU, so nothing should be picked up</x:v>
      </x:c>
      <x:c r="I142" s="5"/>
      <x:c r="J142" s="7" t="str">
        <x:f>'Evaluation Plan'!J142</x:f>
        <x:v>No valid target / no movement</x:v>
      </x:c>
      <x:c r="K142" s="4" t="str">
        <x:f>'Evaluation Plan'!K142</x:f>
        <x:v>SR-NOOP11</x:v>
      </x:c>
      <x:c r="L142" s="4" t="str">
        <x:f>'Evaluation Plan'!L142</x:f>
        <x:v>RU</x:v>
      </x:c>
      <x:c r="M142" s="4" t="str">
        <x:f>'Evaluation Plan'!M142</x:f>
        <x:v>brown cup</x:v>
      </x:c>
      <x:c r="N142" s="4" t="n">
        <x:f>'Evaluation Plan'!N142</x:f>
        <x:v>3</x:v>
      </x:c>
      <x:c r="O142" s="4" t="n">
        <x:f>'Evaluation Plan'!O142</x:f>
        <x:v>0</x:v>
      </x:c>
      <x:c r="P142" s="4" t="str">
        <x:f>'Evaluation Plan'!P142</x:f>
        <x:v>Empty</x:v>
      </x:c>
      <x:c r="Q142" s="5" t="str">
        <x:f>'Evaluation Plan'!Q142</x:f>
        <x:v>No satisfying state present; bowl remains empty</x:v>
      </x:c>
      <x:c r="R142" s="4" t="n">
        <x:f>'Evaluation Plan'!R142</x:f>
        <x:v>6</x:v>
      </x:c>
      <x:c r="S142" s="5" t="str">
        <x:f>'Evaluation Plan'!S142</x:f>
        <x:v>Build the listed no-match scene and confirm the bowl is empty.</x:v>
      </x:c>
      <x:c r="T142" s="5" t="str">
        <x:f>'Evaluation Plan'!T142</x:f>
        <x:v>No object in the entire scene has the queried state. The prompt uses the same canonical frame as active trials, and the queried state-object cell is training-supported. The same-category candidates share the orthogonal C/O state (C).</x:v>
      </x:c>
      <x:c r="U142" s="5" t="n">
        <x:f>'Evaluation Plan'!U142</x:f>
        <x:v>0</x:v>
      </x:c>
    </x:row>
    <x:row r="143" ht="51" customHeight="1">
      <x:c r="A143" s="11" t="s">
        <x:v>181</x:v>
      </x:c>
      <x:c r="B143" s="10" t="n">
        <x:f>'Evaluation Plan'!B143</x:f>
        <x:v>141</x:v>
      </x:c>
      <x:c r="C143" s="11" t="str">
        <x:f>'Evaluation Plan'!C143</x:f>
        <x:v>Place the upside-down glass spice container in the bowl.</x:v>
      </x:c>
      <x:c r="D143" s="11" t="str">
        <x:f>'Evaluation Plan'!D143</x:f>
        <x:v>glass spice container A (C, RU); glass spice container B (C, RU); yellow-white striped cup B (O, RU); brown cup A (C, RU)</x:v>
      </x:c>
      <x:c r="E143" s="10" t="n">
        <x:f>'Evaluation Plan'!E143</x:f>
        <x:v>0</x:v>
      </x:c>
      <x:c r="F143" s="10" t="str">
        <x:f>'Evaluation Plan'!F143</x:f>
        <x:v>176</x:v>
      </x:c>
      <x:c r="G143" s="11" t="str">
        <x:f>'Evaluation Plan'!G143</x:f>
        <x:v>The state-object concept is explicitly trained, but training does not contain a no-satisfying-target abstention trajectory.</x:v>
      </x:c>
      <x:c r="H143" s="11" t="str">
        <x:f>'Evaluation Plan'!H143</x:f>
        <x:v>NO-OP; no object has state UD, so nothing should be picked up</x:v>
      </x:c>
      <x:c r="I143" s="11"/>
      <x:c r="J143" s="7" t="str">
        <x:f>'Evaluation Plan'!J143</x:f>
        <x:v>No valid target / no movement</x:v>
      </x:c>
      <x:c r="K143" s="10" t="str">
        <x:f>'Evaluation Plan'!K143</x:f>
        <x:v>SR-NOOP12</x:v>
      </x:c>
      <x:c r="L143" s="10" t="str">
        <x:f>'Evaluation Plan'!L143</x:f>
        <x:v>UD</x:v>
      </x:c>
      <x:c r="M143" s="10" t="str">
        <x:f>'Evaluation Plan'!M143</x:f>
        <x:v>glass spice container</x:v>
      </x:c>
      <x:c r="N143" s="10" t="n">
        <x:f>'Evaluation Plan'!N143</x:f>
        <x:v>4</x:v>
      </x:c>
      <x:c r="O143" s="10" t="n">
        <x:f>'Evaluation Plan'!O143</x:f>
        <x:v>0</x:v>
      </x:c>
      <x:c r="P143" s="10" t="str">
        <x:f>'Evaluation Plan'!P143</x:f>
        <x:v>Empty</x:v>
      </x:c>
      <x:c r="Q143" s="11" t="str">
        <x:f>'Evaluation Plan'!Q143</x:f>
        <x:v>No satisfying state present; bowl remains empty</x:v>
      </x:c>
      <x:c r="R143" s="10" t="n">
        <x:f>'Evaluation Plan'!R143</x:f>
        <x:v>6</x:v>
      </x:c>
      <x:c r="S143" s="11" t="str">
        <x:f>'Evaluation Plan'!S143</x:f>
        <x:v>Build the listed no-match scene and confirm the bowl is empty.</x:v>
      </x:c>
      <x:c r="T143" s="11" t="str">
        <x:f>'Evaluation Plan'!T143</x:f>
        <x:v>No object in the entire scene has the queried state. The prompt uses the same canonical frame as active trials, and the queried state-object cell is training-supported. The same-category candidates share the orthogonal C/O state (C).</x:v>
      </x:c>
      <x:c r="U143" s="11" t="n">
        <x:f>'Evaluation Plan'!U143</x:f>
        <x:v>0</x:v>
      </x:c>
    </x:row>
    <x:row r="144" ht="51" customHeight="1">
      <x:c r="A144" s="5" t="s">
        <x:v>181</x:v>
      </x:c>
      <x:c r="B144" s="4" t="n">
        <x:f>'Evaluation Plan'!B144</x:f>
        <x:v>142</x:v>
      </x:c>
      <x:c r="C144" s="5" t="str">
        <x:f>'Evaluation Plan'!C144</x:f>
        <x:v>Place the closed white cup in the bowl.</x:v>
      </x:c>
      <x:c r="D144" s="5" t="str">
        <x:f>'Evaluation Plan'!D144</x:f>
        <x:v>white cup A (O, RU); white cup B (O, RU)</x:v>
      </x:c>
      <x:c r="E144" s="4" t="n">
        <x:f>'Evaluation Plan'!E144</x:f>
        <x:v>0</x:v>
      </x:c>
      <x:c r="F144" s="4" t="str">
        <x:f>'Evaluation Plan'!F144</x:f>
        <x:v>3</x:v>
      </x:c>
      <x:c r="G144" s="5" t="str">
        <x:f>'Evaluation Plan'!G144</x:f>
        <x:v>The state-object concept is explicitly trained, but training does not contain a no-satisfying-target abstention trajectory. All objects are upright, matching the context of every explicit open/closed training demonstration.</x:v>
      </x:c>
      <x:c r="H144" s="5" t="str">
        <x:f>'Evaluation Plan'!H144</x:f>
        <x:v>NO-OP; no object has state C, so nothing should be picked up</x:v>
      </x:c>
      <x:c r="I144" s="5"/>
      <x:c r="J144" s="7" t="str">
        <x:f>'Evaluation Plan'!J144</x:f>
        <x:v>No valid target / no movement</x:v>
      </x:c>
      <x:c r="K144" s="4" t="str">
        <x:f>'Evaluation Plan'!K144</x:f>
        <x:v>SR-NOOP13</x:v>
      </x:c>
      <x:c r="L144" s="4" t="str">
        <x:f>'Evaluation Plan'!L144</x:f>
        <x:v>C</x:v>
      </x:c>
      <x:c r="M144" s="4" t="str">
        <x:f>'Evaluation Plan'!M144</x:f>
        <x:v>white cup</x:v>
      </x:c>
      <x:c r="N144" s="4" t="n">
        <x:f>'Evaluation Plan'!N144</x:f>
        <x:v>2</x:v>
      </x:c>
      <x:c r="O144" s="4" t="n">
        <x:f>'Evaluation Plan'!O144</x:f>
        <x:v>0</x:v>
      </x:c>
      <x:c r="P144" s="4" t="str">
        <x:f>'Evaluation Plan'!P144</x:f>
        <x:v>Empty</x:v>
      </x:c>
      <x:c r="Q144" s="5" t="str">
        <x:f>'Evaluation Plan'!Q144</x:f>
        <x:v>No satisfying state present; bowl remains empty</x:v>
      </x:c>
      <x:c r="R144" s="4" t="n">
        <x:f>'Evaluation Plan'!R144</x:f>
        <x:v>6</x:v>
      </x:c>
      <x:c r="S144" s="5" t="str">
        <x:f>'Evaluation Plan'!S144</x:f>
        <x:v>Build the listed no-match scene and confirm the bowl is empty.</x:v>
      </x:c>
      <x:c r="T144" s="5" t="str">
        <x:f>'Evaluation Plan'!T144</x:f>
        <x:v>No object in the entire scene has the queried state. The prompt uses the same canonical frame as active trials, and the queried state-object cell is training-supported. The orthogonal orientation axis is fixed: every object is RU.</x:v>
      </x:c>
      <x:c r="U144" s="5" t="n">
        <x:f>'Evaluation Plan'!U144</x:f>
        <x:v>0</x:v>
      </x:c>
    </x:row>
    <x:row r="145" ht="51" customHeight="1">
      <x:c r="A145" s="11" t="s">
        <x:v>181</x:v>
      </x:c>
      <x:c r="B145" s="10" t="n">
        <x:f>'Evaluation Plan'!B145</x:f>
        <x:v>143</x:v>
      </x:c>
      <x:c r="C145" s="11" t="str">
        <x:f>'Evaluation Plan'!C145</x:f>
        <x:v>Place the upside-down yellow-white striped cup in the bowl.</x:v>
      </x:c>
      <x:c r="D145" s="11" t="str">
        <x:f>'Evaluation Plan'!D145</x:f>
        <x:v>yellow-white striped cup A (O, RU); yellow-white striped cup B (O, RU); brown cup A (C, RU)</x:v>
      </x:c>
      <x:c r="E145" s="10" t="n">
        <x:f>'Evaluation Plan'!E145</x:f>
        <x:v>0</x:v>
      </x:c>
      <x:c r="F145" s="10" t="str">
        <x:f>'Evaluation Plan'!F145</x:f>
        <x:v>83</x:v>
      </x:c>
      <x:c r="G145" s="11" t="str">
        <x:f>'Evaluation Plan'!G145</x:f>
        <x:v>The state-object concept is explicitly trained, but training does not contain a no-satisfying-target abstention trajectory.</x:v>
      </x:c>
      <x:c r="H145" s="11" t="str">
        <x:f>'Evaluation Plan'!H145</x:f>
        <x:v>NO-OP; no object has state UD, so nothing should be picked up</x:v>
      </x:c>
      <x:c r="I145" s="11"/>
      <x:c r="J145" s="7" t="str">
        <x:f>'Evaluation Plan'!J145</x:f>
        <x:v>No valid target / no movement</x:v>
      </x:c>
      <x:c r="K145" s="10" t="str">
        <x:f>'Evaluation Plan'!K145</x:f>
        <x:v>SR-NOOP14</x:v>
      </x:c>
      <x:c r="L145" s="10" t="str">
        <x:f>'Evaluation Plan'!L145</x:f>
        <x:v>UD</x:v>
      </x:c>
      <x:c r="M145" s="10" t="str">
        <x:f>'Evaluation Plan'!M145</x:f>
        <x:v>yellow-white striped cup</x:v>
      </x:c>
      <x:c r="N145" s="10" t="n">
        <x:f>'Evaluation Plan'!N145</x:f>
        <x:v>3</x:v>
      </x:c>
      <x:c r="O145" s="10" t="n">
        <x:f>'Evaluation Plan'!O145</x:f>
        <x:v>0</x:v>
      </x:c>
      <x:c r="P145" s="10" t="str">
        <x:f>'Evaluation Plan'!P145</x:f>
        <x:v>Empty</x:v>
      </x:c>
      <x:c r="Q145" s="11" t="str">
        <x:f>'Evaluation Plan'!Q145</x:f>
        <x:v>No satisfying state present; bowl remains empty</x:v>
      </x:c>
      <x:c r="R145" s="10" t="n">
        <x:f>'Evaluation Plan'!R145</x:f>
        <x:v>6</x:v>
      </x:c>
      <x:c r="S145" s="11" t="str">
        <x:f>'Evaluation Plan'!S145</x:f>
        <x:v>Build the listed no-match scene and confirm the bowl is empty.</x:v>
      </x:c>
      <x:c r="T145" s="11" t="str">
        <x:f>'Evaluation Plan'!T145</x:f>
        <x:v>No object in the entire scene has the queried state. The prompt uses the same canonical frame as active trials, and the queried state-object cell is training-supported. The same-category candidates share the orthogonal C/O state (O).</x:v>
      </x:c>
      <x:c r="U145" s="11" t="n">
        <x:f>'Evaluation Plan'!U145</x:f>
        <x:v>0</x:v>
      </x:c>
    </x:row>
    <x:row r="146" ht="51" customHeight="1">
      <x:c r="A146" s="5" t="s">
        <x:v>181</x:v>
      </x:c>
      <x:c r="B146" s="4" t="n">
        <x:f>'Evaluation Plan'!B146</x:f>
        <x:v>144</x:v>
      </x:c>
      <x:c r="C146" s="5" t="str">
        <x:f>'Evaluation Plan'!C146</x:f>
        <x:v>Place the upside-down brown cup in the bowl.</x:v>
      </x:c>
      <x:c r="D146" s="5" t="str">
        <x:f>'Evaluation Plan'!D146</x:f>
        <x:v>brown cup A (O, RU); brown cup B (O, RU); glass spice container B (O, RU); white cup A (C, RU)</x:v>
      </x:c>
      <x:c r="E146" s="4" t="n">
        <x:f>'Evaluation Plan'!E146</x:f>
        <x:v>0</x:v>
      </x:c>
      <x:c r="F146" s="4" t="str">
        <x:f>'Evaluation Plan'!F146</x:f>
        <x:v>127</x:v>
      </x:c>
      <x:c r="G146" s="5" t="str">
        <x:f>'Evaluation Plan'!G146</x:f>
        <x:v>The state-object concept is explicitly trained, but training does not contain a no-satisfying-target abstention trajectory.</x:v>
      </x:c>
      <x:c r="H146" s="5" t="str">
        <x:f>'Evaluation Plan'!H146</x:f>
        <x:v>NO-OP; no object has state UD, so nothing should be picked up</x:v>
      </x:c>
      <x:c r="I146" s="5"/>
      <x:c r="J146" s="7" t="str">
        <x:f>'Evaluation Plan'!J146</x:f>
        <x:v>No valid target / no movement</x:v>
      </x:c>
      <x:c r="K146" s="4" t="str">
        <x:f>'Evaluation Plan'!K146</x:f>
        <x:v>SR-NOOP15</x:v>
      </x:c>
      <x:c r="L146" s="4" t="str">
        <x:f>'Evaluation Plan'!L146</x:f>
        <x:v>UD</x:v>
      </x:c>
      <x:c r="M146" s="4" t="str">
        <x:f>'Evaluation Plan'!M146</x:f>
        <x:v>brown cup</x:v>
      </x:c>
      <x:c r="N146" s="4" t="n">
        <x:f>'Evaluation Plan'!N146</x:f>
        <x:v>4</x:v>
      </x:c>
      <x:c r="O146" s="4" t="n">
        <x:f>'Evaluation Plan'!O146</x:f>
        <x:v>0</x:v>
      </x:c>
      <x:c r="P146" s="4" t="str">
        <x:f>'Evaluation Plan'!P146</x:f>
        <x:v>Empty</x:v>
      </x:c>
      <x:c r="Q146" s="5" t="str">
        <x:f>'Evaluation Plan'!Q146</x:f>
        <x:v>No satisfying state present; bowl remains empty</x:v>
      </x:c>
      <x:c r="R146" s="4" t="n">
        <x:f>'Evaluation Plan'!R146</x:f>
        <x:v>6</x:v>
      </x:c>
      <x:c r="S146" s="5" t="str">
        <x:f>'Evaluation Plan'!S146</x:f>
        <x:v>Build the listed no-match scene and confirm the bowl is empty.</x:v>
      </x:c>
      <x:c r="T146" s="5" t="str">
        <x:f>'Evaluation Plan'!T146</x:f>
        <x:v>No object in the entire scene has the queried state. The prompt uses the same canonical frame as active trials, and the queried state-object cell is training-supported. The same-category candidates share the orthogonal C/O state (O).</x:v>
      </x:c>
      <x:c r="U146" s="5" t="n">
        <x:f>'Evaluation Plan'!U146</x:f>
        <x:v>0</x:v>
      </x:c>
    </x:row>
    <x:row r="147" ht="51" customHeight="1">
      <x:c r="A147" s="11" t="s">
        <x:v>181</x:v>
      </x:c>
      <x:c r="B147" s="10" t="n">
        <x:f>'Evaluation Plan'!B147</x:f>
        <x:v>145</x:v>
      </x:c>
      <x:c r="C147" s="11" t="str">
        <x:f>'Evaluation Plan'!C147</x:f>
        <x:v>Place the closed glass spice container in the bowl.</x:v>
      </x:c>
      <x:c r="D147" s="11" t="str">
        <x:f>'Evaluation Plan'!D147</x:f>
        <x:v>glass spice container A (O, RU); glass spice container B (O, RU)</x:v>
      </x:c>
      <x:c r="E147" s="10" t="n">
        <x:f>'Evaluation Plan'!E147</x:f>
        <x:v>0</x:v>
      </x:c>
      <x:c r="F147" s="10" t="str">
        <x:f>'Evaluation Plan'!F147</x:f>
        <x:v>152</x:v>
      </x:c>
      <x:c r="G147" s="11" t="str">
        <x:f>'Evaluation Plan'!G147</x:f>
        <x:v>The state-object concept is explicitly trained, but training does not contain a no-satisfying-target abstention trajectory. All objects are upright, matching the context of every explicit open/closed training demonstration.</x:v>
      </x:c>
      <x:c r="H147" s="11" t="str">
        <x:f>'Evaluation Plan'!H147</x:f>
        <x:v>NO-OP; no object has state C, so nothing should be picked up</x:v>
      </x:c>
      <x:c r="I147" s="11"/>
      <x:c r="J147" s="7" t="str">
        <x:f>'Evaluation Plan'!J147</x:f>
        <x:v>No valid target / no movement</x:v>
      </x:c>
      <x:c r="K147" s="10" t="str">
        <x:f>'Evaluation Plan'!K147</x:f>
        <x:v>SR-NOOP16</x:v>
      </x:c>
      <x:c r="L147" s="10" t="str">
        <x:f>'Evaluation Plan'!L147</x:f>
        <x:v>C</x:v>
      </x:c>
      <x:c r="M147" s="10" t="str">
        <x:f>'Evaluation Plan'!M147</x:f>
        <x:v>glass spice container</x:v>
      </x:c>
      <x:c r="N147" s="10" t="n">
        <x:f>'Evaluation Plan'!N147</x:f>
        <x:v>2</x:v>
      </x:c>
      <x:c r="O147" s="10" t="n">
        <x:f>'Evaluation Plan'!O147</x:f>
        <x:v>0</x:v>
      </x:c>
      <x:c r="P147" s="10" t="str">
        <x:f>'Evaluation Plan'!P147</x:f>
        <x:v>Empty</x:v>
      </x:c>
      <x:c r="Q147" s="11" t="str">
        <x:f>'Evaluation Plan'!Q147</x:f>
        <x:v>No satisfying state present; bowl remains empty</x:v>
      </x:c>
      <x:c r="R147" s="10" t="n">
        <x:f>'Evaluation Plan'!R147</x:f>
        <x:v>6</x:v>
      </x:c>
      <x:c r="S147" s="11" t="str">
        <x:f>'Evaluation Plan'!S147</x:f>
        <x:v>Build the listed no-match scene and confirm the bowl is empty.</x:v>
      </x:c>
      <x:c r="T147" s="11" t="str">
        <x:f>'Evaluation Plan'!T147</x:f>
        <x:v>No object in the entire scene has the queried state. The prompt uses the same canonical frame as active trials, and the queried state-object cell is training-supported. The orthogonal orientation axis is fixed: every object is RU.</x:v>
      </x:c>
      <x:c r="U147" s="11" t="n">
        <x:f>'Evaluation Plan'!U147</x:f>
        <x:v>0</x:v>
      </x:c>
    </x:row>
    <x:row r="148" ht="51" customHeight="1">
      <x:c r="A148" s="5" t="s">
        <x:v>181</x:v>
      </x:c>
      <x:c r="B148" s="4" t="n">
        <x:f>'Evaluation Plan'!B148</x:f>
        <x:v>146</x:v>
      </x:c>
      <x:c r="C148" s="5" t="str">
        <x:f>'Evaluation Plan'!C148</x:f>
        <x:v>Place the open white cup in the bowl.</x:v>
      </x:c>
      <x:c r="D148" s="5" t="str">
        <x:f>'Evaluation Plan'!D148</x:f>
        <x:v>white cup A (C, RU); white cup B (C, RU); glass spice container A (C, RU)</x:v>
      </x:c>
      <x:c r="E148" s="4" t="n">
        <x:f>'Evaluation Plan'!E148</x:f>
        <x:v>0</x:v>
      </x:c>
      <x:c r="F148" s="4" t="str">
        <x:f>'Evaluation Plan'!F148</x:f>
        <x:v>2</x:v>
      </x:c>
      <x:c r="G148" s="5" t="str">
        <x:f>'Evaluation Plan'!G148</x:f>
        <x:v>The state-object concept is explicitly trained, but training does not contain a no-satisfying-target abstention trajectory. All objects are upright, matching the context of every explicit open/closed training demonstration.</x:v>
      </x:c>
      <x:c r="H148" s="5" t="str">
        <x:f>'Evaluation Plan'!H148</x:f>
        <x:v>NO-OP; no object has state O, so nothing should be picked up</x:v>
      </x:c>
      <x:c r="I148" s="5"/>
      <x:c r="J148" s="7" t="str">
        <x:f>'Evaluation Plan'!J148</x:f>
        <x:v>No valid target / no movement</x:v>
      </x:c>
      <x:c r="K148" s="4" t="str">
        <x:f>'Evaluation Plan'!K148</x:f>
        <x:v>SR-NOOP17</x:v>
      </x:c>
      <x:c r="L148" s="4" t="str">
        <x:f>'Evaluation Plan'!L148</x:f>
        <x:v>O</x:v>
      </x:c>
      <x:c r="M148" s="4" t="str">
        <x:f>'Evaluation Plan'!M148</x:f>
        <x:v>white cup</x:v>
      </x:c>
      <x:c r="N148" s="4" t="n">
        <x:f>'Evaluation Plan'!N148</x:f>
        <x:v>3</x:v>
      </x:c>
      <x:c r="O148" s="4" t="n">
        <x:f>'Evaluation Plan'!O148</x:f>
        <x:v>0</x:v>
      </x:c>
      <x:c r="P148" s="4" t="str">
        <x:f>'Evaluation Plan'!P148</x:f>
        <x:v>Empty</x:v>
      </x:c>
      <x:c r="Q148" s="5" t="str">
        <x:f>'Evaluation Plan'!Q148</x:f>
        <x:v>No satisfying state present; bowl remains empty</x:v>
      </x:c>
      <x:c r="R148" s="4" t="n">
        <x:f>'Evaluation Plan'!R148</x:f>
        <x:v>6</x:v>
      </x:c>
      <x:c r="S148" s="5" t="str">
        <x:f>'Evaluation Plan'!S148</x:f>
        <x:v>Build the listed no-match scene and confirm the bowl is empty.</x:v>
      </x:c>
      <x:c r="T148" s="5" t="str">
        <x:f>'Evaluation Plan'!T148</x:f>
        <x:v>No object in the entire scene has the queried state. The prompt uses the same canonical frame as active trials, and the queried state-object cell is training-supported. The orthogonal orientation axis is fixed: every object is RU.</x:v>
      </x:c>
      <x:c r="U148" s="5" t="n">
        <x:f>'Evaluation Plan'!U148</x:f>
        <x:v>0</x:v>
      </x:c>
    </x:row>
    <x:row r="149" ht="51" customHeight="1">
      <x:c r="A149" s="11" t="s">
        <x:v>181</x:v>
      </x:c>
      <x:c r="B149" s="10" t="n">
        <x:f>'Evaluation Plan'!B149</x:f>
        <x:v>147</x:v>
      </x:c>
      <x:c r="C149" s="11" t="str">
        <x:f>'Evaluation Plan'!C149</x:f>
        <x:v>Place the upright yellow-white striped cup in the bowl.</x:v>
      </x:c>
      <x:c r="D149" s="11" t="str">
        <x:f>'Evaluation Plan'!D149</x:f>
        <x:v>yellow-white striped cup A (C, UD); yellow-white striped cup B (C, UD); white cup B (O, UD); brown cup A (C, UD)</x:v>
      </x:c>
      <x:c r="E149" s="10" t="n">
        <x:f>'Evaluation Plan'!E149</x:f>
        <x:v>0</x:v>
      </x:c>
      <x:c r="F149" s="10" t="str">
        <x:f>'Evaluation Plan'!F149</x:f>
        <x:v>76</x:v>
      </x:c>
      <x:c r="G149" s="11" t="str">
        <x:f>'Evaluation Plan'!G149</x:f>
        <x:v>The state-object concept is explicitly trained, but training does not contain a no-satisfying-target abstention trajectory.</x:v>
      </x:c>
      <x:c r="H149" s="11" t="str">
        <x:f>'Evaluation Plan'!H149</x:f>
        <x:v>NO-OP; no object has state RU, so nothing should be picked up</x:v>
      </x:c>
      <x:c r="I149" s="11"/>
      <x:c r="J149" s="7" t="str">
        <x:f>'Evaluation Plan'!J149</x:f>
        <x:v>No valid target / no movement</x:v>
      </x:c>
      <x:c r="K149" s="10" t="str">
        <x:f>'Evaluation Plan'!K149</x:f>
        <x:v>SR-NOOP18</x:v>
      </x:c>
      <x:c r="L149" s="10" t="str">
        <x:f>'Evaluation Plan'!L149</x:f>
        <x:v>RU</x:v>
      </x:c>
      <x:c r="M149" s="10" t="str">
        <x:f>'Evaluation Plan'!M149</x:f>
        <x:v>yellow-white striped cup</x:v>
      </x:c>
      <x:c r="N149" s="10" t="n">
        <x:f>'Evaluation Plan'!N149</x:f>
        <x:v>4</x:v>
      </x:c>
      <x:c r="O149" s="10" t="n">
        <x:f>'Evaluation Plan'!O149</x:f>
        <x:v>0</x:v>
      </x:c>
      <x:c r="P149" s="10" t="str">
        <x:f>'Evaluation Plan'!P149</x:f>
        <x:v>Empty</x:v>
      </x:c>
      <x:c r="Q149" s="11" t="str">
        <x:f>'Evaluation Plan'!Q149</x:f>
        <x:v>No satisfying state present; bowl remains empty</x:v>
      </x:c>
      <x:c r="R149" s="10" t="n">
        <x:f>'Evaluation Plan'!R149</x:f>
        <x:v>6</x:v>
      </x:c>
      <x:c r="S149" s="11" t="str">
        <x:f>'Evaluation Plan'!S149</x:f>
        <x:v>Build the listed no-match scene and confirm the bowl is empty.</x:v>
      </x:c>
      <x:c r="T149" s="11" t="str">
        <x:f>'Evaluation Plan'!T149</x:f>
        <x:v>No object in the entire scene has the queried state. The prompt uses the same canonical frame as active trials, and the queried state-object cell is training-supported. The same-category candidates share the orthogonal C/O state (C).</x:v>
      </x:c>
      <x:c r="U149" s="11" t="n">
        <x:f>'Evaluation Plan'!U149</x:f>
        <x:v>0</x:v>
      </x:c>
    </x:row>
    <x:row r="150" ht="51" customHeight="1">
      <x:c r="A150" s="5" t="s">
        <x:v>181</x:v>
      </x:c>
      <x:c r="B150" s="4" t="n">
        <x:f>'Evaluation Plan'!B150</x:f>
        <x:v>148</x:v>
      </x:c>
      <x:c r="C150" s="5" t="str">
        <x:f>'Evaluation Plan'!C150</x:f>
        <x:v>Place the upright brown cup in the bowl.</x:v>
      </x:c>
      <x:c r="D150" s="5" t="str">
        <x:f>'Evaluation Plan'!D150</x:f>
        <x:v>brown cup A (C, UD); brown cup B (C, UD)</x:v>
      </x:c>
      <x:c r="E150" s="4" t="n">
        <x:f>'Evaluation Plan'!E150</x:f>
        <x:v>0</x:v>
      </x:c>
      <x:c r="F150" s="4" t="str">
        <x:f>'Evaluation Plan'!F150</x:f>
        <x:v>130</x:v>
      </x:c>
      <x:c r="G150" s="5" t="str">
        <x:f>'Evaluation Plan'!G150</x:f>
        <x:v>The state-object concept is explicitly trained, but training does not contain a no-satisfying-target abstention trajectory.</x:v>
      </x:c>
      <x:c r="H150" s="5" t="str">
        <x:f>'Evaluation Plan'!H150</x:f>
        <x:v>NO-OP; no object has state RU, so nothing should be picked up</x:v>
      </x:c>
      <x:c r="I150" s="5"/>
      <x:c r="J150" s="7" t="str">
        <x:f>'Evaluation Plan'!J150</x:f>
        <x:v>No valid target / no movement</x:v>
      </x:c>
      <x:c r="K150" s="4" t="str">
        <x:f>'Evaluation Plan'!K150</x:f>
        <x:v>SR-NOOP19</x:v>
      </x:c>
      <x:c r="L150" s="4" t="str">
        <x:f>'Evaluation Plan'!L150</x:f>
        <x:v>RU</x:v>
      </x:c>
      <x:c r="M150" s="4" t="str">
        <x:f>'Evaluation Plan'!M150</x:f>
        <x:v>brown cup</x:v>
      </x:c>
      <x:c r="N150" s="4" t="n">
        <x:f>'Evaluation Plan'!N150</x:f>
        <x:v>2</x:v>
      </x:c>
      <x:c r="O150" s="4" t="n">
        <x:f>'Evaluation Plan'!O150</x:f>
        <x:v>0</x:v>
      </x:c>
      <x:c r="P150" s="4" t="str">
        <x:f>'Evaluation Plan'!P150</x:f>
        <x:v>Empty</x:v>
      </x:c>
      <x:c r="Q150" s="5" t="str">
        <x:f>'Evaluation Plan'!Q150</x:f>
        <x:v>No satisfying state present; bowl remains empty</x:v>
      </x:c>
      <x:c r="R150" s="4" t="n">
        <x:f>'Evaluation Plan'!R150</x:f>
        <x:v>6</x:v>
      </x:c>
      <x:c r="S150" s="5" t="str">
        <x:f>'Evaluation Plan'!S150</x:f>
        <x:v>Build the listed no-match scene and confirm the bowl is empty.</x:v>
      </x:c>
      <x:c r="T150" s="5" t="str">
        <x:f>'Evaluation Plan'!T150</x:f>
        <x:v>No object in the entire scene has the queried state. The prompt uses the same canonical frame as active trials, and the queried state-object cell is training-supported. The same-category candidates share the orthogonal C/O state (C).</x:v>
      </x:c>
      <x:c r="U150" s="5" t="n">
        <x:f>'Evaluation Plan'!U150</x:f>
        <x:v>0</x:v>
      </x:c>
    </x:row>
    <x:row r="151" ht="51" customHeight="1">
      <x:c r="A151" s="11" t="s">
        <x:v>181</x:v>
      </x:c>
      <x:c r="B151" s="10" t="n">
        <x:f>'Evaluation Plan'!B151</x:f>
        <x:v>149</x:v>
      </x:c>
      <x:c r="C151" s="11" t="str">
        <x:f>'Evaluation Plan'!C151</x:f>
        <x:v>Place the open glass spice container in the bowl.</x:v>
      </x:c>
      <x:c r="D151" s="11" t="str">
        <x:f>'Evaluation Plan'!D151</x:f>
        <x:v>glass spice container A (C, RU); glass spice container B (C, RU); brown cup B (C, RU)</x:v>
      </x:c>
      <x:c r="E151" s="10" t="n">
        <x:f>'Evaluation Plan'!E151</x:f>
        <x:v>0</x:v>
      </x:c>
      <x:c r="F151" s="10" t="str">
        <x:f>'Evaluation Plan'!F151</x:f>
        <x:v>154</x:v>
      </x:c>
      <x:c r="G151" s="11" t="str">
        <x:f>'Evaluation Plan'!G151</x:f>
        <x:v>The state-object concept is explicitly trained, but training does not contain a no-satisfying-target abstention trajectory. All objects are upright, matching the context of every explicit open/closed training demonstration.</x:v>
      </x:c>
      <x:c r="H151" s="11" t="str">
        <x:f>'Evaluation Plan'!H151</x:f>
        <x:v>NO-OP; no object has state O, so nothing should be picked up</x:v>
      </x:c>
      <x:c r="I151" s="11"/>
      <x:c r="J151" s="7" t="str">
        <x:f>'Evaluation Plan'!J151</x:f>
        <x:v>No valid target / no movement</x:v>
      </x:c>
      <x:c r="K151" s="10" t="str">
        <x:f>'Evaluation Plan'!K151</x:f>
        <x:v>SR-NOOP20</x:v>
      </x:c>
      <x:c r="L151" s="10" t="str">
        <x:f>'Evaluation Plan'!L151</x:f>
        <x:v>O</x:v>
      </x:c>
      <x:c r="M151" s="10" t="str">
        <x:f>'Evaluation Plan'!M151</x:f>
        <x:v>glass spice container</x:v>
      </x:c>
      <x:c r="N151" s="10" t="n">
        <x:f>'Evaluation Plan'!N151</x:f>
        <x:v>3</x:v>
      </x:c>
      <x:c r="O151" s="10" t="n">
        <x:f>'Evaluation Plan'!O151</x:f>
        <x:v>0</x:v>
      </x:c>
      <x:c r="P151" s="10" t="str">
        <x:f>'Evaluation Plan'!P151</x:f>
        <x:v>Empty</x:v>
      </x:c>
      <x:c r="Q151" s="11" t="str">
        <x:f>'Evaluation Plan'!Q151</x:f>
        <x:v>No satisfying state present; bowl remains empty</x:v>
      </x:c>
      <x:c r="R151" s="10" t="n">
        <x:f>'Evaluation Plan'!R151</x:f>
        <x:v>6</x:v>
      </x:c>
      <x:c r="S151" s="11" t="str">
        <x:f>'Evaluation Plan'!S151</x:f>
        <x:v>Build the listed no-match scene and confirm the bowl is empty.</x:v>
      </x:c>
      <x:c r="T151" s="11" t="str">
        <x:f>'Evaluation Plan'!T151</x:f>
        <x:v>No object in the entire scene has the queried state. The prompt uses the same canonical frame as active trials, and the queried state-object cell is training-supported. The orthogonal orientation axis is fixed: every object is RU.</x:v>
      </x:c>
      <x:c r="U151" s="11" t="n">
        <x:f>'Evaluation Plan'!U151</x:f>
        <x:v>0</x:v>
      </x:c>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P131">
    <x:cfRule type="expression" dxfId="5" priority="1">
      <x:formula>$A2="Success"</x:formula>
    </x:cfRule>
  </x:conditionalFormatting>
  <x:conditionalFormatting sqref="A2:P131">
    <x:cfRule type="expression" dxfId="6" priority="2">
      <x:formula>$A2="Failure"</x:formula>
    </x:cfRule>
  </x:conditionalFormatting>
  <x:conditionalFormatting sqref="H2:H131">
    <x:cfRule type="containsText" dxfId="8" priority="3" operator="containsText" text="Exact-scene opposite-state contrast">
      <x:formula>NOT(ISERROR(SEARCH(("Exact-scene opposite-state contrast"),(H2))))</x:formula>
    </x:cfRule>
  </x:conditionalFormatting>
  <x:conditionalFormatting sqref="A2:U151">
    <x:cfRule type="expression" dxfId="12" priority="4">
      <x:formula>$A2="Success"</x:formula>
    </x:cfRule>
  </x:conditionalFormatting>
  <x:conditionalFormatting sqref="A2:U151">
    <x:cfRule type="expression" dxfId="13" priority="5">
      <x:formula>$A2="Failure"</x:formula>
    </x:cfRule>
  </x:conditionalFormatting>
  <x:dataValidations count="1">
    <x:dataValidation type="list" allowBlank="1" sqref="A2:A151">
      <x:formula1>"Not collected,Success,Failure"</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2.630000114440918" defaultRowHeight="15"/>
  <x:cols>
    <x:col min="1" max="1" width="11.630000114440918" customWidth="1"/>
    <x:col min="2" max="2" width="6.630000114440918" customWidth="1"/>
    <x:col min="3" max="3" width="30" customWidth="1"/>
    <x:col min="4" max="4" width="48.880001068115234" customWidth="1"/>
    <x:col min="5" max="5" width="9.5" customWidth="1"/>
    <x:col min="6" max="6" width="12.75" customWidth="1"/>
    <x:col min="7" max="7" width="40" customWidth="1"/>
    <x:col min="8" max="8" width="25.5" customWidth="1"/>
    <x:col min="9" max="9" width="28.8799991607666" customWidth="1"/>
    <x:col min="10" max="10" width="23.8799991607666" customWidth="1"/>
    <x:col min="11" max="11" width="10.5" customWidth="1"/>
    <x:col min="12" max="12" width="8.880000114440918" customWidth="1"/>
    <x:col min="13" max="13" width="20" customWidth="1"/>
    <x:col min="14" max="14" width="8.380000114440918" customWidth="1"/>
    <x:col min="15" max="15" width="10" customWidth="1"/>
    <x:col min="16" max="16" width="8.880000114440918" customWidth="1"/>
    <x:col min="17" max="17" width="30.5" customWidth="1"/>
    <x:col min="18" max="18" width="9.5" customWidth="1"/>
    <x:col min="19" max="19" width="27.75" customWidth="1"/>
    <x:col min="20" max="20" width="36.630001068115234" customWidth="1"/>
    <x:col min="21" max="21" width="20.5" customWidth="1"/>
    <x:col min="22" max="26" width="8.63000011444091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row>
    <x:row r="2" ht="51" customHeight="1">
      <x:c r="A2" s="5" t="s">
        <x:v>181</x:v>
      </x:c>
      <x:c r="B2" s="4" t="n">
        <x:f>'Evaluation Plan'!B2</x:f>
        <x:v>0</x:v>
      </x:c>
      <x:c r="C2" s="5" t="str">
        <x:f>'Evaluation Plan'!C2</x:f>
        <x:v>Put the open white cup in the bowl.</x:v>
      </x:c>
      <x:c r="D2" s="5" t="str">
        <x:f>'Evaluation Plan'!D2</x:f>
        <x:v>white cup A (O, RU); white cup B (C, RU); glass spice container A (O, RU); yellow-white striped cup B (O, RU)</x:v>
      </x:c>
      <x:c r="E2" s="4" t="n">
        <x:f>'Evaluation Plan'!E2</x:f>
        <x:v>0</x:v>
      </x:c>
      <x:c r="F2" s="4" t="str">
        <x:f>'Evaluation Plan'!F2</x:f>
        <x:v>2</x:v>
      </x:c>
      <x:c r="G2" s="5" t="str">
        <x:f>'Evaluation Plan'!G2</x:f>
        <x:v>Exact manifest episode: trained state-object cell, prompt, same-category candidate structure, and object membership match; physical layout is manually recreated. All objects are upright, matching the context of every explicit open/closed training demonstration.</x:v>
      </x:c>
      <x:c r="H2" s="5" t="str">
        <x:f>'Evaluation Plan'!H2</x:f>
        <x:v>white cup A</x:v>
      </x:c>
      <x:c r="I2" s="5"/>
      <x:c r="J2" s="7" t="str">
        <x:f>'Evaluation Plan'!J2</x:f>
        <x:v>In-distribution concept baseline</x:v>
      </x:c>
      <x:c r="K2" s="4" t="str">
        <x:f>'Evaluation Plan'!K2</x:f>
        <x:v>SR-ID01</x:v>
      </x:c>
      <x:c r="L2" s="4" t="str">
        <x:f>'Evaluation Plan'!L2</x:f>
        <x:v>O</x:v>
      </x:c>
      <x:c r="M2" s="4" t="str">
        <x:f>'Evaluation Plan'!M2</x:f>
        <x:v>white cup</x:v>
      </x:c>
      <x:c r="N2" s="4" t="n">
        <x:f>'Evaluation Plan'!N2</x:f>
        <x:v>4</x:v>
      </x:c>
      <x:c r="O2" s="4" t="n">
        <x:f>'Evaluation Plan'!O2</x:f>
        <x:v>1</x:v>
      </x:c>
      <x:c r="P2" s="4" t="str">
        <x:f>'Evaluation Plan'!P2</x:f>
        <x:v>Empty</x:v>
      </x:c>
      <x:c r="Q2" s="5" t="str">
        <x:f>'Evaluation Plan'!Q2</x:f>
        <x:v>Exact training-supported state-object baseline</x:v>
      </x:c>
      <x:c r="R2" s="4" t="n">
        <x:f>'Evaluation Plan'!R2</x:f>
        <x:v>1</x:v>
      </x:c>
      <x:c r="S2" s="5" t="str">
        <x:f>'Evaluation Plan'!S2</x:f>
        <x:v>Recreate the listed manifest scene with the bowl empty.</x:v>
      </x:c>
      <x:c r="T2" s="5" t="str">
        <x:f>'Evaluation Plan'!T2</x:f>
        <x:v>The queried state-object combination and same-category discrimination structure are explicitly represented in training. The orthogonal orientation axis is fixed: every object is RU.</x:v>
      </x:c>
      <x:c r="U2" s="5" t="n">
        <x:f>'Evaluation Plan'!U2</x:f>
        <x:v>0</x:v>
      </x:c>
    </x:row>
    <x:row r="3" ht="51" customHeight="1">
      <x:c r="A3" s="11" t="s">
        <x:v>181</x:v>
      </x:c>
      <x:c r="B3" s="10" t="n">
        <x:f>'Evaluation Plan'!B3</x:f>
        <x:v>1</x:v>
      </x:c>
      <x:c r="C3" s="11" t="str">
        <x:f>'Evaluation Plan'!C3</x:f>
        <x:v>Put the upright white cup in the bowl.</x:v>
      </x:c>
      <x:c r="D3" s="11" t="str">
        <x:f>'Evaluation Plan'!D3</x:f>
        <x:v>white cup A (O, RU); white cup B (O, UD)</x:v>
      </x:c>
      <x:c r="E3" s="10" t="n">
        <x:f>'Evaluation Plan'!E3</x:f>
        <x:v>0</x:v>
      </x:c>
      <x:c r="F3" s="10" t="str">
        <x:f>'Evaluation Plan'!F3</x:f>
        <x:v>26</x:v>
      </x:c>
      <x:c r="G3" s="11" t="str">
        <x:f>'Evaluation Plan'!G3</x:f>
        <x:v>Exact manifest episode: trained state-object cell, prompt, same-category candidate structure, and object membership match; physical layout is manually recreated.</x:v>
      </x:c>
      <x:c r="H3" s="11" t="str">
        <x:f>'Evaluation Plan'!H3</x:f>
        <x:v>white cup A</x:v>
      </x:c>
      <x:c r="I3" s="11"/>
      <x:c r="J3" s="7" t="str">
        <x:f>'Evaluation Plan'!J3</x:f>
        <x:v>In-distribution concept baseline</x:v>
      </x:c>
      <x:c r="K3" s="10" t="str">
        <x:f>'Evaluation Plan'!K3</x:f>
        <x:v>SR-ID02</x:v>
      </x:c>
      <x:c r="L3" s="10" t="str">
        <x:f>'Evaluation Plan'!L3</x:f>
        <x:v>RU</x:v>
      </x:c>
      <x:c r="M3" s="10" t="str">
        <x:f>'Evaluation Plan'!M3</x:f>
        <x:v>white cup</x:v>
      </x:c>
      <x:c r="N3" s="10" t="n">
        <x:f>'Evaluation Plan'!N3</x:f>
        <x:v>2</x:v>
      </x:c>
      <x:c r="O3" s="10" t="n">
        <x:f>'Evaluation Plan'!O3</x:f>
        <x:v>1</x:v>
      </x:c>
      <x:c r="P3" s="10" t="str">
        <x:f>'Evaluation Plan'!P3</x:f>
        <x:v>Empty</x:v>
      </x:c>
      <x:c r="Q3" s="11" t="str">
        <x:f>'Evaluation Plan'!Q3</x:f>
        <x:v>Exact training-supported state-object baseline</x:v>
      </x:c>
      <x:c r="R3" s="10" t="n">
        <x:f>'Evaluation Plan'!R3</x:f>
        <x:v>1</x:v>
      </x:c>
      <x:c r="S3" s="11" t="str">
        <x:f>'Evaluation Plan'!S3</x:f>
        <x:v>Recreate the listed manifest scene with the bowl empty.</x:v>
      </x:c>
      <x:c r="T3" s="11" t="str">
        <x:f>'Evaluation Plan'!T3</x:f>
        <x:v>The queried state-object combination and same-category discrimination structure are explicitly represented in training. The same-category candidates share the orthogonal C/O state (O).</x:v>
      </x:c>
      <x:c r="U3" s="11" t="n">
        <x:f>'Evaluation Plan'!U3</x:f>
        <x:v>0</x:v>
      </x:c>
    </x:row>
    <x:row r="4" ht="51" customHeight="1">
      <x:c r="A4" s="5" t="s">
        <x:v>181</x:v>
      </x:c>
      <x:c r="B4" s="4" t="n">
        <x:f>'Evaluation Plan'!B4</x:f>
        <x:v>2</x:v>
      </x:c>
      <x:c r="C4" s="5" t="str">
        <x:f>'Evaluation Plan'!C4</x:f>
        <x:v>Move the closed yellow-white striped cup into the bowl.</x:v>
      </x:c>
      <x:c r="D4" s="5" t="str">
        <x:f>'Evaluation Plan'!D4</x:f>
        <x:v>yellow-white striped cup B (C, RU); yellow-white striped cup A (O, RU); white cup A (C, RU)</x:v>
      </x:c>
      <x:c r="E4" s="4" t="n">
        <x:f>'Evaluation Plan'!E4</x:f>
        <x:v>0</x:v>
      </x:c>
      <x:c r="F4" s="4" t="str">
        <x:f>'Evaluation Plan'!F4</x:f>
        <x:v>51</x:v>
      </x:c>
      <x:c r="G4" s="5" t="str">
        <x:f>'Evaluation Plan'!G4</x:f>
        <x:v>Exact manifest episode: trained state-object cell, prompt, same-category candidate structure, and object membership match; physical layout is manually recreated. All objects are upright, matching the context of every explicit open/closed training demonstration.</x:v>
      </x:c>
      <x:c r="H4" s="5" t="str">
        <x:f>'Evaluation Plan'!H4</x:f>
        <x:v>yellow-white striped cup B</x:v>
      </x:c>
      <x:c r="I4" s="5"/>
      <x:c r="J4" s="7" t="str">
        <x:f>'Evaluation Plan'!J4</x:f>
        <x:v>In-distribution concept baseline</x:v>
      </x:c>
      <x:c r="K4" s="4" t="str">
        <x:f>'Evaluation Plan'!K4</x:f>
        <x:v>SR-ID03</x:v>
      </x:c>
      <x:c r="L4" s="4" t="str">
        <x:f>'Evaluation Plan'!L4</x:f>
        <x:v>C</x:v>
      </x:c>
      <x:c r="M4" s="4" t="str">
        <x:f>'Evaluation Plan'!M4</x:f>
        <x:v>yellow-white striped cup</x:v>
      </x:c>
      <x:c r="N4" s="4" t="n">
        <x:f>'Evaluation Plan'!N4</x:f>
        <x:v>3</x:v>
      </x:c>
      <x:c r="O4" s="4" t="n">
        <x:f>'Evaluation Plan'!O4</x:f>
        <x:v>1</x:v>
      </x:c>
      <x:c r="P4" s="4" t="str">
        <x:f>'Evaluation Plan'!P4</x:f>
        <x:v>Empty</x:v>
      </x:c>
      <x:c r="Q4" s="5" t="str">
        <x:f>'Evaluation Plan'!Q4</x:f>
        <x:v>Exact training-supported state-object baseline</x:v>
      </x:c>
      <x:c r="R4" s="4" t="n">
        <x:f>'Evaluation Plan'!R4</x:f>
        <x:v>1</x:v>
      </x:c>
      <x:c r="S4" s="5" t="str">
        <x:f>'Evaluation Plan'!S4</x:f>
        <x:v>Recreate the listed manifest scene with the bowl empty.</x:v>
      </x:c>
      <x:c r="T4" s="5" t="str">
        <x:f>'Evaluation Plan'!T4</x:f>
        <x:v>The queried state-object combination and same-category discrimination structure are explicitly represented in training. The orthogonal orientation axis is fixed: every object is RU.</x:v>
      </x:c>
      <x:c r="U4" s="5" t="n">
        <x:f>'Evaluation Plan'!U4</x:f>
        <x:v>0</x:v>
      </x:c>
    </x:row>
    <x:row r="5" ht="51" customHeight="1">
      <x:c r="A5" s="11" t="s">
        <x:v>181</x:v>
      </x:c>
      <x:c r="B5" s="10" t="n">
        <x:f>'Evaluation Plan'!B5</x:f>
        <x:v>3</x:v>
      </x:c>
      <x:c r="C5" s="11" t="str">
        <x:f>'Evaluation Plan'!C5</x:f>
        <x:v>Move the upside-down yellow-white striped cup into the bowl.</x:v>
      </x:c>
      <x:c r="D5" s="11" t="str">
        <x:f>'Evaluation Plan'!D5</x:f>
        <x:v>yellow-white striped cup B (O, UD); yellow-white striped cup A (O, RU); brown cup B (C, RU); glass spice container A (O, RU)</x:v>
      </x:c>
      <x:c r="E5" s="10" t="n">
        <x:f>'Evaluation Plan'!E5</x:f>
        <x:v>0</x:v>
      </x:c>
      <x:c r="F5" s="10" t="str">
        <x:f>'Evaluation Plan'!F5</x:f>
        <x:v>78</x:v>
      </x:c>
      <x:c r="G5" s="11" t="str">
        <x:f>'Evaluation Plan'!G5</x:f>
        <x:v>Exact manifest episode: trained state-object cell, prompt, same-category candidate structure, and object membership match; physical layout is manually recreated.</x:v>
      </x:c>
      <x:c r="H5" s="11" t="str">
        <x:f>'Evaluation Plan'!H5</x:f>
        <x:v>yellow-white striped cup B</x:v>
      </x:c>
      <x:c r="I5" s="11"/>
      <x:c r="J5" s="7" t="str">
        <x:f>'Evaluation Plan'!J5</x:f>
        <x:v>In-distribution concept baseline</x:v>
      </x:c>
      <x:c r="K5" s="10" t="str">
        <x:f>'Evaluation Plan'!K5</x:f>
        <x:v>SR-ID04</x:v>
      </x:c>
      <x:c r="L5" s="10" t="str">
        <x:f>'Evaluation Plan'!L5</x:f>
        <x:v>UD</x:v>
      </x:c>
      <x:c r="M5" s="10" t="str">
        <x:f>'Evaluation Plan'!M5</x:f>
        <x:v>yellow-white striped cup</x:v>
      </x:c>
      <x:c r="N5" s="10" t="n">
        <x:f>'Evaluation Plan'!N5</x:f>
        <x:v>4</x:v>
      </x:c>
      <x:c r="O5" s="10" t="n">
        <x:f>'Evaluation Plan'!O5</x:f>
        <x:v>1</x:v>
      </x:c>
      <x:c r="P5" s="10" t="str">
        <x:f>'Evaluation Plan'!P5</x:f>
        <x:v>Empty</x:v>
      </x:c>
      <x:c r="Q5" s="11" t="str">
        <x:f>'Evaluation Plan'!Q5</x:f>
        <x:v>Exact training-supported state-object baseline</x:v>
      </x:c>
      <x:c r="R5" s="10" t="n">
        <x:f>'Evaluation Plan'!R5</x:f>
        <x:v>1</x:v>
      </x:c>
      <x:c r="S5" s="11" t="str">
        <x:f>'Evaluation Plan'!S5</x:f>
        <x:v>Recreate the listed manifest scene with the bowl empty.</x:v>
      </x:c>
      <x:c r="T5" s="11" t="str">
        <x:f>'Evaluation Plan'!T5</x:f>
        <x:v>The queried state-object combination and same-category discrimination structure are explicitly represented in training. The same-category candidates share the orthogonal C/O state (O).</x:v>
      </x:c>
      <x:c r="U5" s="11" t="n">
        <x:f>'Evaluation Plan'!U5</x:f>
        <x:v>0</x:v>
      </x:c>
    </x:row>
    <x:row r="6" ht="51" customHeight="1">
      <x:c r="A6" s="5" t="s">
        <x:v>181</x:v>
      </x:c>
      <x:c r="B6" s="4" t="n">
        <x:f>'Evaluation Plan'!B6</x:f>
        <x:v>4</x:v>
      </x:c>
      <x:c r="C6" s="5" t="str">
        <x:f>'Evaluation Plan'!C6</x:f>
        <x:v>Put the open brown cup in the bowl.</x:v>
      </x:c>
      <x:c r="D6" s="5" t="str">
        <x:f>'Evaluation Plan'!D6</x:f>
        <x:v>brown cup B (O, RU); brown cup A (C, RU); glass spice container A (O, RU)</x:v>
      </x:c>
      <x:c r="E6" s="4" t="n">
        <x:f>'Evaluation Plan'!E6</x:f>
        <x:v>0</x:v>
      </x:c>
      <x:c r="F6" s="4" t="str">
        <x:f>'Evaluation Plan'!F6</x:f>
        <x:v>104</x:v>
      </x:c>
      <x:c r="G6" s="5" t="str">
        <x:f>'Evaluation Plan'!G6</x:f>
        <x:v>Exact manifest episode: trained state-object cell, prompt, same-category candidate structure, and object membership match; physical layout is manually recreated. All objects are upright, matching the context of every explicit open/closed training demonstration.</x:v>
      </x:c>
      <x:c r="H6" s="5" t="str">
        <x:f>'Evaluation Plan'!H6</x:f>
        <x:v>brown cup B</x:v>
      </x:c>
      <x:c r="I6" s="5"/>
      <x:c r="J6" s="7" t="str">
        <x:f>'Evaluation Plan'!J6</x:f>
        <x:v>In-distribution concept baseline</x:v>
      </x:c>
      <x:c r="K6" s="4" t="str">
        <x:f>'Evaluation Plan'!K6</x:f>
        <x:v>SR-ID05</x:v>
      </x:c>
      <x:c r="L6" s="4" t="str">
        <x:f>'Evaluation Plan'!L6</x:f>
        <x:v>O</x:v>
      </x:c>
      <x:c r="M6" s="4" t="str">
        <x:f>'Evaluation Plan'!M6</x:f>
        <x:v>brown cup</x:v>
      </x:c>
      <x:c r="N6" s="4" t="n">
        <x:f>'Evaluation Plan'!N6</x:f>
        <x:v>3</x:v>
      </x:c>
      <x:c r="O6" s="4" t="n">
        <x:f>'Evaluation Plan'!O6</x:f>
        <x:v>1</x:v>
      </x:c>
      <x:c r="P6" s="4" t="str">
        <x:f>'Evaluation Plan'!P6</x:f>
        <x:v>Empty</x:v>
      </x:c>
      <x:c r="Q6" s="5" t="str">
        <x:f>'Evaluation Plan'!Q6</x:f>
        <x:v>Exact training-supported state-object baseline</x:v>
      </x:c>
      <x:c r="R6" s="4" t="n">
        <x:f>'Evaluation Plan'!R6</x:f>
        <x:v>1</x:v>
      </x:c>
      <x:c r="S6" s="5" t="str">
        <x:f>'Evaluation Plan'!S6</x:f>
        <x:v>Recreate the listed manifest scene with the bowl empty.</x:v>
      </x:c>
      <x:c r="T6" s="5" t="str">
        <x:f>'Evaluation Plan'!T6</x:f>
        <x:v>The queried state-object combination and same-category discrimination structure are explicitly represented in training. The orthogonal orientation axis is fixed: every object is RU.</x:v>
      </x:c>
      <x:c r="U6" s="5" t="n">
        <x:f>'Evaluation Plan'!U6</x:f>
        <x:v>0</x:v>
      </x:c>
    </x:row>
    <x:row r="7" ht="51" customHeight="1">
      <x:c r="A7" s="11" t="s">
        <x:v>181</x:v>
      </x:c>
      <x:c r="B7" s="10" t="n">
        <x:f>'Evaluation Plan'!B7</x:f>
        <x:v>5</x:v>
      </x:c>
      <x:c r="C7" s="11" t="str">
        <x:f>'Evaluation Plan'!C7</x:f>
        <x:v>Put the upside-down brown cup in the bowl.</x:v>
      </x:c>
      <x:c r="D7" s="11" t="str">
        <x:f>'Evaluation Plan'!D7</x:f>
        <x:v>brown cup A (O, UD); brown cup B (O, RU)</x:v>
      </x:c>
      <x:c r="E7" s="10" t="n">
        <x:f>'Evaluation Plan'!E7</x:f>
        <x:v>0</x:v>
      </x:c>
      <x:c r="F7" s="10" t="str">
        <x:f>'Evaluation Plan'!F7</x:f>
        <x:v>125</x:v>
      </x:c>
      <x:c r="G7" s="11" t="str">
        <x:f>'Evaluation Plan'!G7</x:f>
        <x:v>Exact manifest episode: trained state-object cell, prompt, same-category candidate structure, and object membership match; physical layout is manually recreated.</x:v>
      </x:c>
      <x:c r="H7" s="11" t="str">
        <x:f>'Evaluation Plan'!H7</x:f>
        <x:v>brown cup A</x:v>
      </x:c>
      <x:c r="I7" s="11"/>
      <x:c r="J7" s="7" t="str">
        <x:f>'Evaluation Plan'!J7</x:f>
        <x:v>In-distribution concept baseline</x:v>
      </x:c>
      <x:c r="K7" s="10" t="str">
        <x:f>'Evaluation Plan'!K7</x:f>
        <x:v>SR-ID06</x:v>
      </x:c>
      <x:c r="L7" s="10" t="str">
        <x:f>'Evaluation Plan'!L7</x:f>
        <x:v>UD</x:v>
      </x:c>
      <x:c r="M7" s="10" t="str">
        <x:f>'Evaluation Plan'!M7</x:f>
        <x:v>brown cup</x:v>
      </x:c>
      <x:c r="N7" s="10" t="n">
        <x:f>'Evaluation Plan'!N7</x:f>
        <x:v>2</x:v>
      </x:c>
      <x:c r="O7" s="10" t="n">
        <x:f>'Evaluation Plan'!O7</x:f>
        <x:v>1</x:v>
      </x:c>
      <x:c r="P7" s="10" t="str">
        <x:f>'Evaluation Plan'!P7</x:f>
        <x:v>Empty</x:v>
      </x:c>
      <x:c r="Q7" s="11" t="str">
        <x:f>'Evaluation Plan'!Q7</x:f>
        <x:v>Exact training-supported state-object baseline</x:v>
      </x:c>
      <x:c r="R7" s="10" t="n">
        <x:f>'Evaluation Plan'!R7</x:f>
        <x:v>1</x:v>
      </x:c>
      <x:c r="S7" s="11" t="str">
        <x:f>'Evaluation Plan'!S7</x:f>
        <x:v>Recreate the listed manifest scene with the bowl empty.</x:v>
      </x:c>
      <x:c r="T7" s="11" t="str">
        <x:f>'Evaluation Plan'!T7</x:f>
        <x:v>The queried state-object combination and same-category discrimination structure are explicitly represented in training. The same-category candidates share the orthogonal C/O state (O).</x:v>
      </x:c>
      <x:c r="U7" s="11" t="n">
        <x:f>'Evaluation Plan'!U7</x:f>
        <x:v>0</x:v>
      </x:c>
    </x:row>
    <x:row r="8" ht="51" customHeight="1">
      <x:c r="A8" s="5" t="s">
        <x:v>181</x:v>
      </x:c>
      <x:c r="B8" s="4" t="n">
        <x:f>'Evaluation Plan'!B8</x:f>
        <x:v>6</x:v>
      </x:c>
      <x:c r="C8" s="5" t="str">
        <x:f>'Evaluation Plan'!C8</x:f>
        <x:v>Put the upright brown cup in the bowl.</x:v>
      </x:c>
      <x:c r="D8" s="5" t="str">
        <x:f>'Evaluation Plan'!D8</x:f>
        <x:v>brown cup B (C, RU); brown cup A (C, UD)</x:v>
      </x:c>
      <x:c r="E8" s="4" t="n">
        <x:f>'Evaluation Plan'!E8</x:f>
        <x:v>0</x:v>
      </x:c>
      <x:c r="F8" s="4" t="str">
        <x:f>'Evaluation Plan'!F8</x:f>
        <x:v>134</x:v>
      </x:c>
      <x:c r="G8" s="5" t="str">
        <x:f>'Evaluation Plan'!G8</x:f>
        <x:v>Exact manifest episode: trained state-object cell, prompt, same-category candidate structure, and object membership match; physical layout is manually recreated.</x:v>
      </x:c>
      <x:c r="H8" s="5" t="str">
        <x:f>'Evaluation Plan'!H8</x:f>
        <x:v>brown cup B</x:v>
      </x:c>
      <x:c r="I8" s="5"/>
      <x:c r="J8" s="7" t="str">
        <x:f>'Evaluation Plan'!J8</x:f>
        <x:v>In-distribution concept baseline</x:v>
      </x:c>
      <x:c r="K8" s="4" t="str">
        <x:f>'Evaluation Plan'!K8</x:f>
        <x:v>SR-ID07</x:v>
      </x:c>
      <x:c r="L8" s="4" t="str">
        <x:f>'Evaluation Plan'!L8</x:f>
        <x:v>RU</x:v>
      </x:c>
      <x:c r="M8" s="4" t="str">
        <x:f>'Evaluation Plan'!M8</x:f>
        <x:v>brown cup</x:v>
      </x:c>
      <x:c r="N8" s="4" t="n">
        <x:f>'Evaluation Plan'!N8</x:f>
        <x:v>2</x:v>
      </x:c>
      <x:c r="O8" s="4" t="n">
        <x:f>'Evaluation Plan'!O8</x:f>
        <x:v>1</x:v>
      </x:c>
      <x:c r="P8" s="4" t="str">
        <x:f>'Evaluation Plan'!P8</x:f>
        <x:v>Empty</x:v>
      </x:c>
      <x:c r="Q8" s="5" t="str">
        <x:f>'Evaluation Plan'!Q8</x:f>
        <x:v>Exact training-supported state-object baseline</x:v>
      </x:c>
      <x:c r="R8" s="4" t="n">
        <x:f>'Evaluation Plan'!R8</x:f>
        <x:v>1</x:v>
      </x:c>
      <x:c r="S8" s="5" t="str">
        <x:f>'Evaluation Plan'!S8</x:f>
        <x:v>Recreate the listed manifest scene with the bowl empty.</x:v>
      </x:c>
      <x:c r="T8" s="5" t="str">
        <x:f>'Evaluation Plan'!T8</x:f>
        <x:v>The queried state-object combination and same-category discrimination structure are explicitly represented in training. The same-category candidates share the orthogonal C/O state (C).</x:v>
      </x:c>
      <x:c r="U8" s="5" t="n">
        <x:f>'Evaluation Plan'!U8</x:f>
        <x:v>0</x:v>
      </x:c>
    </x:row>
    <x:row r="9" ht="51" customHeight="1">
      <x:c r="A9" s="11" t="s">
        <x:v>181</x:v>
      </x:c>
      <x:c r="B9" s="10" t="n">
        <x:f>'Evaluation Plan'!B9</x:f>
        <x:v>7</x:v>
      </x:c>
      <x:c r="C9" s="11" t="str">
        <x:f>'Evaluation Plan'!C9</x:f>
        <x:v>Place the closed glass spice container in the bowl.</x:v>
      </x:c>
      <x:c r="D9" s="11" t="str">
        <x:f>'Evaluation Plan'!D9</x:f>
        <x:v>glass spice container A (C, RU); glass spice container B (O, RU); yellow-white striped cup A (C, RU)</x:v>
      </x:c>
      <x:c r="E9" s="10" t="n">
        <x:f>'Evaluation Plan'!E9</x:f>
        <x:v>0</x:v>
      </x:c>
      <x:c r="F9" s="10" t="str">
        <x:f>'Evaluation Plan'!F9</x:f>
        <x:v>151</x:v>
      </x:c>
      <x:c r="G9" s="11" t="str">
        <x:f>'Evaluation Plan'!G9</x:f>
        <x:v>Exact manifest episode: trained state-object cell, prompt, same-category candidate structure, and object membership match; physical layout is manually recreated. All objects are upright, matching the context of every explicit open/closed training demonstration.</x:v>
      </x:c>
      <x:c r="H9" s="11" t="str">
        <x:f>'Evaluation Plan'!H9</x:f>
        <x:v>glass spice container A</x:v>
      </x:c>
      <x:c r="I9" s="11"/>
      <x:c r="J9" s="7" t="str">
        <x:f>'Evaluation Plan'!J9</x:f>
        <x:v>In-distribution concept baseline</x:v>
      </x:c>
      <x:c r="K9" s="10" t="str">
        <x:f>'Evaluation Plan'!K9</x:f>
        <x:v>SR-ID08</x:v>
      </x:c>
      <x:c r="L9" s="10" t="str">
        <x:f>'Evaluation Plan'!L9</x:f>
        <x:v>C</x:v>
      </x:c>
      <x:c r="M9" s="10" t="str">
        <x:f>'Evaluation Plan'!M9</x:f>
        <x:v>glass spice container</x:v>
      </x:c>
      <x:c r="N9" s="10" t="n">
        <x:f>'Evaluation Plan'!N9</x:f>
        <x:v>3</x:v>
      </x:c>
      <x:c r="O9" s="10" t="n">
        <x:f>'Evaluation Plan'!O9</x:f>
        <x:v>1</x:v>
      </x:c>
      <x:c r="P9" s="10" t="str">
        <x:f>'Evaluation Plan'!P9</x:f>
        <x:v>Empty</x:v>
      </x:c>
      <x:c r="Q9" s="11" t="str">
        <x:f>'Evaluation Plan'!Q9</x:f>
        <x:v>Exact training-supported state-object baseline</x:v>
      </x:c>
      <x:c r="R9" s="10" t="n">
        <x:f>'Evaluation Plan'!R9</x:f>
        <x:v>1</x:v>
      </x:c>
      <x:c r="S9" s="11" t="str">
        <x:f>'Evaluation Plan'!S9</x:f>
        <x:v>Recreate the listed manifest scene with the bowl empty.</x:v>
      </x:c>
      <x:c r="T9" s="11" t="str">
        <x:f>'Evaluation Plan'!T9</x:f>
        <x:v>The queried state-object combination and same-category discrimination structure are explicitly represented in training. The orthogonal orientation axis is fixed: every object is RU.</x:v>
      </x:c>
      <x:c r="U9" s="11" t="n">
        <x:f>'Evaluation Plan'!U9</x:f>
        <x:v>0</x:v>
      </x:c>
    </x:row>
    <x:row r="10" ht="51" customHeight="1">
      <x:c r="A10" s="5" t="s">
        <x:v>181</x:v>
      </x:c>
      <x:c r="B10" s="4" t="n">
        <x:f>'Evaluation Plan'!B10</x:f>
        <x:v>8</x:v>
      </x:c>
      <x:c r="C10" s="5" t="str">
        <x:f>'Evaluation Plan'!C10</x:f>
        <x:v>Move the open glass spice container into the bowl.</x:v>
      </x:c>
      <x:c r="D10" s="5" t="str">
        <x:f>'Evaluation Plan'!D10</x:f>
        <x:v>glass spice container B (O, RU); glass spice container A (C, RU); white cup B (O, RU)</x:v>
      </x:c>
      <x:c r="E10" s="4" t="n">
        <x:f>'Evaluation Plan'!E10</x:f>
        <x:v>0</x:v>
      </x:c>
      <x:c r="F10" s="4" t="str">
        <x:f>'Evaluation Plan'!F10</x:f>
        <x:v>156</x:v>
      </x:c>
      <x:c r="G10" s="5" t="str">
        <x:f>'Evaluation Plan'!G10</x:f>
        <x:v>Exact manifest episode: trained state-object cell, prompt, same-category candidate structure, and object membership match; physical layout is manually recreated. All objects are upright, matching the context of every explicit open/closed training demonstration.</x:v>
      </x:c>
      <x:c r="H10" s="5" t="str">
        <x:f>'Evaluation Plan'!H10</x:f>
        <x:v>glass spice container B</x:v>
      </x:c>
      <x:c r="I10" s="5"/>
      <x:c r="J10" s="7" t="str">
        <x:f>'Evaluation Plan'!J10</x:f>
        <x:v>In-distribution concept baseline</x:v>
      </x:c>
      <x:c r="K10" s="4" t="str">
        <x:f>'Evaluation Plan'!K10</x:f>
        <x:v>SR-ID09</x:v>
      </x:c>
      <x:c r="L10" s="4" t="str">
        <x:f>'Evaluation Plan'!L10</x:f>
        <x:v>O</x:v>
      </x:c>
      <x:c r="M10" s="4" t="str">
        <x:f>'Evaluation Plan'!M10</x:f>
        <x:v>glass spice container</x:v>
      </x:c>
      <x:c r="N10" s="4" t="n">
        <x:f>'Evaluation Plan'!N10</x:f>
        <x:v>3</x:v>
      </x:c>
      <x:c r="O10" s="4" t="n">
        <x:f>'Evaluation Plan'!O10</x:f>
        <x:v>1</x:v>
      </x:c>
      <x:c r="P10" s="4" t="str">
        <x:f>'Evaluation Plan'!P10</x:f>
        <x:v>Empty</x:v>
      </x:c>
      <x:c r="Q10" s="5" t="str">
        <x:f>'Evaluation Plan'!Q10</x:f>
        <x:v>Exact training-supported state-object baseline</x:v>
      </x:c>
      <x:c r="R10" s="4" t="n">
        <x:f>'Evaluation Plan'!R10</x:f>
        <x:v>1</x:v>
      </x:c>
      <x:c r="S10" s="5" t="str">
        <x:f>'Evaluation Plan'!S10</x:f>
        <x:v>Recreate the listed manifest scene with the bowl empty.</x:v>
      </x:c>
      <x:c r="T10" s="5" t="str">
        <x:f>'Evaluation Plan'!T10</x:f>
        <x:v>The queried state-object combination and same-category discrimination structure are explicitly represented in training. The orthogonal orientation axis is fixed: every object is RU.</x:v>
      </x:c>
      <x:c r="U10" s="5" t="n">
        <x:f>'Evaluation Plan'!U10</x:f>
        <x:v>0</x:v>
      </x:c>
    </x:row>
    <x:row r="11" ht="51" customHeight="1">
      <x:c r="A11" s="11" t="s">
        <x:v>181</x:v>
      </x:c>
      <x:c r="B11" s="10" t="n">
        <x:f>'Evaluation Plan'!B11</x:f>
        <x:v>9</x:v>
      </x:c>
      <x:c r="C11" s="11" t="str">
        <x:f>'Evaluation Plan'!C11</x:f>
        <x:v>Put the upside-down glass spice container in the bowl.</x:v>
      </x:c>
      <x:c r="D11" s="11" t="str">
        <x:f>'Evaluation Plan'!D11</x:f>
        <x:v>glass spice container B (C, UD); glass spice container A (C, RU)</x:v>
      </x:c>
      <x:c r="E11" s="10" t="n">
        <x:f>'Evaluation Plan'!E11</x:f>
        <x:v>0</x:v>
      </x:c>
      <x:c r="F11" s="10" t="str">
        <x:f>'Evaluation Plan'!F11</x:f>
        <x:v>176</x:v>
      </x:c>
      <x:c r="G11" s="11" t="str">
        <x:f>'Evaluation Plan'!G11</x:f>
        <x:v>Exact manifest episode: trained state-object cell, prompt, same-category candidate structure, and object membership match; physical layout is manually recreated.</x:v>
      </x:c>
      <x:c r="H11" s="11" t="str">
        <x:f>'Evaluation Plan'!H11</x:f>
        <x:v>glass spice container B</x:v>
      </x:c>
      <x:c r="I11" s="11"/>
      <x:c r="J11" s="7" t="str">
        <x:f>'Evaluation Plan'!J11</x:f>
        <x:v>In-distribution concept baseline</x:v>
      </x:c>
      <x:c r="K11" s="10" t="str">
        <x:f>'Evaluation Plan'!K11</x:f>
        <x:v>SR-ID10</x:v>
      </x:c>
      <x:c r="L11" s="10" t="str">
        <x:f>'Evaluation Plan'!L11</x:f>
        <x:v>UD</x:v>
      </x:c>
      <x:c r="M11" s="10" t="str">
        <x:f>'Evaluation Plan'!M11</x:f>
        <x:v>glass spice container</x:v>
      </x:c>
      <x:c r="N11" s="10" t="n">
        <x:f>'Evaluation Plan'!N11</x:f>
        <x:v>2</x:v>
      </x:c>
      <x:c r="O11" s="10" t="n">
        <x:f>'Evaluation Plan'!O11</x:f>
        <x:v>1</x:v>
      </x:c>
      <x:c r="P11" s="10" t="str">
        <x:f>'Evaluation Plan'!P11</x:f>
        <x:v>Empty</x:v>
      </x:c>
      <x:c r="Q11" s="11" t="str">
        <x:f>'Evaluation Plan'!Q11</x:f>
        <x:v>Exact training-supported state-object baseline</x:v>
      </x:c>
      <x:c r="R11" s="10" t="n">
        <x:f>'Evaluation Plan'!R11</x:f>
        <x:v>1</x:v>
      </x:c>
      <x:c r="S11" s="11" t="str">
        <x:f>'Evaluation Plan'!S11</x:f>
        <x:v>Recreate the listed manifest scene with the bowl empty.</x:v>
      </x:c>
      <x:c r="T11" s="11" t="str">
        <x:f>'Evaluation Plan'!T11</x:f>
        <x:v>The queried state-object combination and same-category discrimination structure are explicitly represented in training. The same-category candidates share the orthogonal C/O state (C).</x:v>
      </x:c>
      <x:c r="U11" s="11" t="n">
        <x:f>'Evaluation Plan'!U11</x:f>
        <x:v>0</x:v>
      </x:c>
    </x:row>
    <x:row r="12" ht="51" customHeight="1">
      <x:c r="A12" s="5" t="s">
        <x:v>181</x:v>
      </x:c>
      <x:c r="B12" s="4" t="n">
        <x:f>'Evaluation Plan'!B12</x:f>
        <x:v>10</x:v>
      </x:c>
      <x:c r="C12" s="5" t="str">
        <x:f>'Evaluation Plan'!C12</x:f>
        <x:v>Move the closed white cup into the bowl.</x:v>
      </x:c>
      <x:c r="D12" s="5" t="str">
        <x:f>'Evaluation Plan'!D12</x:f>
        <x:v>white cup B (C, RU); white cup A (O, RU); yellow-white striped cup A (C, RU); brown cup B (C, RU)</x:v>
      </x:c>
      <x:c r="E12" s="4" t="n">
        <x:f>'Evaluation Plan'!E12</x:f>
        <x:v>0</x:v>
      </x:c>
      <x:c r="F12" s="4" t="str">
        <x:f>'Evaluation Plan'!F12</x:f>
        <x:v>0</x:v>
      </x:c>
      <x:c r="G12" s="5" t="str">
        <x:f>'Evaluation Plan'!G12</x:f>
        <x:v>Exact manifest episode: trained state-object cell, prompt, same-category candidate structure, and object membership match; physical layout is manually recreated. All objects are upright, matching the context of every explicit open/closed training demonstration.</x:v>
      </x:c>
      <x:c r="H12" s="5" t="str">
        <x:f>'Evaluation Plan'!H12</x:f>
        <x:v>white cup B</x:v>
      </x:c>
      <x:c r="I12" s="5"/>
      <x:c r="J12" s="7" t="str">
        <x:f>'Evaluation Plan'!J12</x:f>
        <x:v>In-distribution concept baseline</x:v>
      </x:c>
      <x:c r="K12" s="4" t="str">
        <x:f>'Evaluation Plan'!K12</x:f>
        <x:v>SR-ID11</x:v>
      </x:c>
      <x:c r="L12" s="4" t="str">
        <x:f>'Evaluation Plan'!L12</x:f>
        <x:v>C</x:v>
      </x:c>
      <x:c r="M12" s="4" t="str">
        <x:f>'Evaluation Plan'!M12</x:f>
        <x:v>white cup</x:v>
      </x:c>
      <x:c r="N12" s="4" t="n">
        <x:f>'Evaluation Plan'!N12</x:f>
        <x:v>4</x:v>
      </x:c>
      <x:c r="O12" s="4" t="n">
        <x:f>'Evaluation Plan'!O12</x:f>
        <x:v>1</x:v>
      </x:c>
      <x:c r="P12" s="4" t="str">
        <x:f>'Evaluation Plan'!P12</x:f>
        <x:v>Empty</x:v>
      </x:c>
      <x:c r="Q12" s="5" t="str">
        <x:f>'Evaluation Plan'!Q12</x:f>
        <x:v>Exact training-supported state-object baseline</x:v>
      </x:c>
      <x:c r="R12" s="4" t="n">
        <x:f>'Evaluation Plan'!R12</x:f>
        <x:v>1</x:v>
      </x:c>
      <x:c r="S12" s="5" t="str">
        <x:f>'Evaluation Plan'!S12</x:f>
        <x:v>Recreate the listed manifest scene with the bowl empty.</x:v>
      </x:c>
      <x:c r="T12" s="5" t="str">
        <x:f>'Evaluation Plan'!T12</x:f>
        <x:v>The queried state-object combination and same-category discrimination structure are explicitly represented in training. The orthogonal orientation axis is fixed: every object is RU.</x:v>
      </x:c>
      <x:c r="U12" s="5" t="n">
        <x:f>'Evaluation Plan'!U12</x:f>
        <x:v>0</x:v>
      </x:c>
    </x:row>
    <x:row r="13" ht="51" customHeight="1">
      <x:c r="A13" s="11" t="s">
        <x:v>181</x:v>
      </x:c>
      <x:c r="B13" s="10" t="n">
        <x:f>'Evaluation Plan'!B13</x:f>
        <x:v>11</x:v>
      </x:c>
      <x:c r="C13" s="11" t="str">
        <x:f>'Evaluation Plan'!C13</x:f>
        <x:v>Place the closed white cup in the bowl.</x:v>
      </x:c>
      <x:c r="D13" s="11" t="str">
        <x:f>'Evaluation Plan'!D13</x:f>
        <x:v>white cup A (C, RU); white cup B (O, RU); brown cup B (O, RU)</x:v>
      </x:c>
      <x:c r="E13" s="10" t="n">
        <x:f>'Evaluation Plan'!E13</x:f>
        <x:v>0</x:v>
      </x:c>
      <x:c r="F13" s="10" t="str">
        <x:f>'Evaluation Plan'!F13</x:f>
        <x:v>7</x:v>
      </x:c>
      <x:c r="G13" s="11" t="str">
        <x:f>'Evaluation Plan'!G13</x:f>
        <x:v>Exact manifest episode: trained state-object cell, prompt, same-category candidate structure, and object membership match; physical layout is manually recreated. All objects are upright, matching the context of every explicit open/closed training demonstration.</x:v>
      </x:c>
      <x:c r="H13" s="11" t="str">
        <x:f>'Evaluation Plan'!H13</x:f>
        <x:v>white cup A</x:v>
      </x:c>
      <x:c r="I13" s="11"/>
      <x:c r="J13" s="7" t="str">
        <x:f>'Evaluation Plan'!J13</x:f>
        <x:v>In-distribution concept baseline</x:v>
      </x:c>
      <x:c r="K13" s="10" t="str">
        <x:f>'Evaluation Plan'!K13</x:f>
        <x:v>SR-ID12</x:v>
      </x:c>
      <x:c r="L13" s="10" t="str">
        <x:f>'Evaluation Plan'!L13</x:f>
        <x:v>C</x:v>
      </x:c>
      <x:c r="M13" s="10" t="str">
        <x:f>'Evaluation Plan'!M13</x:f>
        <x:v>white cup</x:v>
      </x:c>
      <x:c r="N13" s="10" t="n">
        <x:f>'Evaluation Plan'!N13</x:f>
        <x:v>3</x:v>
      </x:c>
      <x:c r="O13" s="10" t="n">
        <x:f>'Evaluation Plan'!O13</x:f>
        <x:v>1</x:v>
      </x:c>
      <x:c r="P13" s="10" t="str">
        <x:f>'Evaluation Plan'!P13</x:f>
        <x:v>Empty</x:v>
      </x:c>
      <x:c r="Q13" s="11" t="str">
        <x:f>'Evaluation Plan'!Q13</x:f>
        <x:v>Exact training-supported state-object baseline</x:v>
      </x:c>
      <x:c r="R13" s="10" t="n">
        <x:f>'Evaluation Plan'!R13</x:f>
        <x:v>1</x:v>
      </x:c>
      <x:c r="S13" s="11" t="str">
        <x:f>'Evaluation Plan'!S13</x:f>
        <x:v>Recreate the listed manifest scene with the bowl empty.</x:v>
      </x:c>
      <x:c r="T13" s="11" t="str">
        <x:f>'Evaluation Plan'!T13</x:f>
        <x:v>The queried state-object combination and same-category discrimination structure are explicitly represented in training. The orthogonal orientation axis is fixed: every object is RU.</x:v>
      </x:c>
      <x:c r="U13" s="11" t="n">
        <x:f>'Evaluation Plan'!U13</x:f>
        <x:v>0</x:v>
      </x:c>
    </x:row>
    <x:row r="14" ht="51" customHeight="1">
      <x:c r="A14" s="5" t="s">
        <x:v>181</x:v>
      </x:c>
      <x:c r="B14" s="4" t="n">
        <x:f>'Evaluation Plan'!B14</x:f>
        <x:v>12</x:v>
      </x:c>
      <x:c r="C14" s="5" t="str">
        <x:f>'Evaluation Plan'!C14</x:f>
        <x:v>Put the open white cup in the bowl.</x:v>
      </x:c>
      <x:c r="D14" s="5" t="str">
        <x:f>'Evaluation Plan'!D14</x:f>
        <x:v>white cup B (O, RU); white cup A (C, RU); glass spice container B (O, RU)</x:v>
      </x:c>
      <x:c r="E14" s="4" t="n">
        <x:f>'Evaluation Plan'!E14</x:f>
        <x:v>0</x:v>
      </x:c>
      <x:c r="F14" s="4" t="str">
        <x:f>'Evaluation Plan'!F14</x:f>
        <x:v>17</x:v>
      </x:c>
      <x:c r="G14" s="5" t="str">
        <x:f>'Evaluation Plan'!G14</x:f>
        <x:v>Exact manifest episode: trained state-object cell, prompt, same-category candidate structure, and object membership match; physical layout is manually recreated. All objects are upright, matching the context of every explicit open/closed training demonstration.</x:v>
      </x:c>
      <x:c r="H14" s="5" t="str">
        <x:f>'Evaluation Plan'!H14</x:f>
        <x:v>white cup B</x:v>
      </x:c>
      <x:c r="I14" s="5"/>
      <x:c r="J14" s="7" t="str">
        <x:f>'Evaluation Plan'!J14</x:f>
        <x:v>In-distribution concept baseline</x:v>
      </x:c>
      <x:c r="K14" s="4" t="str">
        <x:f>'Evaluation Plan'!K14</x:f>
        <x:v>SR-ID13</x:v>
      </x:c>
      <x:c r="L14" s="4" t="str">
        <x:f>'Evaluation Plan'!L14</x:f>
        <x:v>O</x:v>
      </x:c>
      <x:c r="M14" s="4" t="str">
        <x:f>'Evaluation Plan'!M14</x:f>
        <x:v>white cup</x:v>
      </x:c>
      <x:c r="N14" s="4" t="n">
        <x:f>'Evaluation Plan'!N14</x:f>
        <x:v>3</x:v>
      </x:c>
      <x:c r="O14" s="4" t="n">
        <x:f>'Evaluation Plan'!O14</x:f>
        <x:v>1</x:v>
      </x:c>
      <x:c r="P14" s="4" t="str">
        <x:f>'Evaluation Plan'!P14</x:f>
        <x:v>Empty</x:v>
      </x:c>
      <x:c r="Q14" s="5" t="str">
        <x:f>'Evaluation Plan'!Q14</x:f>
        <x:v>Exact training-supported state-object baseline</x:v>
      </x:c>
      <x:c r="R14" s="4" t="n">
        <x:f>'Evaluation Plan'!R14</x:f>
        <x:v>1</x:v>
      </x:c>
      <x:c r="S14" s="5" t="str">
        <x:f>'Evaluation Plan'!S14</x:f>
        <x:v>Recreate the listed manifest scene with the bowl empty.</x:v>
      </x:c>
      <x:c r="T14" s="5" t="str">
        <x:f>'Evaluation Plan'!T14</x:f>
        <x:v>The queried state-object combination and same-category discrimination structure are explicitly represented in training. The orthogonal orientation axis is fixed: every object is RU.</x:v>
      </x:c>
      <x:c r="U14" s="5" t="n">
        <x:f>'Evaluation Plan'!U14</x:f>
        <x:v>0</x:v>
      </x:c>
    </x:row>
    <x:row r="15" ht="51" customHeight="1">
      <x:c r="A15" s="11" t="s">
        <x:v>181</x:v>
      </x:c>
      <x:c r="B15" s="10" t="n">
        <x:f>'Evaluation Plan'!B15</x:f>
        <x:v>13</x:v>
      </x:c>
      <x:c r="C15" s="11" t="str">
        <x:f>'Evaluation Plan'!C15</x:f>
        <x:v>Place the upside-down yellow-white striped cup in the bowl.</x:v>
      </x:c>
      <x:c r="D15" s="11" t="str">
        <x:f>'Evaluation Plan'!D15</x:f>
        <x:v>yellow-white striped cup A (O, UD); yellow-white striped cup B (O, RU)</x:v>
      </x:c>
      <x:c r="E15" s="10" t="n">
        <x:f>'Evaluation Plan'!E15</x:f>
        <x:v>0</x:v>
      </x:c>
      <x:c r="F15" s="10" t="str">
        <x:f>'Evaluation Plan'!F15</x:f>
        <x:v>88</x:v>
      </x:c>
      <x:c r="G15" s="11" t="str">
        <x:f>'Evaluation Plan'!G15</x:f>
        <x:v>Exact manifest episode: trained state-object cell, prompt, same-category candidate structure, and object membership match; physical layout is manually recreated.</x:v>
      </x:c>
      <x:c r="H15" s="11" t="str">
        <x:f>'Evaluation Plan'!H15</x:f>
        <x:v>yellow-white striped cup A</x:v>
      </x:c>
      <x:c r="I15" s="11"/>
      <x:c r="J15" s="7" t="str">
        <x:f>'Evaluation Plan'!J15</x:f>
        <x:v>In-distribution concept baseline</x:v>
      </x:c>
      <x:c r="K15" s="10" t="str">
        <x:f>'Evaluation Plan'!K15</x:f>
        <x:v>SR-ID14</x:v>
      </x:c>
      <x:c r="L15" s="10" t="str">
        <x:f>'Evaluation Plan'!L15</x:f>
        <x:v>UD</x:v>
      </x:c>
      <x:c r="M15" s="10" t="str">
        <x:f>'Evaluation Plan'!M15</x:f>
        <x:v>yellow-white striped cup</x:v>
      </x:c>
      <x:c r="N15" s="10" t="n">
        <x:f>'Evaluation Plan'!N15</x:f>
        <x:v>2</x:v>
      </x:c>
      <x:c r="O15" s="10" t="n">
        <x:f>'Evaluation Plan'!O15</x:f>
        <x:v>1</x:v>
      </x:c>
      <x:c r="P15" s="10" t="str">
        <x:f>'Evaluation Plan'!P15</x:f>
        <x:v>Empty</x:v>
      </x:c>
      <x:c r="Q15" s="11" t="str">
        <x:f>'Evaluation Plan'!Q15</x:f>
        <x:v>Exact training-supported state-object baseline</x:v>
      </x:c>
      <x:c r="R15" s="10" t="n">
        <x:f>'Evaluation Plan'!R15</x:f>
        <x:v>1</x:v>
      </x:c>
      <x:c r="S15" s="11" t="str">
        <x:f>'Evaluation Plan'!S15</x:f>
        <x:v>Recreate the listed manifest scene with the bowl empty.</x:v>
      </x:c>
      <x:c r="T15" s="11" t="str">
        <x:f>'Evaluation Plan'!T15</x:f>
        <x:v>The queried state-object combination and same-category discrimination structure are explicitly represented in training. The same-category candidates share the orthogonal C/O state (O).</x:v>
      </x:c>
      <x:c r="U15" s="11" t="n">
        <x:f>'Evaluation Plan'!U15</x:f>
        <x:v>0</x:v>
      </x:c>
    </x:row>
    <x:row r="16" ht="51" customHeight="1">
      <x:c r="A16" s="5" t="s">
        <x:v>181</x:v>
      </x:c>
      <x:c r="B16" s="4" t="n">
        <x:f>'Evaluation Plan'!B16</x:f>
        <x:v>14</x:v>
      </x:c>
      <x:c r="C16" s="5" t="str">
        <x:f>'Evaluation Plan'!C16</x:f>
        <x:v>Move the upright yellow-white striped cup into the bowl.</x:v>
      </x:c>
      <x:c r="D16" s="5" t="str">
        <x:f>'Evaluation Plan'!D16</x:f>
        <x:v>yellow-white striped cup A (O, RU); yellow-white striped cup B (O, UD); glass spice container A (O, RU); white cup B (C, UD)</x:v>
      </x:c>
      <x:c r="E16" s="4" t="n">
        <x:f>'Evaluation Plan'!E16</x:f>
        <x:v>0</x:v>
      </x:c>
      <x:c r="F16" s="4" t="str">
        <x:f>'Evaluation Plan'!F16</x:f>
        <x:v>75</x:v>
      </x:c>
      <x:c r="G16" s="5" t="str">
        <x:f>'Evaluation Plan'!G16</x:f>
        <x:v>Exact manifest episode: trained state-object cell, prompt, same-category candidate structure, and object membership match; physical layout is manually recreated.</x:v>
      </x:c>
      <x:c r="H16" s="5" t="str">
        <x:f>'Evaluation Plan'!H16</x:f>
        <x:v>yellow-white striped cup A</x:v>
      </x:c>
      <x:c r="I16" s="5"/>
      <x:c r="J16" s="7" t="str">
        <x:f>'Evaluation Plan'!J16</x:f>
        <x:v>In-distribution concept baseline</x:v>
      </x:c>
      <x:c r="K16" s="4" t="str">
        <x:f>'Evaluation Plan'!K16</x:f>
        <x:v>SR-ID15</x:v>
      </x:c>
      <x:c r="L16" s="4" t="str">
        <x:f>'Evaluation Plan'!L16</x:f>
        <x:v>RU</x:v>
      </x:c>
      <x:c r="M16" s="4" t="str">
        <x:f>'Evaluation Plan'!M16</x:f>
        <x:v>yellow-white striped cup</x:v>
      </x:c>
      <x:c r="N16" s="4" t="n">
        <x:f>'Evaluation Plan'!N16</x:f>
        <x:v>4</x:v>
      </x:c>
      <x:c r="O16" s="4" t="n">
        <x:f>'Evaluation Plan'!O16</x:f>
        <x:v>1</x:v>
      </x:c>
      <x:c r="P16" s="4" t="str">
        <x:f>'Evaluation Plan'!P16</x:f>
        <x:v>Empty</x:v>
      </x:c>
      <x:c r="Q16" s="5" t="str">
        <x:f>'Evaluation Plan'!Q16</x:f>
        <x:v>Exact training-supported state-object baseline</x:v>
      </x:c>
      <x:c r="R16" s="4" t="n">
        <x:f>'Evaluation Plan'!R16</x:f>
        <x:v>1</x:v>
      </x:c>
      <x:c r="S16" s="5" t="str">
        <x:f>'Evaluation Plan'!S16</x:f>
        <x:v>Recreate the listed manifest scene with the bowl empty.</x:v>
      </x:c>
      <x:c r="T16" s="5" t="str">
        <x:f>'Evaluation Plan'!T16</x:f>
        <x:v>The queried state-object combination and same-category discrimination structure are explicitly represented in training. The same-category candidates share the orthogonal C/O state (O).</x:v>
      </x:c>
      <x:c r="U16" s="5" t="n">
        <x:f>'Evaluation Plan'!U16</x:f>
        <x:v>0</x:v>
      </x:c>
    </x:row>
    <x:row r="17" ht="51" customHeight="1">
      <x:c r="A17" s="11" t="s">
        <x:v>181</x:v>
      </x:c>
      <x:c r="B17" s="10" t="n">
        <x:f>'Evaluation Plan'!B17</x:f>
        <x:v>15</x:v>
      </x:c>
      <x:c r="C17" s="11" t="str">
        <x:f>'Evaluation Plan'!C17</x:f>
        <x:v>Put the upright yellow-white striped cup in the bowl.</x:v>
      </x:c>
      <x:c r="D17" s="11" t="str">
        <x:f>'Evaluation Plan'!D17</x:f>
        <x:v>yellow-white striped cup B (C, RU); yellow-white striped cup A (C, UD)</x:v>
      </x:c>
      <x:c r="E17" s="10" t="n">
        <x:f>'Evaluation Plan'!E17</x:f>
        <x:v>0</x:v>
      </x:c>
      <x:c r="F17" s="10" t="str">
        <x:f>'Evaluation Plan'!F17</x:f>
        <x:v>80</x:v>
      </x:c>
      <x:c r="G17" s="11" t="str">
        <x:f>'Evaluation Plan'!G17</x:f>
        <x:v>Exact manifest episode: trained state-object cell, prompt, same-category candidate structure, and object membership match; physical layout is manually recreated.</x:v>
      </x:c>
      <x:c r="H17" s="11" t="str">
        <x:f>'Evaluation Plan'!H17</x:f>
        <x:v>yellow-white striped cup B</x:v>
      </x:c>
      <x:c r="I17" s="11"/>
      <x:c r="J17" s="7" t="str">
        <x:f>'Evaluation Plan'!J17</x:f>
        <x:v>In-distribution concept baseline</x:v>
      </x:c>
      <x:c r="K17" s="10" t="str">
        <x:f>'Evaluation Plan'!K17</x:f>
        <x:v>SR-ID16</x:v>
      </x:c>
      <x:c r="L17" s="10" t="str">
        <x:f>'Evaluation Plan'!L17</x:f>
        <x:v>RU</x:v>
      </x:c>
      <x:c r="M17" s="10" t="str">
        <x:f>'Evaluation Plan'!M17</x:f>
        <x:v>yellow-white striped cup</x:v>
      </x:c>
      <x:c r="N17" s="10" t="n">
        <x:f>'Evaluation Plan'!N17</x:f>
        <x:v>2</x:v>
      </x:c>
      <x:c r="O17" s="10" t="n">
        <x:f>'Evaluation Plan'!O17</x:f>
        <x:v>1</x:v>
      </x:c>
      <x:c r="P17" s="10" t="str">
        <x:f>'Evaluation Plan'!P17</x:f>
        <x:v>Empty</x:v>
      </x:c>
      <x:c r="Q17" s="11" t="str">
        <x:f>'Evaluation Plan'!Q17</x:f>
        <x:v>Exact training-supported state-object baseline</x:v>
      </x:c>
      <x:c r="R17" s="10" t="n">
        <x:f>'Evaluation Plan'!R17</x:f>
        <x:v>1</x:v>
      </x:c>
      <x:c r="S17" s="11" t="str">
        <x:f>'Evaluation Plan'!S17</x:f>
        <x:v>Recreate the listed manifest scene with the bowl empty.</x:v>
      </x:c>
      <x:c r="T17" s="11" t="str">
        <x:f>'Evaluation Plan'!T17</x:f>
        <x:v>The queried state-object combination and same-category discrimination structure are explicitly represented in training. The same-category candidates share the orthogonal C/O state (C).</x:v>
      </x:c>
      <x:c r="U17" s="11" t="n">
        <x:f>'Evaluation Plan'!U17</x:f>
        <x:v>0</x:v>
      </x:c>
    </x:row>
    <x:row r="18" ht="51" customHeight="1">
      <x:c r="A18" s="5" t="s">
        <x:v>181</x:v>
      </x:c>
      <x:c r="B18" s="4" t="n">
        <x:f>'Evaluation Plan'!B18</x:f>
        <x:v>16</x:v>
      </x:c>
      <x:c r="C18" s="5" t="str">
        <x:f>'Evaluation Plan'!C18</x:f>
        <x:v>Move the upside-down brown cup into the bowl.</x:v>
      </x:c>
      <x:c r="D18" s="5" t="str">
        <x:f>'Evaluation Plan'!D18</x:f>
        <x:v>brown cup A (C, UD); brown cup B (C, RU); yellow-white striped cup B (C, UD); glass spice container A (O, RU)</x:v>
      </x:c>
      <x:c r="E18" s="4" t="n">
        <x:f>'Evaluation Plan'!E18</x:f>
        <x:v>0</x:v>
      </x:c>
      <x:c r="F18" s="4" t="str">
        <x:f>'Evaluation Plan'!F18</x:f>
        <x:v>135</x:v>
      </x:c>
      <x:c r="G18" s="5" t="str">
        <x:f>'Evaluation Plan'!G18</x:f>
        <x:v>Exact manifest episode: trained state-object cell, prompt, same-category candidate structure, and object membership match; physical layout is manually recreated.</x:v>
      </x:c>
      <x:c r="H18" s="5" t="str">
        <x:f>'Evaluation Plan'!H18</x:f>
        <x:v>brown cup A</x:v>
      </x:c>
      <x:c r="I18" s="5"/>
      <x:c r="J18" s="7" t="str">
        <x:f>'Evaluation Plan'!J18</x:f>
        <x:v>In-distribution concept baseline</x:v>
      </x:c>
      <x:c r="K18" s="4" t="str">
        <x:f>'Evaluation Plan'!K18</x:f>
        <x:v>SR-ID17</x:v>
      </x:c>
      <x:c r="L18" s="4" t="str">
        <x:f>'Evaluation Plan'!L18</x:f>
        <x:v>UD</x:v>
      </x:c>
      <x:c r="M18" s="4" t="str">
        <x:f>'Evaluation Plan'!M18</x:f>
        <x:v>brown cup</x:v>
      </x:c>
      <x:c r="N18" s="4" t="n">
        <x:f>'Evaluation Plan'!N18</x:f>
        <x:v>4</x:v>
      </x:c>
      <x:c r="O18" s="4" t="n">
        <x:f>'Evaluation Plan'!O18</x:f>
        <x:v>1</x:v>
      </x:c>
      <x:c r="P18" s="4" t="str">
        <x:f>'Evaluation Plan'!P18</x:f>
        <x:v>Empty</x:v>
      </x:c>
      <x:c r="Q18" s="5" t="str">
        <x:f>'Evaluation Plan'!Q18</x:f>
        <x:v>Exact training-supported state-object baseline</x:v>
      </x:c>
      <x:c r="R18" s="4" t="n">
        <x:f>'Evaluation Plan'!R18</x:f>
        <x:v>1</x:v>
      </x:c>
      <x:c r="S18" s="5" t="str">
        <x:f>'Evaluation Plan'!S18</x:f>
        <x:v>Recreate the listed manifest scene with the bowl empty.</x:v>
      </x:c>
      <x:c r="T18" s="5" t="str">
        <x:f>'Evaluation Plan'!T18</x:f>
        <x:v>The queried state-object combination and same-category discrimination structure are explicitly represented in training. The same-category candidates share the orthogonal C/O state (C).</x:v>
      </x:c>
      <x:c r="U18" s="5" t="n">
        <x:f>'Evaluation Plan'!U18</x:f>
        <x:v>0</x:v>
      </x:c>
    </x:row>
    <x:row r="19" ht="51" customHeight="1">
      <x:c r="A19" s="11" t="s">
        <x:v>181</x:v>
      </x:c>
      <x:c r="B19" s="10" t="n">
        <x:f>'Evaluation Plan'!B19</x:f>
        <x:v>17</x:v>
      </x:c>
      <x:c r="C19" s="11" t="str">
        <x:f>'Evaluation Plan'!C19</x:f>
        <x:v>Place the upright brown cup in the bowl.</x:v>
      </x:c>
      <x:c r="D19" s="11" t="str">
        <x:f>'Evaluation Plan'!D19</x:f>
        <x:v>brown cup A (C, RU); brown cup B (C, UD); glass spice container B (C, UD)</x:v>
      </x:c>
      <x:c r="E19" s="10" t="n">
        <x:f>'Evaluation Plan'!E19</x:f>
        <x:v>0</x:v>
      </x:c>
      <x:c r="F19" s="10" t="str">
        <x:f>'Evaluation Plan'!F19</x:f>
        <x:v>139</x:v>
      </x:c>
      <x:c r="G19" s="11" t="str">
        <x:f>'Evaluation Plan'!G19</x:f>
        <x:v>Exact manifest episode: trained state-object cell, prompt, same-category candidate structure, and object membership match; physical layout is manually recreated.</x:v>
      </x:c>
      <x:c r="H19" s="11" t="str">
        <x:f>'Evaluation Plan'!H19</x:f>
        <x:v>brown cup A</x:v>
      </x:c>
      <x:c r="I19" s="11"/>
      <x:c r="J19" s="7" t="str">
        <x:f>'Evaluation Plan'!J19</x:f>
        <x:v>In-distribution concept baseline</x:v>
      </x:c>
      <x:c r="K19" s="10" t="str">
        <x:f>'Evaluation Plan'!K19</x:f>
        <x:v>SR-ID18</x:v>
      </x:c>
      <x:c r="L19" s="10" t="str">
        <x:f>'Evaluation Plan'!L19</x:f>
        <x:v>RU</x:v>
      </x:c>
      <x:c r="M19" s="10" t="str">
        <x:f>'Evaluation Plan'!M19</x:f>
        <x:v>brown cup</x:v>
      </x:c>
      <x:c r="N19" s="10" t="n">
        <x:f>'Evaluation Plan'!N19</x:f>
        <x:v>3</x:v>
      </x:c>
      <x:c r="O19" s="10" t="n">
        <x:f>'Evaluation Plan'!O19</x:f>
        <x:v>1</x:v>
      </x:c>
      <x:c r="P19" s="10" t="str">
        <x:f>'Evaluation Plan'!P19</x:f>
        <x:v>Empty</x:v>
      </x:c>
      <x:c r="Q19" s="11" t="str">
        <x:f>'Evaluation Plan'!Q19</x:f>
        <x:v>Exact training-supported state-object baseline</x:v>
      </x:c>
      <x:c r="R19" s="10" t="n">
        <x:f>'Evaluation Plan'!R19</x:f>
        <x:v>1</x:v>
      </x:c>
      <x:c r="S19" s="11" t="str">
        <x:f>'Evaluation Plan'!S19</x:f>
        <x:v>Recreate the listed manifest scene with the bowl empty.</x:v>
      </x:c>
      <x:c r="T19" s="11" t="str">
        <x:f>'Evaluation Plan'!T19</x:f>
        <x:v>The queried state-object combination and same-category discrimination structure are explicitly represented in training. The same-category candidates share the orthogonal C/O state (C).</x:v>
      </x:c>
      <x:c r="U19" s="11" t="n">
        <x:f>'Evaluation Plan'!U19</x:f>
        <x:v>0</x:v>
      </x:c>
    </x:row>
    <x:row r="20" ht="51" customHeight="1">
      <x:c r="A20" s="5" t="s">
        <x:v>181</x:v>
      </x:c>
      <x:c r="B20" s="4" t="n">
        <x:f>'Evaluation Plan'!B20</x:f>
        <x:v>18</x:v>
      </x:c>
      <x:c r="C20" s="5" t="str">
        <x:f>'Evaluation Plan'!C20</x:f>
        <x:v>Put the closed glass spice container in the bowl.</x:v>
      </x:c>
      <x:c r="D20" s="5" t="str">
        <x:f>'Evaluation Plan'!D20</x:f>
        <x:v>glass spice container A (C, RU); glass spice container B (O, RU); brown cup A (C, RU); white cup B (O, RU)</x:v>
      </x:c>
      <x:c r="E20" s="4" t="n">
        <x:f>'Evaluation Plan'!E20</x:f>
        <x:v>0</x:v>
      </x:c>
      <x:c r="F20" s="4" t="str">
        <x:f>'Evaluation Plan'!F20</x:f>
        <x:v>155</x:v>
      </x:c>
      <x:c r="G20" s="5" t="str">
        <x:f>'Evaluation Plan'!G20</x:f>
        <x:v>Exact manifest episode: trained state-object cell, prompt, same-category candidate structure, and object membership match; physical layout is manually recreated. All objects are upright, matching the context of every explicit open/closed training demonstration.</x:v>
      </x:c>
      <x:c r="H20" s="5" t="str">
        <x:f>'Evaluation Plan'!H20</x:f>
        <x:v>glass spice container A</x:v>
      </x:c>
      <x:c r="I20" s="5"/>
      <x:c r="J20" s="7" t="str">
        <x:f>'Evaluation Plan'!J20</x:f>
        <x:v>In-distribution concept baseline</x:v>
      </x:c>
      <x:c r="K20" s="4" t="str">
        <x:f>'Evaluation Plan'!K20</x:f>
        <x:v>SR-ID19</x:v>
      </x:c>
      <x:c r="L20" s="4" t="str">
        <x:f>'Evaluation Plan'!L20</x:f>
        <x:v>C</x:v>
      </x:c>
      <x:c r="M20" s="4" t="str">
        <x:f>'Evaluation Plan'!M20</x:f>
        <x:v>glass spice container</x:v>
      </x:c>
      <x:c r="N20" s="4" t="n">
        <x:f>'Evaluation Plan'!N20</x:f>
        <x:v>4</x:v>
      </x:c>
      <x:c r="O20" s="4" t="n">
        <x:f>'Evaluation Plan'!O20</x:f>
        <x:v>1</x:v>
      </x:c>
      <x:c r="P20" s="4" t="str">
        <x:f>'Evaluation Plan'!P20</x:f>
        <x:v>Empty</x:v>
      </x:c>
      <x:c r="Q20" s="5" t="str">
        <x:f>'Evaluation Plan'!Q20</x:f>
        <x:v>Exact training-supported state-object baseline</x:v>
      </x:c>
      <x:c r="R20" s="4" t="n">
        <x:f>'Evaluation Plan'!R20</x:f>
        <x:v>1</x:v>
      </x:c>
      <x:c r="S20" s="5" t="str">
        <x:f>'Evaluation Plan'!S20</x:f>
        <x:v>Recreate the listed manifest scene with the bowl empty.</x:v>
      </x:c>
      <x:c r="T20" s="5" t="str">
        <x:f>'Evaluation Plan'!T20</x:f>
        <x:v>The queried state-object combination and same-category discrimination structure are explicitly represented in training. The orthogonal orientation axis is fixed: every object is RU.</x:v>
      </x:c>
      <x:c r="U20" s="5" t="n">
        <x:f>'Evaluation Plan'!U20</x:f>
        <x:v>0</x:v>
      </x:c>
    </x:row>
    <x:row r="21" ht="51" customHeight="1">
      <x:c r="A21" s="11" t="s">
        <x:v>181</x:v>
      </x:c>
      <x:c r="B21" s="10" t="n">
        <x:f>'Evaluation Plan'!B21</x:f>
        <x:v>19</x:v>
      </x:c>
      <x:c r="C21" s="11" t="str">
        <x:f>'Evaluation Plan'!C21</x:f>
        <x:v>Move the open glass spice container into the bowl.</x:v>
      </x:c>
      <x:c r="D21" s="11" t="str">
        <x:f>'Evaluation Plan'!D21</x:f>
        <x:v>glass spice container B (O, RU); glass spice container A (C, RU); white cup B (O, RU); yellow-white striped cup A (O, RU)</x:v>
      </x:c>
      <x:c r="E21" s="10" t="n">
        <x:f>'Evaluation Plan'!E21</x:f>
        <x:v>0</x:v>
      </x:c>
      <x:c r="F21" s="10" t="str">
        <x:f>'Evaluation Plan'!F21</x:f>
        <x:v>162</x:v>
      </x:c>
      <x:c r="G21" s="11" t="str">
        <x:f>'Evaluation Plan'!G21</x:f>
        <x:v>Exact manifest episode: trained state-object cell, prompt, same-category candidate structure, and object membership match; physical layout is manually recreated. All objects are upright, matching the context of every explicit open/closed training demonstration.</x:v>
      </x:c>
      <x:c r="H21" s="11" t="str">
        <x:f>'Evaluation Plan'!H21</x:f>
        <x:v>glass spice container B</x:v>
      </x:c>
      <x:c r="I21" s="11"/>
      <x:c r="J21" s="7" t="str">
        <x:f>'Evaluation Plan'!J21</x:f>
        <x:v>In-distribution concept baseline</x:v>
      </x:c>
      <x:c r="K21" s="10" t="str">
        <x:f>'Evaluation Plan'!K21</x:f>
        <x:v>SR-ID20</x:v>
      </x:c>
      <x:c r="L21" s="10" t="str">
        <x:f>'Evaluation Plan'!L21</x:f>
        <x:v>O</x:v>
      </x:c>
      <x:c r="M21" s="10" t="str">
        <x:f>'Evaluation Plan'!M21</x:f>
        <x:v>glass spice container</x:v>
      </x:c>
      <x:c r="N21" s="10" t="n">
        <x:f>'Evaluation Plan'!N21</x:f>
        <x:v>4</x:v>
      </x:c>
      <x:c r="O21" s="10" t="n">
        <x:f>'Evaluation Plan'!O21</x:f>
        <x:v>1</x:v>
      </x:c>
      <x:c r="P21" s="10" t="str">
        <x:f>'Evaluation Plan'!P21</x:f>
        <x:v>Empty</x:v>
      </x:c>
      <x:c r="Q21" s="11" t="str">
        <x:f>'Evaluation Plan'!Q21</x:f>
        <x:v>Exact training-supported state-object baseline</x:v>
      </x:c>
      <x:c r="R21" s="10" t="n">
        <x:f>'Evaluation Plan'!R21</x:f>
        <x:v>1</x:v>
      </x:c>
      <x:c r="S21" s="11" t="str">
        <x:f>'Evaluation Plan'!S21</x:f>
        <x:v>Recreate the listed manifest scene with the bowl empty.</x:v>
      </x:c>
      <x:c r="T21" s="11" t="str">
        <x:f>'Evaluation Plan'!T21</x:f>
        <x:v>The queried state-object combination and same-category discrimination structure are explicitly represented in training. The orthogonal orientation axis is fixed: every object is RU.</x:v>
      </x:c>
      <x:c r="U21" s="11" t="n">
        <x:f>'Evaluation Plan'!U21</x:f>
        <x:v>0</x:v>
      </x:c>
    </x:row>
    <x:row r="22" ht="51" customHeight="1">
      <x:c r="A22" s="5" t="s">
        <x:v>181</x:v>
      </x:c>
      <x:c r="B22" s="4" t="n">
        <x:f>'Evaluation Plan'!B22</x:f>
        <x:v>20</x:v>
      </x:c>
      <x:c r="C22" s="5" t="str">
        <x:f>'Evaluation Plan'!C22</x:f>
        <x:v>Place the upside-down white cup in the bowl.</x:v>
      </x:c>
      <x:c r="D22" s="5" t="str">
        <x:f>'Evaluation Plan'!D22</x:f>
        <x:v>white cup A (C, UD); white cup B (C, RU)</x:v>
      </x:c>
      <x:c r="E22" s="4" t="n">
        <x:f>'Evaluation Plan'!E22</x:f>
        <x:v>0</x:v>
      </x:c>
      <x:c r="F22" s="4" t="str">
        <x:f>'Evaluation Plan'!F22</x:f>
        <x:v>35</x:v>
      </x:c>
      <x:c r="G22" s="5" t="str">
        <x:f>'Evaluation Plan'!G22</x:f>
        <x:v>Physical-state and manipulation-trajectory reference under a direct category prompt; the evaluated state word × object-category cell is intentionally absent from training.</x:v>
      </x:c>
      <x:c r="H22" s="5" t="str">
        <x:f>'Evaluation Plan'!H22</x:f>
        <x:v>white cup A</x:v>
      </x:c>
      <x:c r="I22" s="5"/>
      <x:c r="J22" s="12" t="str">
        <x:f>'Evaluation Plan'!J22</x:f>
        <x:v>Concept/compositional transfer</x:v>
      </x:c>
      <x:c r="K22" s="4" t="str">
        <x:f>'Evaluation Plan'!K22</x:f>
        <x:v>SR-CT01</x:v>
      </x:c>
      <x:c r="L22" s="4" t="str">
        <x:f>'Evaluation Plan'!L22</x:f>
        <x:v>UD</x:v>
      </x:c>
      <x:c r="M22" s="4" t="str">
        <x:f>'Evaluation Plan'!M22</x:f>
        <x:v>white cup</x:v>
      </x:c>
      <x:c r="N22" s="4" t="n">
        <x:f>'Evaluation Plan'!N22</x:f>
        <x:v>2</x:v>
      </x:c>
      <x:c r="O22" s="4" t="n">
        <x:f>'Evaluation Plan'!O22</x:f>
        <x:v>1</x:v>
      </x:c>
      <x:c r="P22" s="4" t="str">
        <x:f>'Evaluation Plan'!P22</x:f>
        <x:v>Empty</x:v>
      </x:c>
      <x:c r="Q22" s="5" t="str">
        <x:f>'Evaluation Plan'!Q22</x:f>
        <x:v>Primary held-out state-object composition</x:v>
      </x:c>
      <x:c r="R22" s="4" t="n">
        <x:f>'Evaluation Plan'!R22</x:f>
        <x:v>2</x:v>
      </x:c>
      <x:c r="S22" s="5" t="str">
        <x:f>'Evaluation Plan'!S22</x:f>
        <x:v>Build the listed same-category discrimination scene with the bowl empty.</x:v>
      </x:c>
      <x:c r="T22" s="5" t="str">
        <x:f>'Evaluation Plan'!T22</x:f>
        <x:v>Two same-category candidates share the non-queried state axis; only the held-out state word identifies the target. The same-category candidates share the orthogonal C/O state (C).</x:v>
      </x:c>
      <x:c r="U22" s="5" t="n">
        <x:f>'Evaluation Plan'!U22</x:f>
        <x:v>0</x:v>
      </x:c>
    </x:row>
    <x:row r="23" ht="51" customHeight="1">
      <x:c r="A23" s="13" t="s">
        <x:v>181</x:v>
      </x:c>
      <x:c r="B23" s="14" t="n">
        <x:f>'Evaluation Plan'!B23</x:f>
        <x:v>21</x:v>
      </x:c>
      <x:c r="C23" s="13" t="str">
        <x:f>'Evaluation Plan'!C23</x:f>
        <x:v>Put a white cup in the bowl.</x:v>
      </x:c>
      <x:c r="D23" s="13" t="str">
        <x:f>'Evaluation Plan'!D23</x:f>
        <x:v>white cup A (C, UD); yellow-white striped cup A (C, RU)</x:v>
      </x:c>
      <x:c r="E23" s="14" t="n">
        <x:f>'Evaluation Plan'!E23</x:f>
        <x:v>20</x:v>
      </x:c>
      <x:c r="F23" s="14" t="n">
        <x:f>'Evaluation Plan'!F23</x:f>
        <x:v>35</x:v>
      </x:c>
      <x:c r="G23" s="13" t="str">
        <x:f>'Evaluation Plan'!G23</x:f>
        <x:v>Exact direct-category manipulation prompt from training episode 35. The transfer target, state, and pose are preserved; only the competing white cup is replaced by yellow-white striped cup A.</x:v>
      </x:c>
      <x:c r="H23" s="13" t="str">
        <x:f>'Evaluation Plan'!H23</x:f>
        <x:v>white cup A</x:v>
      </x:c>
      <x:c r="I23" s="13"/>
      <x:c r="J23" s="15" t="str">
        <x:f>'Evaluation Plan'!J23</x:f>
        <x:v>Matched manipulation control</x:v>
      </x:c>
      <x:c r="K23" s="14" t="str">
        <x:f>'Evaluation Plan'!K23</x:f>
        <x:v>SR-CT01</x:v>
      </x:c>
      <x:c r="L23" s="14" t="str">
        <x:f>'Evaluation Plan'!L23</x:f>
        <x:v>N/A</x:v>
      </x:c>
      <x:c r="M23" s="14" t="str">
        <x:f>'Evaluation Plan'!M23</x:f>
        <x:v>white cup</x:v>
      </x:c>
      <x:c r="N23" s="14" t="n">
        <x:f>'Evaluation Plan'!N23</x:f>
        <x:v>2</x:v>
      </x:c>
      <x:c r="O23" s="14" t="n">
        <x:f>'Evaluation Plan'!O23</x:f>
        <x:v>1</x:v>
      </x:c>
      <x:c r="P23" s="14" t="str">
        <x:f>'Evaluation Plan'!P23</x:f>
        <x:v>Empty</x:v>
      </x:c>
      <x:c r="Q23" s="13" t="str">
        <x:f>'Evaluation Plan'!Q23</x:f>
        <x:v>One-object-substitution direct-category control</x:v>
      </x:c>
      <x:c r="R23" s="14" t="n">
        <x:f>'Evaluation Plan'!R23</x:f>
        <x:v>2</x:v>
      </x:c>
      <x:c r="S23" s="13" t="str">
        <x:f>'Evaluation Plan'!S23</x:f>
        <x:v>Reset white cup A to its transfer pose. Replace white cup B with yellow-white striped cup A in the same location and use the states listed in this row; preserve all other objects.</x:v>
      </x:c>
      <x:c r="T23" s="13" t="str">
        <x:f>'Evaluation Plan'!T23</x:f>
        <x:v>Pure recognition/manipulation control: the prompt uniquely names the only object from the target category, while the physical target remains identical to the transfer row.</x:v>
      </x:c>
      <x:c r="U23" s="13" t="n">
        <x:f>'Evaluation Plan'!U23</x:f>
        <x:v>0</x:v>
      </x:c>
    </x:row>
    <x:row r="24" ht="51" customHeight="1">
      <x:c r="A24" s="16" t="s">
        <x:v>181</x:v>
      </x:c>
      <x:c r="B24" s="17" t="n">
        <x:f>'Evaluation Plan'!B24</x:f>
        <x:v>22</x:v>
      </x:c>
      <x:c r="C24" s="16" t="str">
        <x:f>'Evaluation Plan'!C24</x:f>
        <x:v>Move the inverted white cup into the bowl.</x:v>
      </x:c>
      <x:c r="D24" s="16" t="str">
        <x:f>'Evaluation Plan'!D24</x:f>
        <x:v>white cup A (C, UD); white cup B (C, RU)</x:v>
      </x:c>
      <x:c r="E24" s="17" t="n">
        <x:f>'Evaluation Plan'!E24</x:f>
        <x:v>20</x:v>
      </x:c>
      <x:c r="F24" s="17" t="str">
        <x:f>'Evaluation Plan'!F24</x:f>
        <x:v>35</x:v>
      </x:c>
      <x:c r="G24" s="16" t="str">
        <x:f>'Evaluation Plan'!G24</x:f>
        <x:v>The canonical transfer scene and masked trajectory reference are unchanged; only the evaluation wording is paraphrased. This remains a language diagnostic and is not pooled into the primary 50.</x:v>
      </x:c>
      <x:c r="H24" s="16" t="str">
        <x:f>'Evaluation Plan'!H24</x:f>
        <x:v>white cup A</x:v>
      </x:c>
      <x:c r="I24" s="16"/>
      <x:c r="J24" s="18" t="str">
        <x:f>'Evaluation Plan'!J24</x:f>
        <x:v>Language robustness</x:v>
      </x:c>
      <x:c r="K24" s="17" t="str">
        <x:f>'Evaluation Plan'!K24</x:f>
        <x:v>SR-CT01</x:v>
      </x:c>
      <x:c r="L24" s="17" t="str">
        <x:f>'Evaluation Plan'!L24</x:f>
        <x:v>UD</x:v>
      </x:c>
      <x:c r="M24" s="17" t="str">
        <x:f>'Evaluation Plan'!M24</x:f>
        <x:v>white cup</x:v>
      </x:c>
      <x:c r="N24" s="17" t="n">
        <x:f>'Evaluation Plan'!N24</x:f>
        <x:v>2</x:v>
      </x:c>
      <x:c r="O24" s="17" t="n">
        <x:f>'Evaluation Plan'!O24</x:f>
        <x:v>1</x:v>
      </x:c>
      <x:c r="P24" s="17" t="str">
        <x:f>'Evaluation Plan'!P24</x:f>
        <x:v>Empty</x:v>
      </x:c>
      <x:c r="Q24" s="16" t="str">
        <x:f>'Evaluation Plan'!Q24</x:f>
        <x:v>Primary compositional-transfer prompt paraphrase</x:v>
      </x:c>
      <x:c r="R24" s="17" t="n">
        <x:f>'Evaluation Plan'!R24</x:f>
        <x:v>2</x:v>
      </x:c>
      <x:c r="S24" s="16" t="str">
        <x:f>'Evaluation Plan'!S24</x:f>
        <x:v>Reset the moved object exactly; preserve every object and state; change only the prompt wording.</x:v>
      </x:c>
      <x:c r="T24" s="16" t="str">
        <x:f>'Evaluation Plan'!T24</x:f>
        <x:v>Exact-scene paraphrase of one of the 50 canonical compositional-transfer trials. The same-category candidates share the orthogonal C/O state (C). The scene is an exact copy of the referenced canonical row.</x:v>
      </x:c>
      <x:c r="U24" s="16" t="n">
        <x:f>'Evaluation Plan'!U24</x:f>
        <x:v>0</x:v>
      </x:c>
    </x:row>
    <x:row r="25" ht="51" customHeight="1">
      <x:c r="A25" s="13" t="s">
        <x:v>181</x:v>
      </x:c>
      <x:c r="B25" s="14" t="n">
        <x:f>'Evaluation Plan'!B25</x:f>
        <x:v>23</x:v>
      </x:c>
      <x:c r="C25" s="13" t="str">
        <x:f>'Evaluation Plan'!C25</x:f>
        <x:v>Transfer the white cup from the table into the bowl.</x:v>
      </x:c>
      <x:c r="D25" s="13" t="str">
        <x:f>'Evaluation Plan'!D25</x:f>
        <x:v>white cup A (C, UD); yellow-white striped cup A (C, RU)</x:v>
      </x:c>
      <x:c r="E25" s="14" t="n">
        <x:f>'Evaluation Plan'!E25</x:f>
        <x:v>21</x:v>
      </x:c>
      <x:c r="F25" s="14" t="n">
        <x:f>'Evaluation Plan'!F25</x:f>
        <x:v>35</x:v>
      </x:c>
      <x:c r="G25" s="13" t="str">
        <x:f>'Evaluation Plan'!G25</x:f>
        <x:v>Paraphrase of the direct-category matched control grounded by training episode 35. The modified control scene and physical target are unchanged.</x:v>
      </x:c>
      <x:c r="H25" s="13" t="str">
        <x:f>'Evaluation Plan'!H25</x:f>
        <x:v>white cup A</x:v>
      </x:c>
      <x:c r="I25" s="13"/>
      <x:c r="J25" s="18" t="str">
        <x:f>'Evaluation Plan'!J25</x:f>
        <x:v>Language robustness</x:v>
      </x:c>
      <x:c r="K25" s="14" t="str">
        <x:f>'Evaluation Plan'!K25</x:f>
        <x:v>SR-CT01</x:v>
      </x:c>
      <x:c r="L25" s="14" t="str">
        <x:f>'Evaluation Plan'!L25</x:f>
        <x:v>N/A</x:v>
      </x:c>
      <x:c r="M25" s="14" t="str">
        <x:f>'Evaluation Plan'!M25</x:f>
        <x:v>white cup</x:v>
      </x:c>
      <x:c r="N25" s="14" t="n">
        <x:f>'Evaluation Plan'!N25</x:f>
        <x:v>2</x:v>
      </x:c>
      <x:c r="O25" s="14" t="n">
        <x:f>'Evaluation Plan'!O25</x:f>
        <x:v>1</x:v>
      </x:c>
      <x:c r="P25" s="14" t="str">
        <x:f>'Evaluation Plan'!P25</x:f>
        <x:v>Empty</x:v>
      </x:c>
      <x:c r="Q25" s="13" t="str">
        <x:f>'Evaluation Plan'!Q25</x:f>
        <x:v>Direct-category matched-control paraphrase</x:v>
      </x:c>
      <x:c r="R25" s="14" t="n">
        <x:f>'Evaluation Plan'!R25</x:f>
        <x:v>2</x:v>
      </x:c>
      <x:c r="S25" s="13" t="str">
        <x:f>'Evaluation Plan'!S25</x:f>
        <x:v>Reset the target to its marked pose; preserve the exact modified control scene and change only the direct instruction wording.</x:v>
      </x:c>
      <x:c r="T25" s="13" t="str">
        <x:f>'Evaluation Plan'!T25</x:f>
        <x:v>Language diagnostic for the pure manipulation control; no state word or state-based selection is required. The scene is an exact copy of the referenced canonical row.</x:v>
      </x:c>
      <x:c r="U25" s="13" t="n">
        <x:f>'Evaluation Plan'!U25</x:f>
        <x:v>0</x:v>
      </x:c>
    </x:row>
    <x:row r="26" ht="51" customHeight="1">
      <x:c r="A26" s="5" t="s">
        <x:v>181</x:v>
      </x:c>
      <x:c r="B26" s="4" t="n">
        <x:f>'Evaluation Plan'!B26</x:f>
        <x:v>24</x:v>
      </x:c>
      <x:c r="C26" s="5" t="str">
        <x:f>'Evaluation Plan'!C26</x:f>
        <x:v>Place the open yellow-white striped cup in the bowl.</x:v>
      </x:c>
      <x:c r="D26" s="5" t="str">
        <x:f>'Evaluation Plan'!D26</x:f>
        <x:v>yellow-white striped cup B (O, RU); yellow-white striped cup A (C, RU); brown cup B (O, RU)</x:v>
      </x:c>
      <x:c r="E26" s="4" t="n">
        <x:f>'Evaluation Plan'!E26</x:f>
        <x:v>0</x:v>
      </x:c>
      <x:c r="F26" s="4" t="str">
        <x:f>'Evaluation Plan'!F26</x:f>
        <x:v>64</x:v>
      </x:c>
      <x:c r="G26" s="5" t="str">
        <x:f>'Evaluation Plan'!G26</x:f>
        <x:v>Physical-state and manipulation-trajectory reference under a direct category prompt; the evaluated state word × object-category cell is intentionally absent from training. All objects are upright, matching the context of every explicit open/closed training demonstration.</x:v>
      </x:c>
      <x:c r="H26" s="5" t="str">
        <x:f>'Evaluation Plan'!H26</x:f>
        <x:v>yellow-white striped cup B</x:v>
      </x:c>
      <x:c r="I26" s="5"/>
      <x:c r="J26" s="12" t="str">
        <x:f>'Evaluation Plan'!J26</x:f>
        <x:v>Concept/compositional transfer</x:v>
      </x:c>
      <x:c r="K26" s="4" t="str">
        <x:f>'Evaluation Plan'!K26</x:f>
        <x:v>SR-CT02</x:v>
      </x:c>
      <x:c r="L26" s="4" t="str">
        <x:f>'Evaluation Plan'!L26</x:f>
        <x:v>O</x:v>
      </x:c>
      <x:c r="M26" s="4" t="str">
        <x:f>'Evaluation Plan'!M26</x:f>
        <x:v>yellow-white striped cup</x:v>
      </x:c>
      <x:c r="N26" s="4" t="n">
        <x:f>'Evaluation Plan'!N26</x:f>
        <x:v>3</x:v>
      </x:c>
      <x:c r="O26" s="4" t="n">
        <x:f>'Evaluation Plan'!O26</x:f>
        <x:v>1</x:v>
      </x:c>
      <x:c r="P26" s="4" t="str">
        <x:f>'Evaluation Plan'!P26</x:f>
        <x:v>Empty</x:v>
      </x:c>
      <x:c r="Q26" s="5" t="str">
        <x:f>'Evaluation Plan'!Q26</x:f>
        <x:v>Primary held-out state-object composition</x:v>
      </x:c>
      <x:c r="R26" s="4" t="n">
        <x:f>'Evaluation Plan'!R26</x:f>
        <x:v>2</x:v>
      </x:c>
      <x:c r="S26" s="5" t="str">
        <x:f>'Evaluation Plan'!S26</x:f>
        <x:v>Build the listed same-category discrimination scene with the bowl empty.</x:v>
      </x:c>
      <x:c r="T26" s="5" t="str">
        <x:f>'Evaluation Plan'!T26</x:f>
        <x:v>Two same-category candidates share the non-queried state axis; only the held-out state word identifies the target. The orthogonal orientation axis is fixed: every object is RU.</x:v>
      </x:c>
      <x:c r="U26" s="5" t="n">
        <x:f>'Evaluation Plan'!U26</x:f>
        <x:v>0</x:v>
      </x:c>
    </x:row>
    <x:row r="27" ht="51" customHeight="1">
      <x:c r="A27" s="13" t="s">
        <x:v>181</x:v>
      </x:c>
      <x:c r="B27" s="14" t="n">
        <x:f>'Evaluation Plan'!B27</x:f>
        <x:v>25</x:v>
      </x:c>
      <x:c r="C27" s="13" t="str">
        <x:f>'Evaluation Plan'!C27</x:f>
        <x:v>Place a yellow-white striped cup in the bowl.</x:v>
      </x:c>
      <x:c r="D27" s="13" t="str">
        <x:f>'Evaluation Plan'!D27</x:f>
        <x:v>yellow-white striped cup B (O, RU); glass spice container B (C, RU); brown cup B (O, RU)</x:v>
      </x:c>
      <x:c r="E27" s="14" t="n">
        <x:f>'Evaluation Plan'!E27</x:f>
        <x:v>24</x:v>
      </x:c>
      <x:c r="F27" s="14" t="n">
        <x:f>'Evaluation Plan'!F27</x:f>
        <x:v>64</x:v>
      </x:c>
      <x:c r="G27" s="13" t="str">
        <x:f>'Evaluation Plan'!G27</x:f>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H27" s="13" t="str">
        <x:f>'Evaluation Plan'!H27</x:f>
        <x:v>yellow-white striped cup B</x:v>
      </x:c>
      <x:c r="I27" s="13"/>
      <x:c r="J27" s="15" t="str">
        <x:f>'Evaluation Plan'!J27</x:f>
        <x:v>Matched manipulation control</x:v>
      </x:c>
      <x:c r="K27" s="14" t="str">
        <x:f>'Evaluation Plan'!K27</x:f>
        <x:v>SR-CT02</x:v>
      </x:c>
      <x:c r="L27" s="14" t="str">
        <x:f>'Evaluation Plan'!L27</x:f>
        <x:v>N/A</x:v>
      </x:c>
      <x:c r="M27" s="14" t="str">
        <x:f>'Evaluation Plan'!M27</x:f>
        <x:v>yellow-white striped cup</x:v>
      </x:c>
      <x:c r="N27" s="14" t="n">
        <x:f>'Evaluation Plan'!N27</x:f>
        <x:v>3</x:v>
      </x:c>
      <x:c r="O27" s="14" t="n">
        <x:f>'Evaluation Plan'!O27</x:f>
        <x:v>1</x:v>
      </x:c>
      <x:c r="P27" s="14" t="str">
        <x:f>'Evaluation Plan'!P27</x:f>
        <x:v>Empty</x:v>
      </x:c>
      <x:c r="Q27" s="13" t="str">
        <x:f>'Evaluation Plan'!Q27</x:f>
        <x:v>One-object-substitution direct-category control</x:v>
      </x:c>
      <x:c r="R27" s="14" t="n">
        <x:f>'Evaluation Plan'!R27</x:f>
        <x:v>2</x:v>
      </x:c>
      <x:c r="S27" s="13" t="str">
        <x:f>'Evaluation Plan'!S27</x:f>
        <x:v>Reset yellow-white striped cup B to its transfer pose. Replace yellow-white striped cup A with glass spice container B in the same location and use the states listed in this row; preserve all other objects.</x:v>
      </x:c>
      <x:c r="T27" s="13" t="str">
        <x:f>'Evaluation Plan'!T27</x:f>
        <x:v>Pure recognition/manipulation control: the prompt uniquely names the only object from the target category, while the physical target remains identical to the transfer row. Every object is RU.</x:v>
      </x:c>
      <x:c r="U27" s="13" t="n">
        <x:f>'Evaluation Plan'!U27</x:f>
        <x:v>0</x:v>
      </x:c>
    </x:row>
    <x:row r="28" ht="51" customHeight="1">
      <x:c r="A28" s="16" t="s">
        <x:v>181</x:v>
      </x:c>
      <x:c r="B28" s="17" t="n">
        <x:f>'Evaluation Plan'!B28</x:f>
        <x:v>26</x:v>
      </x:c>
      <x:c r="C28" s="16" t="str">
        <x:f>'Evaluation Plan'!C28</x:f>
        <x:v>Move the yellow-white striped cup whose opening is uncovered into the bowl.</x:v>
      </x:c>
      <x:c r="D28" s="16" t="str">
        <x:f>'Evaluation Plan'!D28</x:f>
        <x:v>yellow-white striped cup B (O, RU); yellow-white striped cup A (C, RU); brown cup B (O, RU)</x:v>
      </x:c>
      <x:c r="E28" s="17" t="n">
        <x:f>'Evaluation Plan'!E28</x:f>
        <x:v>24</x:v>
      </x:c>
      <x:c r="F28" s="17" t="str">
        <x:f>'Evaluation Plan'!F28</x:f>
        <x:v>64</x:v>
      </x:c>
      <x:c r="G28" s="16" t="str">
        <x:f>'Evaluation Plan'!G28</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28" s="16" t="str">
        <x:f>'Evaluation Plan'!H28</x:f>
        <x:v>yellow-white striped cup B</x:v>
      </x:c>
      <x:c r="I28" s="16"/>
      <x:c r="J28" s="18" t="str">
        <x:f>'Evaluation Plan'!J28</x:f>
        <x:v>Language robustness</x:v>
      </x:c>
      <x:c r="K28" s="17" t="str">
        <x:f>'Evaluation Plan'!K28</x:f>
        <x:v>SR-CT02</x:v>
      </x:c>
      <x:c r="L28" s="17" t="str">
        <x:f>'Evaluation Plan'!L28</x:f>
        <x:v>O</x:v>
      </x:c>
      <x:c r="M28" s="17" t="str">
        <x:f>'Evaluation Plan'!M28</x:f>
        <x:v>yellow-white striped cup</x:v>
      </x:c>
      <x:c r="N28" s="17" t="n">
        <x:f>'Evaluation Plan'!N28</x:f>
        <x:v>3</x:v>
      </x:c>
      <x:c r="O28" s="17" t="n">
        <x:f>'Evaluation Plan'!O28</x:f>
        <x:v>1</x:v>
      </x:c>
      <x:c r="P28" s="17" t="str">
        <x:f>'Evaluation Plan'!P28</x:f>
        <x:v>Empty</x:v>
      </x:c>
      <x:c r="Q28" s="16" t="str">
        <x:f>'Evaluation Plan'!Q28</x:f>
        <x:v>Primary compositional-transfer prompt paraphrase</x:v>
      </x:c>
      <x:c r="R28" s="17" t="n">
        <x:f>'Evaluation Plan'!R28</x:f>
        <x:v>2</x:v>
      </x:c>
      <x:c r="S28" s="16" t="str">
        <x:f>'Evaluation Plan'!S28</x:f>
        <x:v>Reset the moved object exactly; preserve every object and state; change only the prompt wording.</x:v>
      </x:c>
      <x:c r="T28" s="16" t="str">
        <x:f>'Evaluation Plan'!T28</x:f>
        <x:v>Exact-scene paraphrase of one of the 50 canonical compositional-transfer trials. The orthogonal orientation axis is fixed: every object is RU. The scene is an exact copy of the referenced canonical row.</x:v>
      </x:c>
      <x:c r="U28" s="16" t="n">
        <x:f>'Evaluation Plan'!U28</x:f>
        <x:v>0</x:v>
      </x:c>
    </x:row>
    <x:row r="29" ht="51" customHeight="1">
      <x:c r="A29" s="13" t="s">
        <x:v>181</x:v>
      </x:c>
      <x:c r="B29" s="14" t="n">
        <x:f>'Evaluation Plan'!B29</x:f>
        <x:v>27</x:v>
      </x:c>
      <x:c r="C29" s="13" t="str">
        <x:f>'Evaluation Plan'!C29</x:f>
        <x:v>Lift the yellow-white striped cup and set it inside the bowl.</x:v>
      </x:c>
      <x:c r="D29" s="13" t="str">
        <x:f>'Evaluation Plan'!D29</x:f>
        <x:v>yellow-white striped cup B (O, RU); glass spice container B (C, RU); brown cup B (O, RU)</x:v>
      </x:c>
      <x:c r="E29" s="14" t="n">
        <x:f>'Evaluation Plan'!E29</x:f>
        <x:v>25</x:v>
      </x:c>
      <x:c r="F29" s="14" t="n">
        <x:f>'Evaluation Plan'!F29</x:f>
        <x:v>64</x:v>
      </x:c>
      <x:c r="G29" s="13" t="str">
        <x:f>'Evaluation Plan'!G29</x:f>
        <x:v>Paraphrase of the direct-category matched control grounded by training episode 64. The modified control scene and physical target are unchanged.</x:v>
      </x:c>
      <x:c r="H29" s="13" t="str">
        <x:f>'Evaluation Plan'!H29</x:f>
        <x:v>yellow-white striped cup B</x:v>
      </x:c>
      <x:c r="I29" s="13"/>
      <x:c r="J29" s="18" t="str">
        <x:f>'Evaluation Plan'!J29</x:f>
        <x:v>Language robustness</x:v>
      </x:c>
      <x:c r="K29" s="14" t="str">
        <x:f>'Evaluation Plan'!K29</x:f>
        <x:v>SR-CT02</x:v>
      </x:c>
      <x:c r="L29" s="14" t="str">
        <x:f>'Evaluation Plan'!L29</x:f>
        <x:v>N/A</x:v>
      </x:c>
      <x:c r="M29" s="14" t="str">
        <x:f>'Evaluation Plan'!M29</x:f>
        <x:v>yellow-white striped cup</x:v>
      </x:c>
      <x:c r="N29" s="14" t="n">
        <x:f>'Evaluation Plan'!N29</x:f>
        <x:v>3</x:v>
      </x:c>
      <x:c r="O29" s="14" t="n">
        <x:f>'Evaluation Plan'!O29</x:f>
        <x:v>1</x:v>
      </x:c>
      <x:c r="P29" s="14" t="str">
        <x:f>'Evaluation Plan'!P29</x:f>
        <x:v>Empty</x:v>
      </x:c>
      <x:c r="Q29" s="13" t="str">
        <x:f>'Evaluation Plan'!Q29</x:f>
        <x:v>Direct-category matched-control paraphrase</x:v>
      </x:c>
      <x:c r="R29" s="14" t="n">
        <x:f>'Evaluation Plan'!R29</x:f>
        <x:v>2</x:v>
      </x:c>
      <x:c r="S29" s="13" t="str">
        <x:f>'Evaluation Plan'!S29</x:f>
        <x:v>Reset the target to its marked pose; preserve the exact modified control scene and change only the direct instruction wording.</x:v>
      </x:c>
      <x:c r="T29" s="13" t="str">
        <x:f>'Evaluation Plan'!T29</x:f>
        <x:v>Language diagnostic for the pure manipulation control; no state word or state-based selection is required. The scene is an exact copy of the referenced canonical row.</x:v>
      </x:c>
      <x:c r="U29" s="13" t="n">
        <x:f>'Evaluation Plan'!U29</x:f>
        <x:v>0</x:v>
      </x:c>
    </x:row>
    <x:row r="30" ht="51" customHeight="1">
      <x:c r="A30" s="5" t="s">
        <x:v>181</x:v>
      </x:c>
      <x:c r="B30" s="4" t="n">
        <x:f>'Evaluation Plan'!B30</x:f>
        <x:v>28</x:v>
      </x:c>
      <x:c r="C30" s="5" t="str">
        <x:f>'Evaluation Plan'!C30</x:f>
        <x:v>Place the closed brown cup in the bowl.</x:v>
      </x:c>
      <x:c r="D30" s="5" t="str">
        <x:f>'Evaluation Plan'!D30</x:f>
        <x:v>brown cup A (C, RU); brown cup B (O, RU); glass spice container A (C, RU); white cup B (O, RU)</x:v>
      </x:c>
      <x:c r="E30" s="4" t="n">
        <x:f>'Evaluation Plan'!E30</x:f>
        <x:v>0</x:v>
      </x:c>
      <x:c r="F30" s="4" t="str">
        <x:f>'Evaluation Plan'!F30</x:f>
        <x:v>100</x:v>
      </x:c>
      <x:c r="G30" s="5" t="str">
        <x:f>'Evaluation Plan'!G30</x:f>
        <x:v>Physical-state and manipulation-trajectory reference under a direct category prompt; the evaluated state word × object-category cell is intentionally absent from training. All objects are upright, matching the context of every explicit open/closed training demonstration.</x:v>
      </x:c>
      <x:c r="H30" s="5" t="str">
        <x:f>'Evaluation Plan'!H30</x:f>
        <x:v>brown cup A</x:v>
      </x:c>
      <x:c r="I30" s="5"/>
      <x:c r="J30" s="12" t="str">
        <x:f>'Evaluation Plan'!J30</x:f>
        <x:v>Concept/compositional transfer</x:v>
      </x:c>
      <x:c r="K30" s="4" t="str">
        <x:f>'Evaluation Plan'!K30</x:f>
        <x:v>SR-CT03</x:v>
      </x:c>
      <x:c r="L30" s="4" t="str">
        <x:f>'Evaluation Plan'!L30</x:f>
        <x:v>C</x:v>
      </x:c>
      <x:c r="M30" s="4" t="str">
        <x:f>'Evaluation Plan'!M30</x:f>
        <x:v>brown cup</x:v>
      </x:c>
      <x:c r="N30" s="4" t="n">
        <x:f>'Evaluation Plan'!N30</x:f>
        <x:v>4</x:v>
      </x:c>
      <x:c r="O30" s="4" t="n">
        <x:f>'Evaluation Plan'!O30</x:f>
        <x:v>1</x:v>
      </x:c>
      <x:c r="P30" s="4" t="str">
        <x:f>'Evaluation Plan'!P30</x:f>
        <x:v>Empty</x:v>
      </x:c>
      <x:c r="Q30" s="5" t="str">
        <x:f>'Evaluation Plan'!Q30</x:f>
        <x:v>Primary held-out state-object composition</x:v>
      </x:c>
      <x:c r="R30" s="4" t="n">
        <x:f>'Evaluation Plan'!R30</x:f>
        <x:v>2</x:v>
      </x:c>
      <x:c r="S30" s="5" t="str">
        <x:f>'Evaluation Plan'!S30</x:f>
        <x:v>Build the listed same-category discrimination scene with the bowl empty.</x:v>
      </x:c>
      <x:c r="T30" s="5" t="str">
        <x:f>'Evaluation Plan'!T30</x:f>
        <x:v>Two same-category candidates share the non-queried state axis; only the held-out state word identifies the target. The orthogonal orientation axis is fixed: every object is RU.</x:v>
      </x:c>
      <x:c r="U30" s="5" t="n">
        <x:f>'Evaluation Plan'!U30</x:f>
        <x:v>0</x:v>
      </x:c>
    </x:row>
    <x:row r="31" ht="51" customHeight="1">
      <x:c r="A31" s="13" t="s">
        <x:v>181</x:v>
      </x:c>
      <x:c r="B31" s="14" t="n">
        <x:f>'Evaluation Plan'!B31</x:f>
        <x:v>29</x:v>
      </x:c>
      <x:c r="C31" s="13" t="str">
        <x:f>'Evaluation Plan'!C31</x:f>
        <x:v>Place a brown cup in the bowl.</x:v>
      </x:c>
      <x:c r="D31" s="13" t="str">
        <x:f>'Evaluation Plan'!D31</x:f>
        <x:v>brown cup A (C, RU); yellow-white striped cup A (O, RU); glass spice container A (C, RU); white cup B (O, RU)</x:v>
      </x:c>
      <x:c r="E31" s="14" t="n">
        <x:f>'Evaluation Plan'!E31</x:f>
        <x:v>28</x:v>
      </x:c>
      <x:c r="F31" s="14" t="n">
        <x:f>'Evaluation Plan'!F31</x:f>
        <x:v>100</x:v>
      </x:c>
      <x:c r="G31" s="13" t="str">
        <x:f>'Evaluation Plan'!G31</x:f>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H31" s="13" t="str">
        <x:f>'Evaluation Plan'!H31</x:f>
        <x:v>brown cup A</x:v>
      </x:c>
      <x:c r="I31" s="13"/>
      <x:c r="J31" s="15" t="str">
        <x:f>'Evaluation Plan'!J31</x:f>
        <x:v>Matched manipulation control</x:v>
      </x:c>
      <x:c r="K31" s="14" t="str">
        <x:f>'Evaluation Plan'!K31</x:f>
        <x:v>SR-CT03</x:v>
      </x:c>
      <x:c r="L31" s="14" t="str">
        <x:f>'Evaluation Plan'!L31</x:f>
        <x:v>N/A</x:v>
      </x:c>
      <x:c r="M31" s="14" t="str">
        <x:f>'Evaluation Plan'!M31</x:f>
        <x:v>brown cup</x:v>
      </x:c>
      <x:c r="N31" s="14" t="n">
        <x:f>'Evaluation Plan'!N31</x:f>
        <x:v>4</x:v>
      </x:c>
      <x:c r="O31" s="14" t="n">
        <x:f>'Evaluation Plan'!O31</x:f>
        <x:v>1</x:v>
      </x:c>
      <x:c r="P31" s="14" t="str">
        <x:f>'Evaluation Plan'!P31</x:f>
        <x:v>Empty</x:v>
      </x:c>
      <x:c r="Q31" s="13" t="str">
        <x:f>'Evaluation Plan'!Q31</x:f>
        <x:v>One-object-substitution direct-category control</x:v>
      </x:c>
      <x:c r="R31" s="14" t="n">
        <x:f>'Evaluation Plan'!R31</x:f>
        <x:v>2</x:v>
      </x:c>
      <x:c r="S31" s="13" t="str">
        <x:f>'Evaluation Plan'!S31</x:f>
        <x:v>Reset brown cup A to its transfer pose. Replace brown cup B with yellow-white striped cup A in the same location and use the states listed in this row; preserve all other objects.</x:v>
      </x:c>
      <x:c r="T31" s="13" t="str">
        <x:f>'Evaluation Plan'!T31</x:f>
        <x:v>Pure recognition/manipulation control: the prompt uniquely names the only object from the target category, while the physical target remains identical to the transfer row. Every object is RU.</x:v>
      </x:c>
      <x:c r="U31" s="13" t="n">
        <x:f>'Evaluation Plan'!U31</x:f>
        <x:v>0</x:v>
      </x:c>
    </x:row>
    <x:row r="32" ht="51" customHeight="1">
      <x:c r="A32" s="16" t="s">
        <x:v>181</x:v>
      </x:c>
      <x:c r="B32" s="17" t="n">
        <x:f>'Evaluation Plan'!B32</x:f>
        <x:v>30</x:v>
      </x:c>
      <x:c r="C32" s="16" t="str">
        <x:f>'Evaluation Plan'!C32</x:f>
        <x:v>Move the brown cup whose opening is covered into the bowl.</x:v>
      </x:c>
      <x:c r="D32" s="16" t="str">
        <x:f>'Evaluation Plan'!D32</x:f>
        <x:v>brown cup A (C, RU); brown cup B (O, RU); glass spice container A (C, RU); white cup B (O, RU)</x:v>
      </x:c>
      <x:c r="E32" s="17" t="n">
        <x:f>'Evaluation Plan'!E32</x:f>
        <x:v>28</x:v>
      </x:c>
      <x:c r="F32" s="17" t="str">
        <x:f>'Evaluation Plan'!F32</x:f>
        <x:v>100</x:v>
      </x:c>
      <x:c r="G32" s="16" t="str">
        <x:f>'Evaluation Plan'!G32</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32" s="16" t="str">
        <x:f>'Evaluation Plan'!H32</x:f>
        <x:v>brown cup A</x:v>
      </x:c>
      <x:c r="I32" s="16"/>
      <x:c r="J32" s="18" t="str">
        <x:f>'Evaluation Plan'!J32</x:f>
        <x:v>Language robustness</x:v>
      </x:c>
      <x:c r="K32" s="17" t="str">
        <x:f>'Evaluation Plan'!K32</x:f>
        <x:v>SR-CT03</x:v>
      </x:c>
      <x:c r="L32" s="17" t="str">
        <x:f>'Evaluation Plan'!L32</x:f>
        <x:v>C</x:v>
      </x:c>
      <x:c r="M32" s="17" t="str">
        <x:f>'Evaluation Plan'!M32</x:f>
        <x:v>brown cup</x:v>
      </x:c>
      <x:c r="N32" s="17" t="n">
        <x:f>'Evaluation Plan'!N32</x:f>
        <x:v>4</x:v>
      </x:c>
      <x:c r="O32" s="17" t="n">
        <x:f>'Evaluation Plan'!O32</x:f>
        <x:v>1</x:v>
      </x:c>
      <x:c r="P32" s="17" t="str">
        <x:f>'Evaluation Plan'!P32</x:f>
        <x:v>Empty</x:v>
      </x:c>
      <x:c r="Q32" s="16" t="str">
        <x:f>'Evaluation Plan'!Q32</x:f>
        <x:v>Primary compositional-transfer prompt paraphrase</x:v>
      </x:c>
      <x:c r="R32" s="17" t="n">
        <x:f>'Evaluation Plan'!R32</x:f>
        <x:v>2</x:v>
      </x:c>
      <x:c r="S32" s="16" t="str">
        <x:f>'Evaluation Plan'!S32</x:f>
        <x:v>Reset the moved object exactly; preserve every object and state; change only the prompt wording.</x:v>
      </x:c>
      <x:c r="T32" s="16" t="str">
        <x:f>'Evaluation Plan'!T32</x:f>
        <x:v>Exact-scene paraphrase of one of the 50 canonical compositional-transfer trials. The orthogonal orientation axis is fixed: every object is RU. The scene is an exact copy of the referenced canonical row.</x:v>
      </x:c>
      <x:c r="U32" s="16" t="n">
        <x:f>'Evaluation Plan'!U32</x:f>
        <x:v>0</x:v>
      </x:c>
    </x:row>
    <x:row r="33" ht="51" customHeight="1">
      <x:c r="A33" s="13" t="s">
        <x:v>181</x:v>
      </x:c>
      <x:c r="B33" s="14" t="n">
        <x:f>'Evaluation Plan'!B33</x:f>
        <x:v>31</x:v>
      </x:c>
      <x:c r="C33" s="13" t="str">
        <x:f>'Evaluation Plan'!C33</x:f>
        <x:v>Take the brown cup off the table and place it in the bowl.</x:v>
      </x:c>
      <x:c r="D33" s="13" t="str">
        <x:f>'Evaluation Plan'!D33</x:f>
        <x:v>brown cup A (C, RU); yellow-white striped cup A (O, RU); glass spice container A (C, RU); white cup B (O, RU)</x:v>
      </x:c>
      <x:c r="E33" s="14" t="n">
        <x:f>'Evaluation Plan'!E33</x:f>
        <x:v>29</x:v>
      </x:c>
      <x:c r="F33" s="14" t="n">
        <x:f>'Evaluation Plan'!F33</x:f>
        <x:v>100</x:v>
      </x:c>
      <x:c r="G33" s="13" t="str">
        <x:f>'Evaluation Plan'!G33</x:f>
        <x:v>Paraphrase of the direct-category matched control grounded by training episode 100. The modified control scene and physical target are unchanged.</x:v>
      </x:c>
      <x:c r="H33" s="13" t="str">
        <x:f>'Evaluation Plan'!H33</x:f>
        <x:v>brown cup A</x:v>
      </x:c>
      <x:c r="I33" s="13"/>
      <x:c r="J33" s="18" t="str">
        <x:f>'Evaluation Plan'!J33</x:f>
        <x:v>Language robustness</x:v>
      </x:c>
      <x:c r="K33" s="14" t="str">
        <x:f>'Evaluation Plan'!K33</x:f>
        <x:v>SR-CT03</x:v>
      </x:c>
      <x:c r="L33" s="14" t="str">
        <x:f>'Evaluation Plan'!L33</x:f>
        <x:v>N/A</x:v>
      </x:c>
      <x:c r="M33" s="14" t="str">
        <x:f>'Evaluation Plan'!M33</x:f>
        <x:v>brown cup</x:v>
      </x:c>
      <x:c r="N33" s="14" t="n">
        <x:f>'Evaluation Plan'!N33</x:f>
        <x:v>4</x:v>
      </x:c>
      <x:c r="O33" s="14" t="n">
        <x:f>'Evaluation Plan'!O33</x:f>
        <x:v>1</x:v>
      </x:c>
      <x:c r="P33" s="14" t="str">
        <x:f>'Evaluation Plan'!P33</x:f>
        <x:v>Empty</x:v>
      </x:c>
      <x:c r="Q33" s="13" t="str">
        <x:f>'Evaluation Plan'!Q33</x:f>
        <x:v>Direct-category matched-control paraphrase</x:v>
      </x:c>
      <x:c r="R33" s="14" t="n">
        <x:f>'Evaluation Plan'!R33</x:f>
        <x:v>2</x:v>
      </x:c>
      <x:c r="S33" s="13" t="str">
        <x:f>'Evaluation Plan'!S33</x:f>
        <x:v>Reset the target to its marked pose; preserve the exact modified control scene and change only the direct instruction wording.</x:v>
      </x:c>
      <x:c r="T33" s="13" t="str">
        <x:f>'Evaluation Plan'!T33</x:f>
        <x:v>Language diagnostic for the pure manipulation control; no state word or state-based selection is required. The scene is an exact copy of the referenced canonical row.</x:v>
      </x:c>
      <x:c r="U33" s="13" t="n">
        <x:f>'Evaluation Plan'!U33</x:f>
        <x:v>0</x:v>
      </x:c>
    </x:row>
    <x:row r="34" ht="51" customHeight="1">
      <x:c r="A34" s="5" t="s">
        <x:v>181</x:v>
      </x:c>
      <x:c r="B34" s="4" t="n">
        <x:f>'Evaluation Plan'!B34</x:f>
        <x:v>32</x:v>
      </x:c>
      <x:c r="C34" s="5" t="str">
        <x:f>'Evaluation Plan'!C34</x:f>
        <x:v>Place the upright glass spice container in the bowl.</x:v>
      </x:c>
      <x:c r="D34" s="5" t="str">
        <x:f>'Evaluation Plan'!D34</x:f>
        <x:v>glass spice container B (C, RU); glass spice container A (C, UD)</x:v>
      </x:c>
      <x:c r="E34" s="4" t="n">
        <x:f>'Evaluation Plan'!E34</x:f>
        <x:v>0</x:v>
      </x:c>
      <x:c r="F34" s="4" t="str">
        <x:f>'Evaluation Plan'!F34</x:f>
        <x:v>169</x:v>
      </x:c>
      <x:c r="G34" s="5" t="str">
        <x:f>'Evaluation Plan'!G34</x:f>
        <x:v>Physical-state and manipulation-trajectory reference under a direct category prompt; the evaluated state word × object-category cell is intentionally absent from training.</x:v>
      </x:c>
      <x:c r="H34" s="5" t="str">
        <x:f>'Evaluation Plan'!H34</x:f>
        <x:v>glass spice container B</x:v>
      </x:c>
      <x:c r="I34" s="5"/>
      <x:c r="J34" s="12" t="str">
        <x:f>'Evaluation Plan'!J34</x:f>
        <x:v>Concept/compositional transfer</x:v>
      </x:c>
      <x:c r="K34" s="4" t="str">
        <x:f>'Evaluation Plan'!K34</x:f>
        <x:v>SR-CT04</x:v>
      </x:c>
      <x:c r="L34" s="4" t="str">
        <x:f>'Evaluation Plan'!L34</x:f>
        <x:v>RU</x:v>
      </x:c>
      <x:c r="M34" s="4" t="str">
        <x:f>'Evaluation Plan'!M34</x:f>
        <x:v>glass spice container</x:v>
      </x:c>
      <x:c r="N34" s="4" t="n">
        <x:f>'Evaluation Plan'!N34</x:f>
        <x:v>2</x:v>
      </x:c>
      <x:c r="O34" s="4" t="n">
        <x:f>'Evaluation Plan'!O34</x:f>
        <x:v>1</x:v>
      </x:c>
      <x:c r="P34" s="4" t="str">
        <x:f>'Evaluation Plan'!P34</x:f>
        <x:v>Empty</x:v>
      </x:c>
      <x:c r="Q34" s="5" t="str">
        <x:f>'Evaluation Plan'!Q34</x:f>
        <x:v>Primary held-out state-object composition</x:v>
      </x:c>
      <x:c r="R34" s="4" t="n">
        <x:f>'Evaluation Plan'!R34</x:f>
        <x:v>2</x:v>
      </x:c>
      <x:c r="S34" s="5" t="str">
        <x:f>'Evaluation Plan'!S34</x:f>
        <x:v>Build the listed same-category discrimination scene with the bowl empty.</x:v>
      </x:c>
      <x:c r="T34" s="5" t="str">
        <x:f>'Evaluation Plan'!T34</x:f>
        <x:v>Two same-category candidates share the non-queried state axis; only the held-out state word identifies the target. The same-category candidates share the orthogonal C/O state (C).</x:v>
      </x:c>
      <x:c r="U34" s="5" t="n">
        <x:f>'Evaluation Plan'!U34</x:f>
        <x:v>0</x:v>
      </x:c>
    </x:row>
    <x:row r="35" ht="51" customHeight="1">
      <x:c r="A35" s="13" t="s">
        <x:v>181</x:v>
      </x:c>
      <x:c r="B35" s="14" t="n">
        <x:f>'Evaluation Plan'!B35</x:f>
        <x:v>33</x:v>
      </x:c>
      <x:c r="C35" s="13" t="str">
        <x:f>'Evaluation Plan'!C35</x:f>
        <x:v>Place a glass spice container in the bowl.</x:v>
      </x:c>
      <x:c r="D35" s="13" t="str">
        <x:f>'Evaluation Plan'!D35</x:f>
        <x:v>glass spice container B (C, RU); white cup B (C, UD)</x:v>
      </x:c>
      <x:c r="E35" s="14" t="n">
        <x:f>'Evaluation Plan'!E35</x:f>
        <x:v>32</x:v>
      </x:c>
      <x:c r="F35" s="14" t="n">
        <x:f>'Evaluation Plan'!F35</x:f>
        <x:v>169</x:v>
      </x:c>
      <x:c r="G35" s="13" t="str">
        <x:f>'Evaluation Plan'!G35</x:f>
        <x:v>Exact direct-category manipulation prompt from training episode 169. The transfer target, state, and pose are preserved; only the competing glass spice container is replaced by white cup B.</x:v>
      </x:c>
      <x:c r="H35" s="13" t="str">
        <x:f>'Evaluation Plan'!H35</x:f>
        <x:v>glass spice container B</x:v>
      </x:c>
      <x:c r="I35" s="13"/>
      <x:c r="J35" s="15" t="str">
        <x:f>'Evaluation Plan'!J35</x:f>
        <x:v>Matched manipulation control</x:v>
      </x:c>
      <x:c r="K35" s="14" t="str">
        <x:f>'Evaluation Plan'!K35</x:f>
        <x:v>SR-CT04</x:v>
      </x:c>
      <x:c r="L35" s="14" t="str">
        <x:f>'Evaluation Plan'!L35</x:f>
        <x:v>N/A</x:v>
      </x:c>
      <x:c r="M35" s="14" t="str">
        <x:f>'Evaluation Plan'!M35</x:f>
        <x:v>glass spice container</x:v>
      </x:c>
      <x:c r="N35" s="14" t="n">
        <x:f>'Evaluation Plan'!N35</x:f>
        <x:v>2</x:v>
      </x:c>
      <x:c r="O35" s="14" t="n">
        <x:f>'Evaluation Plan'!O35</x:f>
        <x:v>1</x:v>
      </x:c>
      <x:c r="P35" s="14" t="str">
        <x:f>'Evaluation Plan'!P35</x:f>
        <x:v>Empty</x:v>
      </x:c>
      <x:c r="Q35" s="13" t="str">
        <x:f>'Evaluation Plan'!Q35</x:f>
        <x:v>One-object-substitution direct-category control</x:v>
      </x:c>
      <x:c r="R35" s="14" t="n">
        <x:f>'Evaluation Plan'!R35</x:f>
        <x:v>2</x:v>
      </x:c>
      <x:c r="S35" s="13" t="str">
        <x:f>'Evaluation Plan'!S35</x:f>
        <x:v>Reset glass spice container B to its transfer pose. Replace glass spice container A with white cup B in the same location and use the states listed in this row; preserve all other objects.</x:v>
      </x:c>
      <x:c r="T35" s="13" t="str">
        <x:f>'Evaluation Plan'!T35</x:f>
        <x:v>Pure recognition/manipulation control: the prompt uniquely names the only object from the target category, while the physical target remains identical to the transfer row.</x:v>
      </x:c>
      <x:c r="U35" s="13" t="n">
        <x:f>'Evaluation Plan'!U35</x:f>
        <x:v>0</x:v>
      </x:c>
    </x:row>
    <x:row r="36" ht="51" customHeight="1">
      <x:c r="A36" s="16" t="s">
        <x:v>181</x:v>
      </x:c>
      <x:c r="B36" s="17" t="n">
        <x:f>'Evaluation Plan'!B36</x:f>
        <x:v>34</x:v>
      </x:c>
      <x:c r="C36" s="16" t="str">
        <x:f>'Evaluation Plan'!C36</x:f>
        <x:v>Move the right-side-up glass spice container into the bowl.</x:v>
      </x:c>
      <x:c r="D36" s="16" t="str">
        <x:f>'Evaluation Plan'!D36</x:f>
        <x:v>glass spice container B (C, RU); glass spice container A (C, UD)</x:v>
      </x:c>
      <x:c r="E36" s="17" t="n">
        <x:f>'Evaluation Plan'!E36</x:f>
        <x:v>32</x:v>
      </x:c>
      <x:c r="F36" s="17" t="str">
        <x:f>'Evaluation Plan'!F36</x:f>
        <x:v>169</x:v>
      </x:c>
      <x:c r="G36" s="16" t="str">
        <x:f>'Evaluation Plan'!G36</x:f>
        <x:v>The canonical transfer scene and masked trajectory reference are unchanged; only the evaluation wording is paraphrased. This remains a language diagnostic and is not pooled into the primary 50.</x:v>
      </x:c>
      <x:c r="H36" s="16" t="str">
        <x:f>'Evaluation Plan'!H36</x:f>
        <x:v>glass spice container B</x:v>
      </x:c>
      <x:c r="I36" s="16"/>
      <x:c r="J36" s="18" t="str">
        <x:f>'Evaluation Plan'!J36</x:f>
        <x:v>Language robustness</x:v>
      </x:c>
      <x:c r="K36" s="17" t="str">
        <x:f>'Evaluation Plan'!K36</x:f>
        <x:v>SR-CT04</x:v>
      </x:c>
      <x:c r="L36" s="17" t="str">
        <x:f>'Evaluation Plan'!L36</x:f>
        <x:v>RU</x:v>
      </x:c>
      <x:c r="M36" s="17" t="str">
        <x:f>'Evaluation Plan'!M36</x:f>
        <x:v>glass spice container</x:v>
      </x:c>
      <x:c r="N36" s="17" t="n">
        <x:f>'Evaluation Plan'!N36</x:f>
        <x:v>2</x:v>
      </x:c>
      <x:c r="O36" s="17" t="n">
        <x:f>'Evaluation Plan'!O36</x:f>
        <x:v>1</x:v>
      </x:c>
      <x:c r="P36" s="17" t="str">
        <x:f>'Evaluation Plan'!P36</x:f>
        <x:v>Empty</x:v>
      </x:c>
      <x:c r="Q36" s="16" t="str">
        <x:f>'Evaluation Plan'!Q36</x:f>
        <x:v>Primary compositional-transfer prompt paraphrase</x:v>
      </x:c>
      <x:c r="R36" s="17" t="n">
        <x:f>'Evaluation Plan'!R36</x:f>
        <x:v>2</x:v>
      </x:c>
      <x:c r="S36" s="16" t="str">
        <x:f>'Evaluation Plan'!S36</x:f>
        <x:v>Reset the moved object exactly; preserve every object and state; change only the prompt wording.</x:v>
      </x:c>
      <x:c r="T36" s="16" t="str">
        <x:f>'Evaluation Plan'!T36</x:f>
        <x:v>Exact-scene paraphrase of one of the 50 canonical compositional-transfer trials. The same-category candidates share the orthogonal C/O state (C). The scene is an exact copy of the referenced canonical row.</x:v>
      </x:c>
      <x:c r="U36" s="16" t="n">
        <x:f>'Evaluation Plan'!U36</x:f>
        <x:v>0</x:v>
      </x:c>
    </x:row>
    <x:row r="37" ht="51" customHeight="1">
      <x:c r="A37" s="13" t="s">
        <x:v>181</x:v>
      </x:c>
      <x:c r="B37" s="14" t="n">
        <x:f>'Evaluation Plan'!B37</x:f>
        <x:v>35</x:v>
      </x:c>
      <x:c r="C37" s="13" t="str">
        <x:f>'Evaluation Plan'!C37</x:f>
        <x:v>Move the glass spice container from the workspace into the bowl.</x:v>
      </x:c>
      <x:c r="D37" s="13" t="str">
        <x:f>'Evaluation Plan'!D37</x:f>
        <x:v>glass spice container B (C, RU); white cup B (C, UD)</x:v>
      </x:c>
      <x:c r="E37" s="14" t="n">
        <x:f>'Evaluation Plan'!E37</x:f>
        <x:v>33</x:v>
      </x:c>
      <x:c r="F37" s="14" t="n">
        <x:f>'Evaluation Plan'!F37</x:f>
        <x:v>169</x:v>
      </x:c>
      <x:c r="G37" s="13" t="str">
        <x:f>'Evaluation Plan'!G37</x:f>
        <x:v>Paraphrase of the direct-category matched control grounded by training episode 169. The modified control scene and physical target are unchanged.</x:v>
      </x:c>
      <x:c r="H37" s="13" t="str">
        <x:f>'Evaluation Plan'!H37</x:f>
        <x:v>glass spice container B</x:v>
      </x:c>
      <x:c r="I37" s="13"/>
      <x:c r="J37" s="18" t="str">
        <x:f>'Evaluation Plan'!J37</x:f>
        <x:v>Language robustness</x:v>
      </x:c>
      <x:c r="K37" s="14" t="str">
        <x:f>'Evaluation Plan'!K37</x:f>
        <x:v>SR-CT04</x:v>
      </x:c>
      <x:c r="L37" s="14" t="str">
        <x:f>'Evaluation Plan'!L37</x:f>
        <x:v>N/A</x:v>
      </x:c>
      <x:c r="M37" s="14" t="str">
        <x:f>'Evaluation Plan'!M37</x:f>
        <x:v>glass spice container</x:v>
      </x:c>
      <x:c r="N37" s="14" t="n">
        <x:f>'Evaluation Plan'!N37</x:f>
        <x:v>2</x:v>
      </x:c>
      <x:c r="O37" s="14" t="n">
        <x:f>'Evaluation Plan'!O37</x:f>
        <x:v>1</x:v>
      </x:c>
      <x:c r="P37" s="14" t="str">
        <x:f>'Evaluation Plan'!P37</x:f>
        <x:v>Empty</x:v>
      </x:c>
      <x:c r="Q37" s="13" t="str">
        <x:f>'Evaluation Plan'!Q37</x:f>
        <x:v>Direct-category matched-control paraphrase</x:v>
      </x:c>
      <x:c r="R37" s="14" t="n">
        <x:f>'Evaluation Plan'!R37</x:f>
        <x:v>2</x:v>
      </x:c>
      <x:c r="S37" s="13" t="str">
        <x:f>'Evaluation Plan'!S37</x:f>
        <x:v>Reset the target to its marked pose; preserve the exact modified control scene and change only the direct instruction wording.</x:v>
      </x:c>
      <x:c r="T37" s="13" t="str">
        <x:f>'Evaluation Plan'!T37</x:f>
        <x:v>Language diagnostic for the pure manipulation control; no state word or state-based selection is required. The scene is an exact copy of the referenced canonical row.</x:v>
      </x:c>
      <x:c r="U37" s="13" t="n">
        <x:f>'Evaluation Plan'!U37</x:f>
        <x:v>0</x:v>
      </x:c>
    </x:row>
    <x:row r="38" ht="51" customHeight="1">
      <x:c r="A38" s="5" t="s">
        <x:v>181</x:v>
      </x:c>
      <x:c r="B38" s="4" t="n">
        <x:f>'Evaluation Plan'!B38</x:f>
        <x:v>36</x:v>
      </x:c>
      <x:c r="C38" s="5" t="str">
        <x:f>'Evaluation Plan'!C38</x:f>
        <x:v>Place the upside-down white cup in the bowl.</x:v>
      </x:c>
      <x:c r="D38" s="5" t="str">
        <x:f>'Evaluation Plan'!D38</x:f>
        <x:v>white cup A (O, UD); white cup B (O, RU); brown cup A (C, RU)</x:v>
      </x:c>
      <x:c r="E38" s="4" t="n">
        <x:f>'Evaluation Plan'!E38</x:f>
        <x:v>0</x:v>
      </x:c>
      <x:c r="F38" s="4" t="str">
        <x:f>'Evaluation Plan'!F38</x:f>
        <x:v>30</x:v>
      </x:c>
      <x:c r="G38" s="5" t="str">
        <x:f>'Evaluation Plan'!G38</x:f>
        <x:v>Physical-state and manipulation-trajectory reference under a direct category prompt; the evaluated state word × object-category cell is intentionally absent from training.</x:v>
      </x:c>
      <x:c r="H38" s="5" t="str">
        <x:f>'Evaluation Plan'!H38</x:f>
        <x:v>white cup A</x:v>
      </x:c>
      <x:c r="I38" s="5"/>
      <x:c r="J38" s="12" t="str">
        <x:f>'Evaluation Plan'!J38</x:f>
        <x:v>Concept/compositional transfer</x:v>
      </x:c>
      <x:c r="K38" s="4" t="str">
        <x:f>'Evaluation Plan'!K38</x:f>
        <x:v>SR-CT05</x:v>
      </x:c>
      <x:c r="L38" s="4" t="str">
        <x:f>'Evaluation Plan'!L38</x:f>
        <x:v>UD</x:v>
      </x:c>
      <x:c r="M38" s="4" t="str">
        <x:f>'Evaluation Plan'!M38</x:f>
        <x:v>white cup</x:v>
      </x:c>
      <x:c r="N38" s="4" t="n">
        <x:f>'Evaluation Plan'!N38</x:f>
        <x:v>3</x:v>
      </x:c>
      <x:c r="O38" s="4" t="n">
        <x:f>'Evaluation Plan'!O38</x:f>
        <x:v>1</x:v>
      </x:c>
      <x:c r="P38" s="4" t="str">
        <x:f>'Evaluation Plan'!P38</x:f>
        <x:v>Empty</x:v>
      </x:c>
      <x:c r="Q38" s="5" t="str">
        <x:f>'Evaluation Plan'!Q38</x:f>
        <x:v>Primary held-out state-object composition</x:v>
      </x:c>
      <x:c r="R38" s="4" t="n">
        <x:f>'Evaluation Plan'!R38</x:f>
        <x:v>2</x:v>
      </x:c>
      <x:c r="S38" s="5" t="str">
        <x:f>'Evaluation Plan'!S38</x:f>
        <x:v>Build the listed same-category discrimination scene with the bowl empty.</x:v>
      </x:c>
      <x:c r="T38" s="5" t="str">
        <x:f>'Evaluation Plan'!T38</x:f>
        <x:v>Two same-category candidates share the non-queried state axis; only the held-out state word identifies the target. The same-category candidates share the orthogonal C/O state (O).</x:v>
      </x:c>
      <x:c r="U38" s="5" t="n">
        <x:f>'Evaluation Plan'!U38</x:f>
        <x:v>0</x:v>
      </x:c>
    </x:row>
    <x:row r="39" ht="51" customHeight="1">
      <x:c r="A39" s="13" t="s">
        <x:v>181</x:v>
      </x:c>
      <x:c r="B39" s="14" t="n">
        <x:f>'Evaluation Plan'!B39</x:f>
        <x:v>37</x:v>
      </x:c>
      <x:c r="C39" s="13" t="str">
        <x:f>'Evaluation Plan'!C39</x:f>
        <x:v>Move a white cup into the bowl.</x:v>
      </x:c>
      <x:c r="D39" s="13" t="str">
        <x:f>'Evaluation Plan'!D39</x:f>
        <x:v>white cup A (O, UD); yellow-white striped cup A (O, RU); brown cup A (C, RU)</x:v>
      </x:c>
      <x:c r="E39" s="14" t="n">
        <x:f>'Evaluation Plan'!E39</x:f>
        <x:v>36</x:v>
      </x:c>
      <x:c r="F39" s="14" t="n">
        <x:f>'Evaluation Plan'!F39</x:f>
        <x:v>30</x:v>
      </x:c>
      <x:c r="G39" s="13" t="str">
        <x:f>'Evaluation Plan'!G39</x:f>
        <x:v>Exact direct-category manipulation prompt from training episode 30. The transfer target, state, and pose are preserved; only the competing white cup is replaced by yellow-white striped cup A.</x:v>
      </x:c>
      <x:c r="H39" s="13" t="str">
        <x:f>'Evaluation Plan'!H39</x:f>
        <x:v>white cup A</x:v>
      </x:c>
      <x:c r="I39" s="13"/>
      <x:c r="J39" s="15" t="str">
        <x:f>'Evaluation Plan'!J39</x:f>
        <x:v>Matched manipulation control</x:v>
      </x:c>
      <x:c r="K39" s="14" t="str">
        <x:f>'Evaluation Plan'!K39</x:f>
        <x:v>SR-CT05</x:v>
      </x:c>
      <x:c r="L39" s="14" t="str">
        <x:f>'Evaluation Plan'!L39</x:f>
        <x:v>N/A</x:v>
      </x:c>
      <x:c r="M39" s="14" t="str">
        <x:f>'Evaluation Plan'!M39</x:f>
        <x:v>white cup</x:v>
      </x:c>
      <x:c r="N39" s="14" t="n">
        <x:f>'Evaluation Plan'!N39</x:f>
        <x:v>3</x:v>
      </x:c>
      <x:c r="O39" s="14" t="n">
        <x:f>'Evaluation Plan'!O39</x:f>
        <x:v>1</x:v>
      </x:c>
      <x:c r="P39" s="14" t="str">
        <x:f>'Evaluation Plan'!P39</x:f>
        <x:v>Empty</x:v>
      </x:c>
      <x:c r="Q39" s="13" t="str">
        <x:f>'Evaluation Plan'!Q39</x:f>
        <x:v>One-object-substitution direct-category control</x:v>
      </x:c>
      <x:c r="R39" s="14" t="n">
        <x:f>'Evaluation Plan'!R39</x:f>
        <x:v>2</x:v>
      </x:c>
      <x:c r="S39" s="13" t="str">
        <x:f>'Evaluation Plan'!S39</x:f>
        <x:v>Reset white cup A to its transfer pose. Replace white cup B with yellow-white striped cup A in the same location and use the states listed in this row; preserve all other objects.</x:v>
      </x:c>
      <x:c r="T39" s="13" t="str">
        <x:f>'Evaluation Plan'!T39</x:f>
        <x:v>Pure recognition/manipulation control: the prompt uniquely names the only object from the target category, while the physical target remains identical to the transfer row.</x:v>
      </x:c>
      <x:c r="U39" s="13" t="n">
        <x:f>'Evaluation Plan'!U39</x:f>
        <x:v>0</x:v>
      </x:c>
    </x:row>
    <x:row r="40" ht="51" customHeight="1">
      <x:c r="A40" s="16" t="s">
        <x:v>181</x:v>
      </x:c>
      <x:c r="B40" s="17" t="n">
        <x:f>'Evaluation Plan'!B40</x:f>
        <x:v>38</x:v>
      </x:c>
      <x:c r="C40" s="16" t="str">
        <x:f>'Evaluation Plan'!C40</x:f>
        <x:v>Move the inverted white cup into the bowl.</x:v>
      </x:c>
      <x:c r="D40" s="16" t="str">
        <x:f>'Evaluation Plan'!D40</x:f>
        <x:v>white cup A (O, UD); white cup B (O, RU); brown cup A (C, RU)</x:v>
      </x:c>
      <x:c r="E40" s="17" t="n">
        <x:f>'Evaluation Plan'!E40</x:f>
        <x:v>36</x:v>
      </x:c>
      <x:c r="F40" s="17" t="str">
        <x:f>'Evaluation Plan'!F40</x:f>
        <x:v>30</x:v>
      </x:c>
      <x:c r="G40" s="16" t="str">
        <x:f>'Evaluation Plan'!G40</x:f>
        <x:v>The canonical transfer scene and masked trajectory reference are unchanged; only the evaluation wording is paraphrased. This remains a language diagnostic and is not pooled into the primary 50.</x:v>
      </x:c>
      <x:c r="H40" s="16" t="str">
        <x:f>'Evaluation Plan'!H40</x:f>
        <x:v>white cup A</x:v>
      </x:c>
      <x:c r="I40" s="16"/>
      <x:c r="J40" s="18" t="str">
        <x:f>'Evaluation Plan'!J40</x:f>
        <x:v>Language robustness</x:v>
      </x:c>
      <x:c r="K40" s="17" t="str">
        <x:f>'Evaluation Plan'!K40</x:f>
        <x:v>SR-CT05</x:v>
      </x:c>
      <x:c r="L40" s="17" t="str">
        <x:f>'Evaluation Plan'!L40</x:f>
        <x:v>UD</x:v>
      </x:c>
      <x:c r="M40" s="17" t="str">
        <x:f>'Evaluation Plan'!M40</x:f>
        <x:v>white cup</x:v>
      </x:c>
      <x:c r="N40" s="17" t="n">
        <x:f>'Evaluation Plan'!N40</x:f>
        <x:v>3</x:v>
      </x:c>
      <x:c r="O40" s="17" t="n">
        <x:f>'Evaluation Plan'!O40</x:f>
        <x:v>1</x:v>
      </x:c>
      <x:c r="P40" s="17" t="str">
        <x:f>'Evaluation Plan'!P40</x:f>
        <x:v>Empty</x:v>
      </x:c>
      <x:c r="Q40" s="16" t="str">
        <x:f>'Evaluation Plan'!Q40</x:f>
        <x:v>Primary compositional-transfer prompt paraphrase</x:v>
      </x:c>
      <x:c r="R40" s="17" t="n">
        <x:f>'Evaluation Plan'!R40</x:f>
        <x:v>2</x:v>
      </x:c>
      <x:c r="S40" s="16" t="str">
        <x:f>'Evaluation Plan'!S40</x:f>
        <x:v>Reset the moved object exactly; preserve every object and state; change only the prompt wording.</x:v>
      </x:c>
      <x:c r="T40" s="16" t="str">
        <x:f>'Evaluation Plan'!T40</x:f>
        <x:v>Exact-scene paraphrase of one of the 50 canonical compositional-transfer trials. The same-category candidates share the orthogonal C/O state (O). The scene is an exact copy of the referenced canonical row.</x:v>
      </x:c>
      <x:c r="U40" s="16" t="n">
        <x:f>'Evaluation Plan'!U40</x:f>
        <x:v>0</x:v>
      </x:c>
    </x:row>
    <x:row r="41" ht="51" customHeight="1">
      <x:c r="A41" s="13" t="s">
        <x:v>181</x:v>
      </x:c>
      <x:c r="B41" s="14" t="n">
        <x:f>'Evaluation Plan'!B41</x:f>
        <x:v>39</x:v>
      </x:c>
      <x:c r="C41" s="13" t="str">
        <x:f>'Evaluation Plan'!C41</x:f>
        <x:v>Set the white cup inside the bowl.</x:v>
      </x:c>
      <x:c r="D41" s="13" t="str">
        <x:f>'Evaluation Plan'!D41</x:f>
        <x:v>white cup A (O, UD); yellow-white striped cup A (O, RU); brown cup A (C, RU)</x:v>
      </x:c>
      <x:c r="E41" s="14" t="n">
        <x:f>'Evaluation Plan'!E41</x:f>
        <x:v>37</x:v>
      </x:c>
      <x:c r="F41" s="14" t="n">
        <x:f>'Evaluation Plan'!F41</x:f>
        <x:v>30</x:v>
      </x:c>
      <x:c r="G41" s="13" t="str">
        <x:f>'Evaluation Plan'!G41</x:f>
        <x:v>Paraphrase of the direct-category matched control grounded by training episode 30. The modified control scene and physical target are unchanged.</x:v>
      </x:c>
      <x:c r="H41" s="13" t="str">
        <x:f>'Evaluation Plan'!H41</x:f>
        <x:v>white cup A</x:v>
      </x:c>
      <x:c r="I41" s="13"/>
      <x:c r="J41" s="18" t="str">
        <x:f>'Evaluation Plan'!J41</x:f>
        <x:v>Language robustness</x:v>
      </x:c>
      <x:c r="K41" s="14" t="str">
        <x:f>'Evaluation Plan'!K41</x:f>
        <x:v>SR-CT05</x:v>
      </x:c>
      <x:c r="L41" s="14" t="str">
        <x:f>'Evaluation Plan'!L41</x:f>
        <x:v>N/A</x:v>
      </x:c>
      <x:c r="M41" s="14" t="str">
        <x:f>'Evaluation Plan'!M41</x:f>
        <x:v>white cup</x:v>
      </x:c>
      <x:c r="N41" s="14" t="n">
        <x:f>'Evaluation Plan'!N41</x:f>
        <x:v>3</x:v>
      </x:c>
      <x:c r="O41" s="14" t="n">
        <x:f>'Evaluation Plan'!O41</x:f>
        <x:v>1</x:v>
      </x:c>
      <x:c r="P41" s="14" t="str">
        <x:f>'Evaluation Plan'!P41</x:f>
        <x:v>Empty</x:v>
      </x:c>
      <x:c r="Q41" s="13" t="str">
        <x:f>'Evaluation Plan'!Q41</x:f>
        <x:v>Direct-category matched-control paraphrase</x:v>
      </x:c>
      <x:c r="R41" s="14" t="n">
        <x:f>'Evaluation Plan'!R41</x:f>
        <x:v>2</x:v>
      </x:c>
      <x:c r="S41" s="13" t="str">
        <x:f>'Evaluation Plan'!S41</x:f>
        <x:v>Reset the target to its marked pose; preserve the exact modified control scene and change only the direct instruction wording.</x:v>
      </x:c>
      <x:c r="T41" s="13" t="str">
        <x:f>'Evaluation Plan'!T41</x:f>
        <x:v>Language diagnostic for the pure manipulation control; no state word or state-based selection is required. The scene is an exact copy of the referenced canonical row.</x:v>
      </x:c>
      <x:c r="U41" s="13" t="n">
        <x:f>'Evaluation Plan'!U41</x:f>
        <x:v>0</x:v>
      </x:c>
    </x:row>
    <x:row r="42" ht="51" customHeight="1">
      <x:c r="A42" s="5" t="s">
        <x:v>181</x:v>
      </x:c>
      <x:c r="B42" s="4" t="n">
        <x:f>'Evaluation Plan'!B42</x:f>
        <x:v>40</x:v>
      </x:c>
      <x:c r="C42" s="5" t="str">
        <x:f>'Evaluation Plan'!C42</x:f>
        <x:v>Place the open yellow-white striped cup in the bowl.</x:v>
      </x:c>
      <x:c r="D42" s="5" t="str">
        <x:f>'Evaluation Plan'!D42</x:f>
        <x:v>yellow-white striped cup B (O, RU); yellow-white striped cup A (C, RU); glass spice container B (O, RU); white cup A (C, RU)</x:v>
      </x:c>
      <x:c r="E42" s="4" t="n">
        <x:f>'Evaluation Plan'!E42</x:f>
        <x:v>0</x:v>
      </x:c>
      <x:c r="F42" s="4" t="str">
        <x:f>'Evaluation Plan'!F42</x:f>
        <x:v>53</x:v>
      </x:c>
      <x:c r="G42" s="5" t="str">
        <x:f>'Evaluation Plan'!G42</x:f>
        <x:v>Physical-state and manipulation-trajectory reference under a direct category prompt; the evaluated state word × object-category cell is intentionally absent from training. All objects are upright, matching the context of every explicit open/closed training demonstration.</x:v>
      </x:c>
      <x:c r="H42" s="5" t="str">
        <x:f>'Evaluation Plan'!H42</x:f>
        <x:v>yellow-white striped cup B</x:v>
      </x:c>
      <x:c r="I42" s="5"/>
      <x:c r="J42" s="12" t="str">
        <x:f>'Evaluation Plan'!J42</x:f>
        <x:v>Concept/compositional transfer</x:v>
      </x:c>
      <x:c r="K42" s="4" t="str">
        <x:f>'Evaluation Plan'!K42</x:f>
        <x:v>SR-CT06</x:v>
      </x:c>
      <x:c r="L42" s="4" t="str">
        <x:f>'Evaluation Plan'!L42</x:f>
        <x:v>O</x:v>
      </x:c>
      <x:c r="M42" s="4" t="str">
        <x:f>'Evaluation Plan'!M42</x:f>
        <x:v>yellow-white striped cup</x:v>
      </x:c>
      <x:c r="N42" s="4" t="n">
        <x:f>'Evaluation Plan'!N42</x:f>
        <x:v>4</x:v>
      </x:c>
      <x:c r="O42" s="4" t="n">
        <x:f>'Evaluation Plan'!O42</x:f>
        <x:v>1</x:v>
      </x:c>
      <x:c r="P42" s="4" t="str">
        <x:f>'Evaluation Plan'!P42</x:f>
        <x:v>Empty</x:v>
      </x:c>
      <x:c r="Q42" s="5" t="str">
        <x:f>'Evaluation Plan'!Q42</x:f>
        <x:v>Primary held-out state-object composition</x:v>
      </x:c>
      <x:c r="R42" s="4" t="n">
        <x:f>'Evaluation Plan'!R42</x:f>
        <x:v>2</x:v>
      </x:c>
      <x:c r="S42" s="5" t="str">
        <x:f>'Evaluation Plan'!S42</x:f>
        <x:v>Build the listed same-category discrimination scene with the bowl empty.</x:v>
      </x:c>
      <x:c r="T42" s="5" t="str">
        <x:f>'Evaluation Plan'!T42</x:f>
        <x:v>Two same-category candidates share the non-queried state axis; only the held-out state word identifies the target. The orthogonal orientation axis is fixed: every object is RU.</x:v>
      </x:c>
      <x:c r="U42" s="5" t="n">
        <x:f>'Evaluation Plan'!U42</x:f>
        <x:v>0</x:v>
      </x:c>
    </x:row>
    <x:row r="43" ht="51" customHeight="1">
      <x:c r="A43" s="13" t="s">
        <x:v>181</x:v>
      </x:c>
      <x:c r="B43" s="14" t="n">
        <x:f>'Evaluation Plan'!B43</x:f>
        <x:v>41</x:v>
      </x:c>
      <x:c r="C43" s="13" t="str">
        <x:f>'Evaluation Plan'!C43</x:f>
        <x:v>Put a yellow-white striped cup in the bowl.</x:v>
      </x:c>
      <x:c r="D43" s="13" t="str">
        <x:f>'Evaluation Plan'!D43</x:f>
        <x:v>yellow-white striped cup B (O, RU); brown cup B (C, RU); glass spice container B (O, RU); white cup A (C, RU)</x:v>
      </x:c>
      <x:c r="E43" s="14" t="n">
        <x:f>'Evaluation Plan'!E43</x:f>
        <x:v>40</x:v>
      </x:c>
      <x:c r="F43" s="14" t="n">
        <x:f>'Evaluation Plan'!F43</x:f>
        <x:v>53</x:v>
      </x:c>
      <x:c r="G43" s="13" t="str">
        <x:f>'Evaluation Plan'!G43</x:f>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H43" s="13" t="str">
        <x:f>'Evaluation Plan'!H43</x:f>
        <x:v>yellow-white striped cup B</x:v>
      </x:c>
      <x:c r="I43" s="13"/>
      <x:c r="J43" s="15" t="str">
        <x:f>'Evaluation Plan'!J43</x:f>
        <x:v>Matched manipulation control</x:v>
      </x:c>
      <x:c r="K43" s="14" t="str">
        <x:f>'Evaluation Plan'!K43</x:f>
        <x:v>SR-CT06</x:v>
      </x:c>
      <x:c r="L43" s="14" t="str">
        <x:f>'Evaluation Plan'!L43</x:f>
        <x:v>N/A</x:v>
      </x:c>
      <x:c r="M43" s="14" t="str">
        <x:f>'Evaluation Plan'!M43</x:f>
        <x:v>yellow-white striped cup</x:v>
      </x:c>
      <x:c r="N43" s="14" t="n">
        <x:f>'Evaluation Plan'!N43</x:f>
        <x:v>4</x:v>
      </x:c>
      <x:c r="O43" s="14" t="n">
        <x:f>'Evaluation Plan'!O43</x:f>
        <x:v>1</x:v>
      </x:c>
      <x:c r="P43" s="14" t="str">
        <x:f>'Evaluation Plan'!P43</x:f>
        <x:v>Empty</x:v>
      </x:c>
      <x:c r="Q43" s="13" t="str">
        <x:f>'Evaluation Plan'!Q43</x:f>
        <x:v>One-object-substitution direct-category control</x:v>
      </x:c>
      <x:c r="R43" s="14" t="n">
        <x:f>'Evaluation Plan'!R43</x:f>
        <x:v>2</x:v>
      </x:c>
      <x:c r="S43" s="13" t="str">
        <x:f>'Evaluation Plan'!S43</x:f>
        <x:v>Reset yellow-white striped cup B to its transfer pose. Replace yellow-white striped cup A with brown cup B in the same location and use the states listed in this row; preserve all other objects.</x:v>
      </x:c>
      <x:c r="T43" s="13" t="str">
        <x:f>'Evaluation Plan'!T43</x:f>
        <x:v>Pure recognition/manipulation control: the prompt uniquely names the only object from the target category, while the physical target remains identical to the transfer row. Every object is RU.</x:v>
      </x:c>
      <x:c r="U43" s="13" t="n">
        <x:f>'Evaluation Plan'!U43</x:f>
        <x:v>0</x:v>
      </x:c>
    </x:row>
    <x:row r="44" ht="51" customHeight="1">
      <x:c r="A44" s="16" t="s">
        <x:v>181</x:v>
      </x:c>
      <x:c r="B44" s="17" t="n">
        <x:f>'Evaluation Plan'!B44</x:f>
        <x:v>42</x:v>
      </x:c>
      <x:c r="C44" s="16" t="str">
        <x:f>'Evaluation Plan'!C44</x:f>
        <x:v>Move the yellow-white striped cup whose opening is uncovered into the bowl.</x:v>
      </x:c>
      <x:c r="D44" s="16" t="str">
        <x:f>'Evaluation Plan'!D44</x:f>
        <x:v>yellow-white striped cup B (O, RU); yellow-white striped cup A (C, RU); glass spice container B (O, RU); white cup A (C, RU)</x:v>
      </x:c>
      <x:c r="E44" s="17" t="n">
        <x:f>'Evaluation Plan'!E44</x:f>
        <x:v>40</x:v>
      </x:c>
      <x:c r="F44" s="17" t="str">
        <x:f>'Evaluation Plan'!F44</x:f>
        <x:v>53</x:v>
      </x:c>
      <x:c r="G44" s="16" t="str">
        <x:f>'Evaluation Plan'!G44</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4" s="16" t="str">
        <x:f>'Evaluation Plan'!H44</x:f>
        <x:v>yellow-white striped cup B</x:v>
      </x:c>
      <x:c r="I44" s="16"/>
      <x:c r="J44" s="18" t="str">
        <x:f>'Evaluation Plan'!J44</x:f>
        <x:v>Language robustness</x:v>
      </x:c>
      <x:c r="K44" s="17" t="str">
        <x:f>'Evaluation Plan'!K44</x:f>
        <x:v>SR-CT06</x:v>
      </x:c>
      <x:c r="L44" s="17" t="str">
        <x:f>'Evaluation Plan'!L44</x:f>
        <x:v>O</x:v>
      </x:c>
      <x:c r="M44" s="17" t="str">
        <x:f>'Evaluation Plan'!M44</x:f>
        <x:v>yellow-white striped cup</x:v>
      </x:c>
      <x:c r="N44" s="17" t="n">
        <x:f>'Evaluation Plan'!N44</x:f>
        <x:v>4</x:v>
      </x:c>
      <x:c r="O44" s="17" t="n">
        <x:f>'Evaluation Plan'!O44</x:f>
        <x:v>1</x:v>
      </x:c>
      <x:c r="P44" s="17" t="str">
        <x:f>'Evaluation Plan'!P44</x:f>
        <x:v>Empty</x:v>
      </x:c>
      <x:c r="Q44" s="16" t="str">
        <x:f>'Evaluation Plan'!Q44</x:f>
        <x:v>Primary compositional-transfer prompt paraphrase</x:v>
      </x:c>
      <x:c r="R44" s="17" t="n">
        <x:f>'Evaluation Plan'!R44</x:f>
        <x:v>2</x:v>
      </x:c>
      <x:c r="S44" s="16" t="str">
        <x:f>'Evaluation Plan'!S44</x:f>
        <x:v>Reset the moved object exactly; preserve every object and state; change only the prompt wording.</x:v>
      </x:c>
      <x:c r="T44" s="16" t="str">
        <x:f>'Evaluation Plan'!T44</x:f>
        <x:v>Exact-scene paraphrase of one of the 50 canonical compositional-transfer trials. The orthogonal orientation axis is fixed: every object is RU. The scene is an exact copy of the referenced canonical row.</x:v>
      </x:c>
      <x:c r="U44" s="16" t="n">
        <x:f>'Evaluation Plan'!U44</x:f>
        <x:v>0</x:v>
      </x:c>
    </x:row>
    <x:row r="45" ht="51" customHeight="1">
      <x:c r="A45" s="13" t="s">
        <x:v>181</x:v>
      </x:c>
      <x:c r="B45" s="14" t="n">
        <x:f>'Evaluation Plan'!B45</x:f>
        <x:v>43</x:v>
      </x:c>
      <x:c r="C45" s="13" t="str">
        <x:f>'Evaluation Plan'!C45</x:f>
        <x:v>Transfer the yellow-white striped cup from the table into the bowl.</x:v>
      </x:c>
      <x:c r="D45" s="13" t="str">
        <x:f>'Evaluation Plan'!D45</x:f>
        <x:v>yellow-white striped cup B (O, RU); brown cup B (C, RU); glass spice container B (O, RU); white cup A (C, RU)</x:v>
      </x:c>
      <x:c r="E45" s="14" t="n">
        <x:f>'Evaluation Plan'!E45</x:f>
        <x:v>41</x:v>
      </x:c>
      <x:c r="F45" s="14" t="n">
        <x:f>'Evaluation Plan'!F45</x:f>
        <x:v>53</x:v>
      </x:c>
      <x:c r="G45" s="13" t="str">
        <x:f>'Evaluation Plan'!G45</x:f>
        <x:v>Paraphrase of the direct-category matched control grounded by training episode 53. The modified control scene and physical target are unchanged.</x:v>
      </x:c>
      <x:c r="H45" s="13" t="str">
        <x:f>'Evaluation Plan'!H45</x:f>
        <x:v>yellow-white striped cup B</x:v>
      </x:c>
      <x:c r="I45" s="13"/>
      <x:c r="J45" s="18" t="str">
        <x:f>'Evaluation Plan'!J45</x:f>
        <x:v>Language robustness</x:v>
      </x:c>
      <x:c r="K45" s="14" t="str">
        <x:f>'Evaluation Plan'!K45</x:f>
        <x:v>SR-CT06</x:v>
      </x:c>
      <x:c r="L45" s="14" t="str">
        <x:f>'Evaluation Plan'!L45</x:f>
        <x:v>N/A</x:v>
      </x:c>
      <x:c r="M45" s="14" t="str">
        <x:f>'Evaluation Plan'!M45</x:f>
        <x:v>yellow-white striped cup</x:v>
      </x:c>
      <x:c r="N45" s="14" t="n">
        <x:f>'Evaluation Plan'!N45</x:f>
        <x:v>4</x:v>
      </x:c>
      <x:c r="O45" s="14" t="n">
        <x:f>'Evaluation Plan'!O45</x:f>
        <x:v>1</x:v>
      </x:c>
      <x:c r="P45" s="14" t="str">
        <x:f>'Evaluation Plan'!P45</x:f>
        <x:v>Empty</x:v>
      </x:c>
      <x:c r="Q45" s="13" t="str">
        <x:f>'Evaluation Plan'!Q45</x:f>
        <x:v>Direct-category matched-control paraphrase</x:v>
      </x:c>
      <x:c r="R45" s="14" t="n">
        <x:f>'Evaluation Plan'!R45</x:f>
        <x:v>2</x:v>
      </x:c>
      <x:c r="S45" s="13" t="str">
        <x:f>'Evaluation Plan'!S45</x:f>
        <x:v>Reset the target to its marked pose; preserve the exact modified control scene and change only the direct instruction wording.</x:v>
      </x:c>
      <x:c r="T45" s="13" t="str">
        <x:f>'Evaluation Plan'!T45</x:f>
        <x:v>Language diagnostic for the pure manipulation control; no state word or state-based selection is required. The scene is an exact copy of the referenced canonical row.</x:v>
      </x:c>
      <x:c r="U45" s="13" t="n">
        <x:f>'Evaluation Plan'!U45</x:f>
        <x:v>0</x:v>
      </x:c>
    </x:row>
    <x:row r="46" ht="51" customHeight="1">
      <x:c r="A46" s="5" t="s">
        <x:v>181</x:v>
      </x:c>
      <x:c r="B46" s="4" t="n">
        <x:f>'Evaluation Plan'!B46</x:f>
        <x:v>44</x:v>
      </x:c>
      <x:c r="C46" s="5" t="str">
        <x:f>'Evaluation Plan'!C46</x:f>
        <x:v>Place the closed brown cup in the bowl.</x:v>
      </x:c>
      <x:c r="D46" s="5" t="str">
        <x:f>'Evaluation Plan'!D46</x:f>
        <x:v>brown cup A (C, RU); brown cup B (O, RU)</x:v>
      </x:c>
      <x:c r="E46" s="4" t="n">
        <x:f>'Evaluation Plan'!E46</x:f>
        <x:v>0</x:v>
      </x:c>
      <x:c r="F46" s="4" t="str">
        <x:f>'Evaluation Plan'!F46</x:f>
        <x:v>107</x:v>
      </x:c>
      <x:c r="G46" s="5" t="str">
        <x:f>'Evaluation Plan'!G46</x:f>
        <x:v>Physical-state and manipulation-trajectory reference under a direct category prompt; the evaluated state word × object-category cell is intentionally absent from training. All objects are upright, matching the context of every explicit open/closed training demonstration.</x:v>
      </x:c>
      <x:c r="H46" s="5" t="str">
        <x:f>'Evaluation Plan'!H46</x:f>
        <x:v>brown cup A</x:v>
      </x:c>
      <x:c r="I46" s="5"/>
      <x:c r="J46" s="12" t="str">
        <x:f>'Evaluation Plan'!J46</x:f>
        <x:v>Concept/compositional transfer</x:v>
      </x:c>
      <x:c r="K46" s="4" t="str">
        <x:f>'Evaluation Plan'!K46</x:f>
        <x:v>SR-CT07</x:v>
      </x:c>
      <x:c r="L46" s="4" t="str">
        <x:f>'Evaluation Plan'!L46</x:f>
        <x:v>C</x:v>
      </x:c>
      <x:c r="M46" s="4" t="str">
        <x:f>'Evaluation Plan'!M46</x:f>
        <x:v>brown cup</x:v>
      </x:c>
      <x:c r="N46" s="4" t="n">
        <x:f>'Evaluation Plan'!N46</x:f>
        <x:v>2</x:v>
      </x:c>
      <x:c r="O46" s="4" t="n">
        <x:f>'Evaluation Plan'!O46</x:f>
        <x:v>1</x:v>
      </x:c>
      <x:c r="P46" s="4" t="str">
        <x:f>'Evaluation Plan'!P46</x:f>
        <x:v>Empty</x:v>
      </x:c>
      <x:c r="Q46" s="5" t="str">
        <x:f>'Evaluation Plan'!Q46</x:f>
        <x:v>Primary held-out state-object composition</x:v>
      </x:c>
      <x:c r="R46" s="4" t="n">
        <x:f>'Evaluation Plan'!R46</x:f>
        <x:v>2</x:v>
      </x:c>
      <x:c r="S46" s="5" t="str">
        <x:f>'Evaluation Plan'!S46</x:f>
        <x:v>Build the listed same-category discrimination scene with the bowl empty.</x:v>
      </x:c>
      <x:c r="T46" s="5" t="str">
        <x:f>'Evaluation Plan'!T46</x:f>
        <x:v>Two same-category candidates share the non-queried state axis; only the held-out state word identifies the target. The orthogonal orientation axis is fixed: every object is RU.</x:v>
      </x:c>
      <x:c r="U46" s="5" t="n">
        <x:f>'Evaluation Plan'!U46</x:f>
        <x:v>0</x:v>
      </x:c>
    </x:row>
    <x:row r="47" ht="51" customHeight="1">
      <x:c r="A47" s="13" t="s">
        <x:v>181</x:v>
      </x:c>
      <x:c r="B47" s="14" t="n">
        <x:f>'Evaluation Plan'!B47</x:f>
        <x:v>45</x:v>
      </x:c>
      <x:c r="C47" s="13" t="str">
        <x:f>'Evaluation Plan'!C47</x:f>
        <x:v>Put a brown cup in the bowl.</x:v>
      </x:c>
      <x:c r="D47" s="13" t="str">
        <x:f>'Evaluation Plan'!D47</x:f>
        <x:v>brown cup A (C, RU); white cup A (O, RU)</x:v>
      </x:c>
      <x:c r="E47" s="14" t="n">
        <x:f>'Evaluation Plan'!E47</x:f>
        <x:v>44</x:v>
      </x:c>
      <x:c r="F47" s="14" t="n">
        <x:f>'Evaluation Plan'!F47</x:f>
        <x:v>107</x:v>
      </x:c>
      <x:c r="G47" s="13" t="str">
        <x:f>'Evaluation Plan'!G47</x:f>
        <x:v>Exact direct-category manipulation prompt from training episode 107. The transfer target, state, and pose are preserved; only the competing brown cup is replaced by white cup A. The full control scene is upright because its paired transfer instruction queries open/closed.</x:v>
      </x:c>
      <x:c r="H47" s="13" t="str">
        <x:f>'Evaluation Plan'!H47</x:f>
        <x:v>brown cup A</x:v>
      </x:c>
      <x:c r="I47" s="13"/>
      <x:c r="J47" s="15" t="str">
        <x:f>'Evaluation Plan'!J47</x:f>
        <x:v>Matched manipulation control</x:v>
      </x:c>
      <x:c r="K47" s="14" t="str">
        <x:f>'Evaluation Plan'!K47</x:f>
        <x:v>SR-CT07</x:v>
      </x:c>
      <x:c r="L47" s="14" t="str">
        <x:f>'Evaluation Plan'!L47</x:f>
        <x:v>N/A</x:v>
      </x:c>
      <x:c r="M47" s="14" t="str">
        <x:f>'Evaluation Plan'!M47</x:f>
        <x:v>brown cup</x:v>
      </x:c>
      <x:c r="N47" s="14" t="n">
        <x:f>'Evaluation Plan'!N47</x:f>
        <x:v>2</x:v>
      </x:c>
      <x:c r="O47" s="14" t="n">
        <x:f>'Evaluation Plan'!O47</x:f>
        <x:v>1</x:v>
      </x:c>
      <x:c r="P47" s="14" t="str">
        <x:f>'Evaluation Plan'!P47</x:f>
        <x:v>Empty</x:v>
      </x:c>
      <x:c r="Q47" s="13" t="str">
        <x:f>'Evaluation Plan'!Q47</x:f>
        <x:v>One-object-substitution direct-category control</x:v>
      </x:c>
      <x:c r="R47" s="14" t="n">
        <x:f>'Evaluation Plan'!R47</x:f>
        <x:v>2</x:v>
      </x:c>
      <x:c r="S47" s="13" t="str">
        <x:f>'Evaluation Plan'!S47</x:f>
        <x:v>Reset brown cup A to its transfer pose. Replace brown cup B with white cup A in the same location and use the states listed in this row; preserve all other objects.</x:v>
      </x:c>
      <x:c r="T47" s="13" t="str">
        <x:f>'Evaluation Plan'!T47</x:f>
        <x:v>Pure recognition/manipulation control: the prompt uniquely names the only object from the target category, while the physical target remains identical to the transfer row. Every object is RU.</x:v>
      </x:c>
      <x:c r="U47" s="13" t="n">
        <x:f>'Evaluation Plan'!U47</x:f>
        <x:v>0</x:v>
      </x:c>
    </x:row>
    <x:row r="48" ht="51" customHeight="1">
      <x:c r="A48" s="16" t="s">
        <x:v>181</x:v>
      </x:c>
      <x:c r="B48" s="17" t="n">
        <x:f>'Evaluation Plan'!B48</x:f>
        <x:v>46</x:v>
      </x:c>
      <x:c r="C48" s="16" t="str">
        <x:f>'Evaluation Plan'!C48</x:f>
        <x:v>Move the brown cup whose opening is covered into the bowl.</x:v>
      </x:c>
      <x:c r="D48" s="16" t="str">
        <x:f>'Evaluation Plan'!D48</x:f>
        <x:v>brown cup A (C, RU); brown cup B (O, RU)</x:v>
      </x:c>
      <x:c r="E48" s="17" t="n">
        <x:f>'Evaluation Plan'!E48</x:f>
        <x:v>44</x:v>
      </x:c>
      <x:c r="F48" s="17" t="str">
        <x:f>'Evaluation Plan'!F48</x:f>
        <x:v>107</x:v>
      </x:c>
      <x:c r="G48" s="16" t="str">
        <x:f>'Evaluation Plan'!G48</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48" s="16" t="str">
        <x:f>'Evaluation Plan'!H48</x:f>
        <x:v>brown cup A</x:v>
      </x:c>
      <x:c r="I48" s="16"/>
      <x:c r="J48" s="18" t="str">
        <x:f>'Evaluation Plan'!J48</x:f>
        <x:v>Language robustness</x:v>
      </x:c>
      <x:c r="K48" s="17" t="str">
        <x:f>'Evaluation Plan'!K48</x:f>
        <x:v>SR-CT07</x:v>
      </x:c>
      <x:c r="L48" s="17" t="str">
        <x:f>'Evaluation Plan'!L48</x:f>
        <x:v>C</x:v>
      </x:c>
      <x:c r="M48" s="17" t="str">
        <x:f>'Evaluation Plan'!M48</x:f>
        <x:v>brown cup</x:v>
      </x:c>
      <x:c r="N48" s="17" t="n">
        <x:f>'Evaluation Plan'!N48</x:f>
        <x:v>2</x:v>
      </x:c>
      <x:c r="O48" s="17" t="n">
        <x:f>'Evaluation Plan'!O48</x:f>
        <x:v>1</x:v>
      </x:c>
      <x:c r="P48" s="17" t="str">
        <x:f>'Evaluation Plan'!P48</x:f>
        <x:v>Empty</x:v>
      </x:c>
      <x:c r="Q48" s="16" t="str">
        <x:f>'Evaluation Plan'!Q48</x:f>
        <x:v>Primary compositional-transfer prompt paraphrase</x:v>
      </x:c>
      <x:c r="R48" s="17" t="n">
        <x:f>'Evaluation Plan'!R48</x:f>
        <x:v>2</x:v>
      </x:c>
      <x:c r="S48" s="16" t="str">
        <x:f>'Evaluation Plan'!S48</x:f>
        <x:v>Reset the moved object exactly; preserve every object and state; change only the prompt wording.</x:v>
      </x:c>
      <x:c r="T48" s="16" t="str">
        <x:f>'Evaluation Plan'!T48</x:f>
        <x:v>Exact-scene paraphrase of one of the 50 canonical compositional-transfer trials. The orthogonal orientation axis is fixed: every object is RU. The scene is an exact copy of the referenced canonical row.</x:v>
      </x:c>
      <x:c r="U48" s="16" t="n">
        <x:f>'Evaluation Plan'!U48</x:f>
        <x:v>0</x:v>
      </x:c>
    </x:row>
    <x:row r="49" ht="51" customHeight="1">
      <x:c r="A49" s="13" t="s">
        <x:v>181</x:v>
      </x:c>
      <x:c r="B49" s="14" t="n">
        <x:f>'Evaluation Plan'!B49</x:f>
        <x:v>47</x:v>
      </x:c>
      <x:c r="C49" s="13" t="str">
        <x:f>'Evaluation Plan'!C49</x:f>
        <x:v>Lift the brown cup and set it inside the bowl.</x:v>
      </x:c>
      <x:c r="D49" s="13" t="str">
        <x:f>'Evaluation Plan'!D49</x:f>
        <x:v>brown cup A (C, RU); white cup A (O, RU)</x:v>
      </x:c>
      <x:c r="E49" s="14" t="n">
        <x:f>'Evaluation Plan'!E49</x:f>
        <x:v>45</x:v>
      </x:c>
      <x:c r="F49" s="14" t="n">
        <x:f>'Evaluation Plan'!F49</x:f>
        <x:v>107</x:v>
      </x:c>
      <x:c r="G49" s="13" t="str">
        <x:f>'Evaluation Plan'!G49</x:f>
        <x:v>Paraphrase of the direct-category matched control grounded by training episode 107. The modified control scene and physical target are unchanged.</x:v>
      </x:c>
      <x:c r="H49" s="13" t="str">
        <x:f>'Evaluation Plan'!H49</x:f>
        <x:v>brown cup A</x:v>
      </x:c>
      <x:c r="I49" s="13"/>
      <x:c r="J49" s="18" t="str">
        <x:f>'Evaluation Plan'!J49</x:f>
        <x:v>Language robustness</x:v>
      </x:c>
      <x:c r="K49" s="14" t="str">
        <x:f>'Evaluation Plan'!K49</x:f>
        <x:v>SR-CT07</x:v>
      </x:c>
      <x:c r="L49" s="14" t="str">
        <x:f>'Evaluation Plan'!L49</x:f>
        <x:v>N/A</x:v>
      </x:c>
      <x:c r="M49" s="14" t="str">
        <x:f>'Evaluation Plan'!M49</x:f>
        <x:v>brown cup</x:v>
      </x:c>
      <x:c r="N49" s="14" t="n">
        <x:f>'Evaluation Plan'!N49</x:f>
        <x:v>2</x:v>
      </x:c>
      <x:c r="O49" s="14" t="n">
        <x:f>'Evaluation Plan'!O49</x:f>
        <x:v>1</x:v>
      </x:c>
      <x:c r="P49" s="14" t="str">
        <x:f>'Evaluation Plan'!P49</x:f>
        <x:v>Empty</x:v>
      </x:c>
      <x:c r="Q49" s="13" t="str">
        <x:f>'Evaluation Plan'!Q49</x:f>
        <x:v>Direct-category matched-control paraphrase</x:v>
      </x:c>
      <x:c r="R49" s="14" t="n">
        <x:f>'Evaluation Plan'!R49</x:f>
        <x:v>2</x:v>
      </x:c>
      <x:c r="S49" s="13" t="str">
        <x:f>'Evaluation Plan'!S49</x:f>
        <x:v>Reset the target to its marked pose; preserve the exact modified control scene and change only the direct instruction wording.</x:v>
      </x:c>
      <x:c r="T49" s="13" t="str">
        <x:f>'Evaluation Plan'!T49</x:f>
        <x:v>Language diagnostic for the pure manipulation control; no state word or state-based selection is required. The scene is an exact copy of the referenced canonical row.</x:v>
      </x:c>
      <x:c r="U49" s="13" t="n">
        <x:f>'Evaluation Plan'!U49</x:f>
        <x:v>0</x:v>
      </x:c>
    </x:row>
    <x:row r="50" ht="51" customHeight="1">
      <x:c r="A50" s="5" t="s">
        <x:v>181</x:v>
      </x:c>
      <x:c r="B50" s="4" t="n">
        <x:f>'Evaluation Plan'!B50</x:f>
        <x:v>48</x:v>
      </x:c>
      <x:c r="C50" s="5" t="str">
        <x:f>'Evaluation Plan'!C50</x:f>
        <x:v>Place the upright glass spice container in the bowl.</x:v>
      </x:c>
      <x:c r="D50" s="5" t="str">
        <x:f>'Evaluation Plan'!D50</x:f>
        <x:v>glass spice container B (O, RU); glass spice container A (O, UD); yellow-white striped cup B (O, UD)</x:v>
      </x:c>
      <x:c r="E50" s="4" t="n">
        <x:f>'Evaluation Plan'!E50</x:f>
        <x:v>0</x:v>
      </x:c>
      <x:c r="F50" s="4" t="str">
        <x:f>'Evaluation Plan'!F50</x:f>
        <x:v>153</x:v>
      </x:c>
      <x:c r="G50" s="5" t="str">
        <x:f>'Evaluation Plan'!G50</x:f>
        <x:v>Physical-state and manipulation-trajectory reference under a direct category prompt; the evaluated state word × object-category cell is intentionally absent from training.</x:v>
      </x:c>
      <x:c r="H50" s="5" t="str">
        <x:f>'Evaluation Plan'!H50</x:f>
        <x:v>glass spice container B</x:v>
      </x:c>
      <x:c r="I50" s="5"/>
      <x:c r="J50" s="12" t="str">
        <x:f>'Evaluation Plan'!J50</x:f>
        <x:v>Concept/compositional transfer</x:v>
      </x:c>
      <x:c r="K50" s="4" t="str">
        <x:f>'Evaluation Plan'!K50</x:f>
        <x:v>SR-CT08</x:v>
      </x:c>
      <x:c r="L50" s="4" t="str">
        <x:f>'Evaluation Plan'!L50</x:f>
        <x:v>RU</x:v>
      </x:c>
      <x:c r="M50" s="4" t="str">
        <x:f>'Evaluation Plan'!M50</x:f>
        <x:v>glass spice container</x:v>
      </x:c>
      <x:c r="N50" s="4" t="n">
        <x:f>'Evaluation Plan'!N50</x:f>
        <x:v>3</x:v>
      </x:c>
      <x:c r="O50" s="4" t="n">
        <x:f>'Evaluation Plan'!O50</x:f>
        <x:v>1</x:v>
      </x:c>
      <x:c r="P50" s="4" t="str">
        <x:f>'Evaluation Plan'!P50</x:f>
        <x:v>Empty</x:v>
      </x:c>
      <x:c r="Q50" s="5" t="str">
        <x:f>'Evaluation Plan'!Q50</x:f>
        <x:v>Primary held-out state-object composition</x:v>
      </x:c>
      <x:c r="R50" s="4" t="n">
        <x:f>'Evaluation Plan'!R50</x:f>
        <x:v>2</x:v>
      </x:c>
      <x:c r="S50" s="5" t="str">
        <x:f>'Evaluation Plan'!S50</x:f>
        <x:v>Build the listed same-category discrimination scene with the bowl empty.</x:v>
      </x:c>
      <x:c r="T50" s="5" t="str">
        <x:f>'Evaluation Plan'!T50</x:f>
        <x:v>Two same-category candidates share the non-queried state axis; only the held-out state word identifies the target. The same-category candidates share the orthogonal C/O state (O).</x:v>
      </x:c>
      <x:c r="U50" s="5" t="n">
        <x:f>'Evaluation Plan'!U50</x:f>
        <x:v>0</x:v>
      </x:c>
    </x:row>
    <x:row r="51" ht="51" customHeight="1">
      <x:c r="A51" s="13" t="s">
        <x:v>181</x:v>
      </x:c>
      <x:c r="B51" s="14" t="n">
        <x:f>'Evaluation Plan'!B51</x:f>
        <x:v>49</x:v>
      </x:c>
      <x:c r="C51" s="13" t="str">
        <x:f>'Evaluation Plan'!C51</x:f>
        <x:v>Move a glass spice container into the bowl.</x:v>
      </x:c>
      <x:c r="D51" s="13" t="str">
        <x:f>'Evaluation Plan'!D51</x:f>
        <x:v>glass spice container B (O, RU); brown cup B (O, UD); yellow-white striped cup B (O, UD)</x:v>
      </x:c>
      <x:c r="E51" s="14" t="n">
        <x:f>'Evaluation Plan'!E51</x:f>
        <x:v>48</x:v>
      </x:c>
      <x:c r="F51" s="14" t="n">
        <x:f>'Evaluation Plan'!F51</x:f>
        <x:v>153</x:v>
      </x:c>
      <x:c r="G51" s="13" t="str">
        <x:f>'Evaluation Plan'!G51</x:f>
        <x:v>Exact direct-category manipulation prompt from training episode 153. The transfer target, state, and pose are preserved; only the competing glass spice container is replaced by brown cup B.</x:v>
      </x:c>
      <x:c r="H51" s="13" t="str">
        <x:f>'Evaluation Plan'!H51</x:f>
        <x:v>glass spice container B</x:v>
      </x:c>
      <x:c r="I51" s="13"/>
      <x:c r="J51" s="15" t="str">
        <x:f>'Evaluation Plan'!J51</x:f>
        <x:v>Matched manipulation control</x:v>
      </x:c>
      <x:c r="K51" s="14" t="str">
        <x:f>'Evaluation Plan'!K51</x:f>
        <x:v>SR-CT08</x:v>
      </x:c>
      <x:c r="L51" s="14" t="str">
        <x:f>'Evaluation Plan'!L51</x:f>
        <x:v>N/A</x:v>
      </x:c>
      <x:c r="M51" s="14" t="str">
        <x:f>'Evaluation Plan'!M51</x:f>
        <x:v>glass spice container</x:v>
      </x:c>
      <x:c r="N51" s="14" t="n">
        <x:f>'Evaluation Plan'!N51</x:f>
        <x:v>3</x:v>
      </x:c>
      <x:c r="O51" s="14" t="n">
        <x:f>'Evaluation Plan'!O51</x:f>
        <x:v>1</x:v>
      </x:c>
      <x:c r="P51" s="14" t="str">
        <x:f>'Evaluation Plan'!P51</x:f>
        <x:v>Empty</x:v>
      </x:c>
      <x:c r="Q51" s="13" t="str">
        <x:f>'Evaluation Plan'!Q51</x:f>
        <x:v>One-object-substitution direct-category control</x:v>
      </x:c>
      <x:c r="R51" s="14" t="n">
        <x:f>'Evaluation Plan'!R51</x:f>
        <x:v>2</x:v>
      </x:c>
      <x:c r="S51" s="13" t="str">
        <x:f>'Evaluation Plan'!S51</x:f>
        <x:v>Reset glass spice container B to its transfer pose. Replace glass spice container A with brown cup B in the same location and use the states listed in this row; preserve all other objects.</x:v>
      </x:c>
      <x:c r="T51" s="13" t="str">
        <x:f>'Evaluation Plan'!T51</x:f>
        <x:v>Pure recognition/manipulation control: the prompt uniquely names the only object from the target category, while the physical target remains identical to the transfer row.</x:v>
      </x:c>
      <x:c r="U51" s="13" t="n">
        <x:f>'Evaluation Plan'!U51</x:f>
        <x:v>0</x:v>
      </x:c>
    </x:row>
    <x:row r="52" ht="51" customHeight="1">
      <x:c r="A52" s="16" t="s">
        <x:v>181</x:v>
      </x:c>
      <x:c r="B52" s="17" t="n">
        <x:f>'Evaluation Plan'!B52</x:f>
        <x:v>50</x:v>
      </x:c>
      <x:c r="C52" s="16" t="str">
        <x:f>'Evaluation Plan'!C52</x:f>
        <x:v>Move the right-side-up glass spice container into the bowl.</x:v>
      </x:c>
      <x:c r="D52" s="16" t="str">
        <x:f>'Evaluation Plan'!D52</x:f>
        <x:v>glass spice container B (O, RU); glass spice container A (O, UD); yellow-white striped cup B (O, UD)</x:v>
      </x:c>
      <x:c r="E52" s="17" t="n">
        <x:f>'Evaluation Plan'!E52</x:f>
        <x:v>48</x:v>
      </x:c>
      <x:c r="F52" s="17" t="str">
        <x:f>'Evaluation Plan'!F52</x:f>
        <x:v>153</x:v>
      </x:c>
      <x:c r="G52" s="16" t="str">
        <x:f>'Evaluation Plan'!G52</x:f>
        <x:v>The canonical transfer scene and masked trajectory reference are unchanged; only the evaluation wording is paraphrased. This remains a language diagnostic and is not pooled into the primary 50.</x:v>
      </x:c>
      <x:c r="H52" s="16" t="str">
        <x:f>'Evaluation Plan'!H52</x:f>
        <x:v>glass spice container B</x:v>
      </x:c>
      <x:c r="I52" s="16"/>
      <x:c r="J52" s="18" t="str">
        <x:f>'Evaluation Plan'!J52</x:f>
        <x:v>Language robustness</x:v>
      </x:c>
      <x:c r="K52" s="17" t="str">
        <x:f>'Evaluation Plan'!K52</x:f>
        <x:v>SR-CT08</x:v>
      </x:c>
      <x:c r="L52" s="17" t="str">
        <x:f>'Evaluation Plan'!L52</x:f>
        <x:v>RU</x:v>
      </x:c>
      <x:c r="M52" s="17" t="str">
        <x:f>'Evaluation Plan'!M52</x:f>
        <x:v>glass spice container</x:v>
      </x:c>
      <x:c r="N52" s="17" t="n">
        <x:f>'Evaluation Plan'!N52</x:f>
        <x:v>3</x:v>
      </x:c>
      <x:c r="O52" s="17" t="n">
        <x:f>'Evaluation Plan'!O52</x:f>
        <x:v>1</x:v>
      </x:c>
      <x:c r="P52" s="17" t="str">
        <x:f>'Evaluation Plan'!P52</x:f>
        <x:v>Empty</x:v>
      </x:c>
      <x:c r="Q52" s="16" t="str">
        <x:f>'Evaluation Plan'!Q52</x:f>
        <x:v>Primary compositional-transfer prompt paraphrase</x:v>
      </x:c>
      <x:c r="R52" s="17" t="n">
        <x:f>'Evaluation Plan'!R52</x:f>
        <x:v>2</x:v>
      </x:c>
      <x:c r="S52" s="16" t="str">
        <x:f>'Evaluation Plan'!S52</x:f>
        <x:v>Reset the moved object exactly; preserve every object and state; change only the prompt wording.</x:v>
      </x:c>
      <x:c r="T52" s="16" t="str">
        <x:f>'Evaluation Plan'!T52</x:f>
        <x:v>Exact-scene paraphrase of one of the 50 canonical compositional-transfer trials. The same-category candidates share the orthogonal C/O state (O). The scene is an exact copy of the referenced canonical row.</x:v>
      </x:c>
      <x:c r="U52" s="16" t="n">
        <x:f>'Evaluation Plan'!U52</x:f>
        <x:v>0</x:v>
      </x:c>
    </x:row>
    <x:row r="53" ht="51" customHeight="1">
      <x:c r="A53" s="13" t="s">
        <x:v>181</x:v>
      </x:c>
      <x:c r="B53" s="14" t="n">
        <x:f>'Evaluation Plan'!B53</x:f>
        <x:v>51</x:v>
      </x:c>
      <x:c r="C53" s="13" t="str">
        <x:f>'Evaluation Plan'!C53</x:f>
        <x:v>Take the glass spice container off the table and place it in the bowl.</x:v>
      </x:c>
      <x:c r="D53" s="13" t="str">
        <x:f>'Evaluation Plan'!D53</x:f>
        <x:v>glass spice container B (O, RU); brown cup B (O, UD); yellow-white striped cup B (O, UD)</x:v>
      </x:c>
      <x:c r="E53" s="14" t="n">
        <x:f>'Evaluation Plan'!E53</x:f>
        <x:v>49</x:v>
      </x:c>
      <x:c r="F53" s="14" t="n">
        <x:f>'Evaluation Plan'!F53</x:f>
        <x:v>153</x:v>
      </x:c>
      <x:c r="G53" s="13" t="str">
        <x:f>'Evaluation Plan'!G53</x:f>
        <x:v>Paraphrase of the direct-category matched control grounded by training episode 153. The modified control scene and physical target are unchanged.</x:v>
      </x:c>
      <x:c r="H53" s="13" t="str">
        <x:f>'Evaluation Plan'!H53</x:f>
        <x:v>glass spice container B</x:v>
      </x:c>
      <x:c r="I53" s="13"/>
      <x:c r="J53" s="18" t="str">
        <x:f>'Evaluation Plan'!J53</x:f>
        <x:v>Language robustness</x:v>
      </x:c>
      <x:c r="K53" s="14" t="str">
        <x:f>'Evaluation Plan'!K53</x:f>
        <x:v>SR-CT08</x:v>
      </x:c>
      <x:c r="L53" s="14" t="str">
        <x:f>'Evaluation Plan'!L53</x:f>
        <x:v>N/A</x:v>
      </x:c>
      <x:c r="M53" s="14" t="str">
        <x:f>'Evaluation Plan'!M53</x:f>
        <x:v>glass spice container</x:v>
      </x:c>
      <x:c r="N53" s="14" t="n">
        <x:f>'Evaluation Plan'!N53</x:f>
        <x:v>3</x:v>
      </x:c>
      <x:c r="O53" s="14" t="n">
        <x:f>'Evaluation Plan'!O53</x:f>
        <x:v>1</x:v>
      </x:c>
      <x:c r="P53" s="14" t="str">
        <x:f>'Evaluation Plan'!P53</x:f>
        <x:v>Empty</x:v>
      </x:c>
      <x:c r="Q53" s="13" t="str">
        <x:f>'Evaluation Plan'!Q53</x:f>
        <x:v>Direct-category matched-control paraphrase</x:v>
      </x:c>
      <x:c r="R53" s="14" t="n">
        <x:f>'Evaluation Plan'!R53</x:f>
        <x:v>2</x:v>
      </x:c>
      <x:c r="S53" s="13" t="str">
        <x:f>'Evaluation Plan'!S53</x:f>
        <x:v>Reset the target to its marked pose; preserve the exact modified control scene and change only the direct instruction wording.</x:v>
      </x:c>
      <x:c r="T53" s="13" t="str">
        <x:f>'Evaluation Plan'!T53</x:f>
        <x:v>Language diagnostic for the pure manipulation control; no state word or state-based selection is required. The scene is an exact copy of the referenced canonical row.</x:v>
      </x:c>
      <x:c r="U53" s="13" t="n">
        <x:f>'Evaluation Plan'!U53</x:f>
        <x:v>0</x:v>
      </x:c>
    </x:row>
    <x:row r="54" ht="51" customHeight="1">
      <x:c r="A54" s="5" t="s">
        <x:v>181</x:v>
      </x:c>
      <x:c r="B54" s="4" t="n">
        <x:f>'Evaluation Plan'!B54</x:f>
        <x:v>52</x:v>
      </x:c>
      <x:c r="C54" s="5" t="str">
        <x:f>'Evaluation Plan'!C54</x:f>
        <x:v>Place the upside-down white cup in the bowl.</x:v>
      </x:c>
      <x:c r="D54" s="5" t="str">
        <x:f>'Evaluation Plan'!D54</x:f>
        <x:v>white cup A (C, UD); white cup B (C, RU); glass spice container A (C, RU); yellow-white striped cup B (O, RU)</x:v>
      </x:c>
      <x:c r="E54" s="4" t="n">
        <x:f>'Evaluation Plan'!E54</x:f>
        <x:v>0</x:v>
      </x:c>
      <x:c r="F54" s="4" t="str">
        <x:f>'Evaluation Plan'!F54</x:f>
        <x:v>39</x:v>
      </x:c>
      <x:c r="G54" s="5" t="str">
        <x:f>'Evaluation Plan'!G54</x:f>
        <x:v>Physical-state and manipulation-trajectory reference under a direct category prompt; the evaluated state word × object-category cell is intentionally absent from training.</x:v>
      </x:c>
      <x:c r="H54" s="5" t="str">
        <x:f>'Evaluation Plan'!H54</x:f>
        <x:v>white cup A</x:v>
      </x:c>
      <x:c r="I54" s="5"/>
      <x:c r="J54" s="12" t="str">
        <x:f>'Evaluation Plan'!J54</x:f>
        <x:v>Concept/compositional transfer</x:v>
      </x:c>
      <x:c r="K54" s="4" t="str">
        <x:f>'Evaluation Plan'!K54</x:f>
        <x:v>SR-CT09</x:v>
      </x:c>
      <x:c r="L54" s="4" t="str">
        <x:f>'Evaluation Plan'!L54</x:f>
        <x:v>UD</x:v>
      </x:c>
      <x:c r="M54" s="4" t="str">
        <x:f>'Evaluation Plan'!M54</x:f>
        <x:v>white cup</x:v>
      </x:c>
      <x:c r="N54" s="4" t="n">
        <x:f>'Evaluation Plan'!N54</x:f>
        <x:v>4</x:v>
      </x:c>
      <x:c r="O54" s="4" t="n">
        <x:f>'Evaluation Plan'!O54</x:f>
        <x:v>1</x:v>
      </x:c>
      <x:c r="P54" s="4" t="str">
        <x:f>'Evaluation Plan'!P54</x:f>
        <x:v>Empty</x:v>
      </x:c>
      <x:c r="Q54" s="5" t="str">
        <x:f>'Evaluation Plan'!Q54</x:f>
        <x:v>Primary held-out state-object composition</x:v>
      </x:c>
      <x:c r="R54" s="4" t="n">
        <x:f>'Evaluation Plan'!R54</x:f>
        <x:v>2</x:v>
      </x:c>
      <x:c r="S54" s="5" t="str">
        <x:f>'Evaluation Plan'!S54</x:f>
        <x:v>Build the listed same-category discrimination scene with the bowl empty.</x:v>
      </x:c>
      <x:c r="T54" s="5" t="str">
        <x:f>'Evaluation Plan'!T54</x:f>
        <x:v>Two same-category candidates share the non-queried state axis; only the held-out state word identifies the target. The same-category candidates share the orthogonal C/O state (C).</x:v>
      </x:c>
      <x:c r="U54" s="5" t="n">
        <x:f>'Evaluation Plan'!U54</x:f>
        <x:v>0</x:v>
      </x:c>
    </x:row>
    <x:row r="55" ht="51" customHeight="1">
      <x:c r="A55" s="13" t="s">
        <x:v>181</x:v>
      </x:c>
      <x:c r="B55" s="14" t="n">
        <x:f>'Evaluation Plan'!B55</x:f>
        <x:v>53</x:v>
      </x:c>
      <x:c r="C55" s="13" t="str">
        <x:f>'Evaluation Plan'!C55</x:f>
        <x:v>Move a white cup into the bowl.</x:v>
      </x:c>
      <x:c r="D55" s="13" t="str">
        <x:f>'Evaluation Plan'!D55</x:f>
        <x:v>white cup A (C, UD); brown cup A (C, RU); glass spice container A (C, RU); yellow-white striped cup B (O, RU)</x:v>
      </x:c>
      <x:c r="E55" s="14" t="n">
        <x:f>'Evaluation Plan'!E55</x:f>
        <x:v>52</x:v>
      </x:c>
      <x:c r="F55" s="14" t="n">
        <x:f>'Evaluation Plan'!F55</x:f>
        <x:v>39</x:v>
      </x:c>
      <x:c r="G55" s="13" t="str">
        <x:f>'Evaluation Plan'!G55</x:f>
        <x:v>Exact direct-category manipulation prompt from training episode 39. The transfer target, state, and pose are preserved; only the competing white cup is replaced by brown cup A.</x:v>
      </x:c>
      <x:c r="H55" s="13" t="str">
        <x:f>'Evaluation Plan'!H55</x:f>
        <x:v>white cup A</x:v>
      </x:c>
      <x:c r="I55" s="13"/>
      <x:c r="J55" s="15" t="str">
        <x:f>'Evaluation Plan'!J55</x:f>
        <x:v>Matched manipulation control</x:v>
      </x:c>
      <x:c r="K55" s="14" t="str">
        <x:f>'Evaluation Plan'!K55</x:f>
        <x:v>SR-CT09</x:v>
      </x:c>
      <x:c r="L55" s="14" t="str">
        <x:f>'Evaluation Plan'!L55</x:f>
        <x:v>N/A</x:v>
      </x:c>
      <x:c r="M55" s="14" t="str">
        <x:f>'Evaluation Plan'!M55</x:f>
        <x:v>white cup</x:v>
      </x:c>
      <x:c r="N55" s="14" t="n">
        <x:f>'Evaluation Plan'!N55</x:f>
        <x:v>4</x:v>
      </x:c>
      <x:c r="O55" s="14" t="n">
        <x:f>'Evaluation Plan'!O55</x:f>
        <x:v>1</x:v>
      </x:c>
      <x:c r="P55" s="14" t="str">
        <x:f>'Evaluation Plan'!P55</x:f>
        <x:v>Empty</x:v>
      </x:c>
      <x:c r="Q55" s="13" t="str">
        <x:f>'Evaluation Plan'!Q55</x:f>
        <x:v>One-object-substitution direct-category control</x:v>
      </x:c>
      <x:c r="R55" s="14" t="n">
        <x:f>'Evaluation Plan'!R55</x:f>
        <x:v>2</x:v>
      </x:c>
      <x:c r="S55" s="13" t="str">
        <x:f>'Evaluation Plan'!S55</x:f>
        <x:v>Reset white cup A to its transfer pose. Replace white cup B with brown cup A in the same location and use the states listed in this row; preserve all other objects.</x:v>
      </x:c>
      <x:c r="T55" s="13" t="str">
        <x:f>'Evaluation Plan'!T55</x:f>
        <x:v>Pure recognition/manipulation control: the prompt uniquely names the only object from the target category, while the physical target remains identical to the transfer row.</x:v>
      </x:c>
      <x:c r="U55" s="13" t="n">
        <x:f>'Evaluation Plan'!U55</x:f>
        <x:v>0</x:v>
      </x:c>
    </x:row>
    <x:row r="56" ht="51" customHeight="1">
      <x:c r="A56" s="16" t="s">
        <x:v>181</x:v>
      </x:c>
      <x:c r="B56" s="17" t="n">
        <x:f>'Evaluation Plan'!B56</x:f>
        <x:v>54</x:v>
      </x:c>
      <x:c r="C56" s="16" t="str">
        <x:f>'Evaluation Plan'!C56</x:f>
        <x:v>Move the inverted white cup into the bowl.</x:v>
      </x:c>
      <x:c r="D56" s="16" t="str">
        <x:f>'Evaluation Plan'!D56</x:f>
        <x:v>white cup A (C, UD); white cup B (C, RU); glass spice container A (C, RU); yellow-white striped cup B (O, RU)</x:v>
      </x:c>
      <x:c r="E56" s="17" t="n">
        <x:f>'Evaluation Plan'!E56</x:f>
        <x:v>52</x:v>
      </x:c>
      <x:c r="F56" s="17" t="str">
        <x:f>'Evaluation Plan'!F56</x:f>
        <x:v>39</x:v>
      </x:c>
      <x:c r="G56" s="16" t="str">
        <x:f>'Evaluation Plan'!G56</x:f>
        <x:v>The canonical transfer scene and masked trajectory reference are unchanged; only the evaluation wording is paraphrased. This remains a language diagnostic and is not pooled into the primary 50.</x:v>
      </x:c>
      <x:c r="H56" s="16" t="str">
        <x:f>'Evaluation Plan'!H56</x:f>
        <x:v>white cup A</x:v>
      </x:c>
      <x:c r="I56" s="16"/>
      <x:c r="J56" s="18" t="str">
        <x:f>'Evaluation Plan'!J56</x:f>
        <x:v>Language robustness</x:v>
      </x:c>
      <x:c r="K56" s="17" t="str">
        <x:f>'Evaluation Plan'!K56</x:f>
        <x:v>SR-CT09</x:v>
      </x:c>
      <x:c r="L56" s="17" t="str">
        <x:f>'Evaluation Plan'!L56</x:f>
        <x:v>UD</x:v>
      </x:c>
      <x:c r="M56" s="17" t="str">
        <x:f>'Evaluation Plan'!M56</x:f>
        <x:v>white cup</x:v>
      </x:c>
      <x:c r="N56" s="17" t="n">
        <x:f>'Evaluation Plan'!N56</x:f>
        <x:v>4</x:v>
      </x:c>
      <x:c r="O56" s="17" t="n">
        <x:f>'Evaluation Plan'!O56</x:f>
        <x:v>1</x:v>
      </x:c>
      <x:c r="P56" s="17" t="str">
        <x:f>'Evaluation Plan'!P56</x:f>
        <x:v>Empty</x:v>
      </x:c>
      <x:c r="Q56" s="16" t="str">
        <x:f>'Evaluation Plan'!Q56</x:f>
        <x:v>Primary compositional-transfer prompt paraphrase</x:v>
      </x:c>
      <x:c r="R56" s="17" t="n">
        <x:f>'Evaluation Plan'!R56</x:f>
        <x:v>2</x:v>
      </x:c>
      <x:c r="S56" s="16" t="str">
        <x:f>'Evaluation Plan'!S56</x:f>
        <x:v>Reset the moved object exactly; preserve every object and state; change only the prompt wording.</x:v>
      </x:c>
      <x:c r="T56" s="16" t="str">
        <x:f>'Evaluation Plan'!T56</x:f>
        <x:v>Exact-scene paraphrase of one of the 50 canonical compositional-transfer trials. The same-category candidates share the orthogonal C/O state (C). The scene is an exact copy of the referenced canonical row.</x:v>
      </x:c>
      <x:c r="U56" s="16" t="n">
        <x:f>'Evaluation Plan'!U56</x:f>
        <x:v>0</x:v>
      </x:c>
    </x:row>
    <x:row r="57" ht="51" customHeight="1">
      <x:c r="A57" s="13" t="s">
        <x:v>181</x:v>
      </x:c>
      <x:c r="B57" s="14" t="n">
        <x:f>'Evaluation Plan'!B57</x:f>
        <x:v>55</x:v>
      </x:c>
      <x:c r="C57" s="13" t="str">
        <x:f>'Evaluation Plan'!C57</x:f>
        <x:v>Move the white cup from the workspace into the bowl.</x:v>
      </x:c>
      <x:c r="D57" s="13" t="str">
        <x:f>'Evaluation Plan'!D57</x:f>
        <x:v>white cup A (C, UD); brown cup A (C, RU); glass spice container A (C, RU); yellow-white striped cup B (O, RU)</x:v>
      </x:c>
      <x:c r="E57" s="14" t="n">
        <x:f>'Evaluation Plan'!E57</x:f>
        <x:v>53</x:v>
      </x:c>
      <x:c r="F57" s="14" t="n">
        <x:f>'Evaluation Plan'!F57</x:f>
        <x:v>39</x:v>
      </x:c>
      <x:c r="G57" s="13" t="str">
        <x:f>'Evaluation Plan'!G57</x:f>
        <x:v>Paraphrase of the direct-category matched control grounded by training episode 39. The modified control scene and physical target are unchanged.</x:v>
      </x:c>
      <x:c r="H57" s="13" t="str">
        <x:f>'Evaluation Plan'!H57</x:f>
        <x:v>white cup A</x:v>
      </x:c>
      <x:c r="I57" s="13"/>
      <x:c r="J57" s="18" t="str">
        <x:f>'Evaluation Plan'!J57</x:f>
        <x:v>Language robustness</x:v>
      </x:c>
      <x:c r="K57" s="14" t="str">
        <x:f>'Evaluation Plan'!K57</x:f>
        <x:v>SR-CT09</x:v>
      </x:c>
      <x:c r="L57" s="14" t="str">
        <x:f>'Evaluation Plan'!L57</x:f>
        <x:v>N/A</x:v>
      </x:c>
      <x:c r="M57" s="14" t="str">
        <x:f>'Evaluation Plan'!M57</x:f>
        <x:v>white cup</x:v>
      </x:c>
      <x:c r="N57" s="14" t="n">
        <x:f>'Evaluation Plan'!N57</x:f>
        <x:v>4</x:v>
      </x:c>
      <x:c r="O57" s="14" t="n">
        <x:f>'Evaluation Plan'!O57</x:f>
        <x:v>1</x:v>
      </x:c>
      <x:c r="P57" s="14" t="str">
        <x:f>'Evaluation Plan'!P57</x:f>
        <x:v>Empty</x:v>
      </x:c>
      <x:c r="Q57" s="13" t="str">
        <x:f>'Evaluation Plan'!Q57</x:f>
        <x:v>Direct-category matched-control paraphrase</x:v>
      </x:c>
      <x:c r="R57" s="14" t="n">
        <x:f>'Evaluation Plan'!R57</x:f>
        <x:v>2</x:v>
      </x:c>
      <x:c r="S57" s="13" t="str">
        <x:f>'Evaluation Plan'!S57</x:f>
        <x:v>Reset the target to its marked pose; preserve the exact modified control scene and change only the direct instruction wording.</x:v>
      </x:c>
      <x:c r="T57" s="13" t="str">
        <x:f>'Evaluation Plan'!T57</x:f>
        <x:v>Language diagnostic for the pure manipulation control; no state word or state-based selection is required. The scene is an exact copy of the referenced canonical row.</x:v>
      </x:c>
      <x:c r="U57" s="13" t="n">
        <x:f>'Evaluation Plan'!U57</x:f>
        <x:v>0</x:v>
      </x:c>
    </x:row>
    <x:row r="58" ht="51" customHeight="1">
      <x:c r="A58" s="5" t="s">
        <x:v>181</x:v>
      </x:c>
      <x:c r="B58" s="4" t="n">
        <x:f>'Evaluation Plan'!B58</x:f>
        <x:v>56</x:v>
      </x:c>
      <x:c r="C58" s="5" t="str">
        <x:f>'Evaluation Plan'!C58</x:f>
        <x:v>Place the open yellow-white striped cup in the bowl.</x:v>
      </x:c>
      <x:c r="D58" s="5" t="str">
        <x:f>'Evaluation Plan'!D58</x:f>
        <x:v>yellow-white striped cup B (O, RU); yellow-white striped cup A (C, RU)</x:v>
      </x:c>
      <x:c r="E58" s="4" t="n">
        <x:f>'Evaluation Plan'!E58</x:f>
        <x:v>0</x:v>
      </x:c>
      <x:c r="F58" s="4" t="str">
        <x:f>'Evaluation Plan'!F58</x:f>
        <x:v>71</x:v>
      </x:c>
      <x:c r="G58" s="5" t="str">
        <x:f>'Evaluation Plan'!G58</x:f>
        <x:v>Physical-state and manipulation-trajectory reference under a direct category prompt; the evaluated state word × object-category cell is intentionally absent from training. All objects are upright, matching the context of every explicit open/closed training demonstration.</x:v>
      </x:c>
      <x:c r="H58" s="5" t="str">
        <x:f>'Evaluation Plan'!H58</x:f>
        <x:v>yellow-white striped cup B</x:v>
      </x:c>
      <x:c r="I58" s="5"/>
      <x:c r="J58" s="12" t="str">
        <x:f>'Evaluation Plan'!J58</x:f>
        <x:v>Concept/compositional transfer</x:v>
      </x:c>
      <x:c r="K58" s="4" t="str">
        <x:f>'Evaluation Plan'!K58</x:f>
        <x:v>SR-CT10</x:v>
      </x:c>
      <x:c r="L58" s="4" t="str">
        <x:f>'Evaluation Plan'!L58</x:f>
        <x:v>O</x:v>
      </x:c>
      <x:c r="M58" s="4" t="str">
        <x:f>'Evaluation Plan'!M58</x:f>
        <x:v>yellow-white striped cup</x:v>
      </x:c>
      <x:c r="N58" s="4" t="n">
        <x:f>'Evaluation Plan'!N58</x:f>
        <x:v>2</x:v>
      </x:c>
      <x:c r="O58" s="4" t="n">
        <x:f>'Evaluation Plan'!O58</x:f>
        <x:v>1</x:v>
      </x:c>
      <x:c r="P58" s="4" t="str">
        <x:f>'Evaluation Plan'!P58</x:f>
        <x:v>Empty</x:v>
      </x:c>
      <x:c r="Q58" s="5" t="str">
        <x:f>'Evaluation Plan'!Q58</x:f>
        <x:v>Primary held-out state-object composition</x:v>
      </x:c>
      <x:c r="R58" s="4" t="n">
        <x:f>'Evaluation Plan'!R58</x:f>
        <x:v>2</x:v>
      </x:c>
      <x:c r="S58" s="5" t="str">
        <x:f>'Evaluation Plan'!S58</x:f>
        <x:v>Build the listed same-category discrimination scene with the bowl empty.</x:v>
      </x:c>
      <x:c r="T58" s="5" t="str">
        <x:f>'Evaluation Plan'!T58</x:f>
        <x:v>Two same-category candidates share the non-queried state axis; only the held-out state word identifies the target. The orthogonal orientation axis is fixed: every object is RU.</x:v>
      </x:c>
      <x:c r="U58" s="5" t="n">
        <x:f>'Evaluation Plan'!U58</x:f>
        <x:v>0</x:v>
      </x:c>
    </x:row>
    <x:row r="59" ht="51" customHeight="1">
      <x:c r="A59" s="13" t="s">
        <x:v>181</x:v>
      </x:c>
      <x:c r="B59" s="14" t="n">
        <x:f>'Evaluation Plan'!B59</x:f>
        <x:v>57</x:v>
      </x:c>
      <x:c r="C59" s="13" t="str">
        <x:f>'Evaluation Plan'!C59</x:f>
        <x:v>Put a yellow-white striped cup in the bowl.</x:v>
      </x:c>
      <x:c r="D59" s="13" t="str">
        <x:f>'Evaluation Plan'!D59</x:f>
        <x:v>yellow-white striped cup B (O, RU); white cup B (C, RU)</x:v>
      </x:c>
      <x:c r="E59" s="14" t="n">
        <x:f>'Evaluation Plan'!E59</x:f>
        <x:v>56</x:v>
      </x:c>
      <x:c r="F59" s="14" t="n">
        <x:f>'Evaluation Plan'!F59</x:f>
        <x:v>71</x:v>
      </x:c>
      <x:c r="G59" s="13" t="str">
        <x:f>'Evaluation Plan'!G59</x:f>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H59" s="13" t="str">
        <x:f>'Evaluation Plan'!H59</x:f>
        <x:v>yellow-white striped cup B</x:v>
      </x:c>
      <x:c r="I59" s="13"/>
      <x:c r="J59" s="15" t="str">
        <x:f>'Evaluation Plan'!J59</x:f>
        <x:v>Matched manipulation control</x:v>
      </x:c>
      <x:c r="K59" s="14" t="str">
        <x:f>'Evaluation Plan'!K59</x:f>
        <x:v>SR-CT10</x:v>
      </x:c>
      <x:c r="L59" s="14" t="str">
        <x:f>'Evaluation Plan'!L59</x:f>
        <x:v>N/A</x:v>
      </x:c>
      <x:c r="M59" s="14" t="str">
        <x:f>'Evaluation Plan'!M59</x:f>
        <x:v>yellow-white striped cup</x:v>
      </x:c>
      <x:c r="N59" s="14" t="n">
        <x:f>'Evaluation Plan'!N59</x:f>
        <x:v>2</x:v>
      </x:c>
      <x:c r="O59" s="14" t="n">
        <x:f>'Evaluation Plan'!O59</x:f>
        <x:v>1</x:v>
      </x:c>
      <x:c r="P59" s="14" t="str">
        <x:f>'Evaluation Plan'!P59</x:f>
        <x:v>Empty</x:v>
      </x:c>
      <x:c r="Q59" s="13" t="str">
        <x:f>'Evaluation Plan'!Q59</x:f>
        <x:v>One-object-substitution direct-category control</x:v>
      </x:c>
      <x:c r="R59" s="14" t="n">
        <x:f>'Evaluation Plan'!R59</x:f>
        <x:v>2</x:v>
      </x:c>
      <x:c r="S59" s="13" t="str">
        <x:f>'Evaluation Plan'!S59</x:f>
        <x:v>Reset yellow-white striped cup B to its transfer pose. Replace yellow-white striped cup A with white cup B in the same location and use the states listed in this row; preserve all other objects.</x:v>
      </x:c>
      <x:c r="T59" s="13" t="str">
        <x:f>'Evaluation Plan'!T59</x:f>
        <x:v>Pure recognition/manipulation control: the prompt uniquely names the only object from the target category, while the physical target remains identical to the transfer row. Every object is RU.</x:v>
      </x:c>
      <x:c r="U59" s="13" t="n">
        <x:f>'Evaluation Plan'!U59</x:f>
        <x:v>0</x:v>
      </x:c>
    </x:row>
    <x:row r="60" ht="51" customHeight="1">
      <x:c r="A60" s="16" t="s">
        <x:v>181</x:v>
      </x:c>
      <x:c r="B60" s="17" t="n">
        <x:f>'Evaluation Plan'!B60</x:f>
        <x:v>58</x:v>
      </x:c>
      <x:c r="C60" s="16" t="str">
        <x:f>'Evaluation Plan'!C60</x:f>
        <x:v>Move the yellow-white striped cup whose opening is uncovered into the bowl.</x:v>
      </x:c>
      <x:c r="D60" s="16" t="str">
        <x:f>'Evaluation Plan'!D60</x:f>
        <x:v>yellow-white striped cup B (O, RU); yellow-white striped cup A (C, RU)</x:v>
      </x:c>
      <x:c r="E60" s="17" t="n">
        <x:f>'Evaluation Plan'!E60</x:f>
        <x:v>56</x:v>
      </x:c>
      <x:c r="F60" s="17" t="str">
        <x:f>'Evaluation Plan'!F60</x:f>
        <x:v>71</x:v>
      </x:c>
      <x:c r="G60" s="16" t="str">
        <x:f>'Evaluation Plan'!G60</x:f>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H60" s="16" t="str">
        <x:f>'Evaluation Plan'!H60</x:f>
        <x:v>yellow-white striped cup B</x:v>
      </x:c>
      <x:c r="I60" s="16"/>
      <x:c r="J60" s="18" t="str">
        <x:f>'Evaluation Plan'!J60</x:f>
        <x:v>Language robustness</x:v>
      </x:c>
      <x:c r="K60" s="17" t="str">
        <x:f>'Evaluation Plan'!K60</x:f>
        <x:v>SR-CT10</x:v>
      </x:c>
      <x:c r="L60" s="17" t="str">
        <x:f>'Evaluation Plan'!L60</x:f>
        <x:v>O</x:v>
      </x:c>
      <x:c r="M60" s="17" t="str">
        <x:f>'Evaluation Plan'!M60</x:f>
        <x:v>yellow-white striped cup</x:v>
      </x:c>
      <x:c r="N60" s="17" t="n">
        <x:f>'Evaluation Plan'!N60</x:f>
        <x:v>2</x:v>
      </x:c>
      <x:c r="O60" s="17" t="n">
        <x:f>'Evaluation Plan'!O60</x:f>
        <x:v>1</x:v>
      </x:c>
      <x:c r="P60" s="17" t="str">
        <x:f>'Evaluation Plan'!P60</x:f>
        <x:v>Empty</x:v>
      </x:c>
      <x:c r="Q60" s="16" t="str">
        <x:f>'Evaluation Plan'!Q60</x:f>
        <x:v>Primary compositional-transfer prompt paraphrase</x:v>
      </x:c>
      <x:c r="R60" s="17" t="n">
        <x:f>'Evaluation Plan'!R60</x:f>
        <x:v>2</x:v>
      </x:c>
      <x:c r="S60" s="16" t="str">
        <x:f>'Evaluation Plan'!S60</x:f>
        <x:v>Reset the moved object exactly; preserve every object and state; change only the prompt wording.</x:v>
      </x:c>
      <x:c r="T60" s="16" t="str">
        <x:f>'Evaluation Plan'!T60</x:f>
        <x:v>Exact-scene paraphrase of one of the 50 canonical compositional-transfer trials. The orthogonal orientation axis is fixed: every object is RU. The scene is an exact copy of the referenced canonical row.</x:v>
      </x:c>
      <x:c r="U60" s="16" t="n">
        <x:f>'Evaluation Plan'!U60</x:f>
        <x:v>0</x:v>
      </x:c>
    </x:row>
    <x:row r="61" ht="51" customHeight="1">
      <x:c r="A61" s="13" t="s">
        <x:v>181</x:v>
      </x:c>
      <x:c r="B61" s="14" t="n">
        <x:f>'Evaluation Plan'!B61</x:f>
        <x:v>59</x:v>
      </x:c>
      <x:c r="C61" s="13" t="str">
        <x:f>'Evaluation Plan'!C61</x:f>
        <x:v>Set the yellow-white striped cup inside the bowl.</x:v>
      </x:c>
      <x:c r="D61" s="13" t="str">
        <x:f>'Evaluation Plan'!D61</x:f>
        <x:v>yellow-white striped cup B (O, RU); white cup B (C, RU)</x:v>
      </x:c>
      <x:c r="E61" s="14" t="n">
        <x:f>'Evaluation Plan'!E61</x:f>
        <x:v>57</x:v>
      </x:c>
      <x:c r="F61" s="14" t="n">
        <x:f>'Evaluation Plan'!F61</x:f>
        <x:v>71</x:v>
      </x:c>
      <x:c r="G61" s="13" t="str">
        <x:f>'Evaluation Plan'!G61</x:f>
        <x:v>Paraphrase of the direct-category matched control grounded by training episode 71. The modified control scene and physical target are unchanged.</x:v>
      </x:c>
      <x:c r="H61" s="13" t="str">
        <x:f>'Evaluation Plan'!H61</x:f>
        <x:v>yellow-white striped cup B</x:v>
      </x:c>
      <x:c r="I61" s="13"/>
      <x:c r="J61" s="18" t="str">
        <x:f>'Evaluation Plan'!J61</x:f>
        <x:v>Language robustness</x:v>
      </x:c>
      <x:c r="K61" s="14" t="str">
        <x:f>'Evaluation Plan'!K61</x:f>
        <x:v>SR-CT10</x:v>
      </x:c>
      <x:c r="L61" s="14" t="str">
        <x:f>'Evaluation Plan'!L61</x:f>
        <x:v>N/A</x:v>
      </x:c>
      <x:c r="M61" s="14" t="str">
        <x:f>'Evaluation Plan'!M61</x:f>
        <x:v>yellow-white striped cup</x:v>
      </x:c>
      <x:c r="N61" s="14" t="n">
        <x:f>'Evaluation Plan'!N61</x:f>
        <x:v>2</x:v>
      </x:c>
      <x:c r="O61" s="14" t="n">
        <x:f>'Evaluation Plan'!O61</x:f>
        <x:v>1</x:v>
      </x:c>
      <x:c r="P61" s="14" t="str">
        <x:f>'Evaluation Plan'!P61</x:f>
        <x:v>Empty</x:v>
      </x:c>
      <x:c r="Q61" s="13" t="str">
        <x:f>'Evaluation Plan'!Q61</x:f>
        <x:v>Direct-category matched-control paraphrase</x:v>
      </x:c>
      <x:c r="R61" s="14" t="n">
        <x:f>'Evaluation Plan'!R61</x:f>
        <x:v>2</x:v>
      </x:c>
      <x:c r="S61" s="13" t="str">
        <x:f>'Evaluation Plan'!S61</x:f>
        <x:v>Reset the target to its marked pose; preserve the exact modified control scene and change only the direct instruction wording.</x:v>
      </x:c>
      <x:c r="T61" s="13" t="str">
        <x:f>'Evaluation Plan'!T61</x:f>
        <x:v>Language diagnostic for the pure manipulation control; no state word or state-based selection is required. The scene is an exact copy of the referenced canonical row.</x:v>
      </x:c>
      <x:c r="U61" s="13" t="n">
        <x:f>'Evaluation Plan'!U61</x:f>
        <x:v>0</x:v>
      </x:c>
    </x:row>
    <x:row r="62" ht="51" customHeight="1">
      <x:c r="A62" s="5" t="s">
        <x:v>181</x:v>
      </x:c>
      <x:c r="B62" s="4" t="n">
        <x:f>'Evaluation Plan'!B62</x:f>
        <x:v>60</x:v>
      </x:c>
      <x:c r="C62" s="5" t="str">
        <x:f>'Evaluation Plan'!C62</x:f>
        <x:v>Place the closed brown cup in the bowl.</x:v>
      </x:c>
      <x:c r="D62" s="5" t="str">
        <x:f>'Evaluation Plan'!D62</x:f>
        <x:v>brown cup A (C, RU); brown cup B (O, RU); yellow-white striped cup A (C, RU)</x:v>
      </x:c>
      <x:c r="E62" s="4" t="n">
        <x:f>'Evaluation Plan'!E62</x:f>
        <x:v>0</x:v>
      </x:c>
      <x:c r="F62" s="4" t="str">
        <x:f>'Evaluation Plan'!F62</x:f>
        <x:v>102</x:v>
      </x:c>
      <x:c r="G62" s="5" t="str">
        <x:f>'Evaluation Plan'!G62</x:f>
        <x:v>Physical-state and manipulation-trajectory reference under a direct category prompt; the evaluated state word × object-category cell is intentionally absent from training. All objects are upright, matching the context of every explicit open/closed training demonstration.</x:v>
      </x:c>
      <x:c r="H62" s="5" t="str">
        <x:f>'Evaluation Plan'!H62</x:f>
        <x:v>brown cup A</x:v>
      </x:c>
      <x:c r="I62" s="5"/>
      <x:c r="J62" s="12" t="str">
        <x:f>'Evaluation Plan'!J62</x:f>
        <x:v>Concept/compositional transfer</x:v>
      </x:c>
      <x:c r="K62" s="4" t="str">
        <x:f>'Evaluation Plan'!K62</x:f>
        <x:v>SR-CT11</x:v>
      </x:c>
      <x:c r="L62" s="4" t="str">
        <x:f>'Evaluation Plan'!L62</x:f>
        <x:v>C</x:v>
      </x:c>
      <x:c r="M62" s="4" t="str">
        <x:f>'Evaluation Plan'!M62</x:f>
        <x:v>brown cup</x:v>
      </x:c>
      <x:c r="N62" s="4" t="n">
        <x:f>'Evaluation Plan'!N62</x:f>
        <x:v>3</x:v>
      </x:c>
      <x:c r="O62" s="4" t="n">
        <x:f>'Evaluation Plan'!O62</x:f>
        <x:v>1</x:v>
      </x:c>
      <x:c r="P62" s="4" t="str">
        <x:f>'Evaluation Plan'!P62</x:f>
        <x:v>Empty</x:v>
      </x:c>
      <x:c r="Q62" s="5" t="str">
        <x:f>'Evaluation Plan'!Q62</x:f>
        <x:v>Primary held-out state-object composition</x:v>
      </x:c>
      <x:c r="R62" s="4" t="n">
        <x:f>'Evaluation Plan'!R62</x:f>
        <x:v>3</x:v>
      </x:c>
      <x:c r="S62" s="5" t="str">
        <x:f>'Evaluation Plan'!S62</x:f>
        <x:v>Build the listed same-category discrimination scene with the bowl empty.</x:v>
      </x:c>
      <x:c r="T62" s="5" t="str">
        <x:f>'Evaluation Plan'!T62</x:f>
        <x:v>Two same-category candidates share the non-queried state axis; only the held-out state word identifies the target. The orthogonal orientation axis is fixed: every object is RU.</x:v>
      </x:c>
      <x:c r="U62" s="5" t="n">
        <x:f>'Evaluation Plan'!U62</x:f>
        <x:v>0</x:v>
      </x:c>
    </x:row>
    <x:row r="63" ht="51" customHeight="1">
      <x:c r="A63" s="13" t="s">
        <x:v>181</x:v>
      </x:c>
      <x:c r="B63" s="14" t="n">
        <x:f>'Evaluation Plan'!B63</x:f>
        <x:v>61</x:v>
      </x:c>
      <x:c r="C63" s="13" t="str">
        <x:f>'Evaluation Plan'!C63</x:f>
        <x:v>Move a brown cup into the bowl.</x:v>
      </x:c>
      <x:c r="D63" s="13" t="str">
        <x:f>'Evaluation Plan'!D63</x:f>
        <x:v>brown cup A (C, RU); white cup A (O, RU); yellow-white striped cup A (C, RU)</x:v>
      </x:c>
      <x:c r="E63" s="14" t="n">
        <x:f>'Evaluation Plan'!E63</x:f>
        <x:v>60</x:v>
      </x:c>
      <x:c r="F63" s="14" t="n">
        <x:f>'Evaluation Plan'!F63</x:f>
        <x:v>102</x:v>
      </x:c>
      <x:c r="G63" s="13" t="str">
        <x:f>'Evaluation Plan'!G63</x:f>
        <x:v>Exact direct-category manipulation prompt from training episode 102. The transfer target, state, and pose are preserved; only the competing brown cup is replaced by white cup A. The full control scene is upright because its paired transfer instruction queries open/closed.</x:v>
      </x:c>
      <x:c r="H63" s="13" t="str">
        <x:f>'Evaluation Plan'!H63</x:f>
        <x:v>brown cup A</x:v>
      </x:c>
      <x:c r="I63" s="13"/>
      <x:c r="J63" s="15" t="str">
        <x:f>'Evaluation Plan'!J63</x:f>
        <x:v>Matched manipulation control</x:v>
      </x:c>
      <x:c r="K63" s="14" t="str">
        <x:f>'Evaluation Plan'!K63</x:f>
        <x:v>SR-CT11</x:v>
      </x:c>
      <x:c r="L63" s="14" t="str">
        <x:f>'Evaluation Plan'!L63</x:f>
        <x:v>N/A</x:v>
      </x:c>
      <x:c r="M63" s="14" t="str">
        <x:f>'Evaluation Plan'!M63</x:f>
        <x:v>brown cup</x:v>
      </x:c>
      <x:c r="N63" s="14" t="n">
        <x:f>'Evaluation Plan'!N63</x:f>
        <x:v>3</x:v>
      </x:c>
      <x:c r="O63" s="14" t="n">
        <x:f>'Evaluation Plan'!O63</x:f>
        <x:v>1</x:v>
      </x:c>
      <x:c r="P63" s="14" t="str">
        <x:f>'Evaluation Plan'!P63</x:f>
        <x:v>Empty</x:v>
      </x:c>
      <x:c r="Q63" s="13" t="str">
        <x:f>'Evaluation Plan'!Q63</x:f>
        <x:v>One-object-substitution direct-category control</x:v>
      </x:c>
      <x:c r="R63" s="14" t="n">
        <x:f>'Evaluation Plan'!R63</x:f>
        <x:v>3</x:v>
      </x:c>
      <x:c r="S63" s="13" t="str">
        <x:f>'Evaluation Plan'!S63</x:f>
        <x:v>Reset brown cup A to its transfer pose. Replace brown cup B with white cup A in the same location and use the states listed in this row; preserve all other objects.</x:v>
      </x:c>
      <x:c r="T63" s="13" t="str">
        <x:f>'Evaluation Plan'!T63</x:f>
        <x:v>Pure recognition/manipulation control: the prompt uniquely names the only object from the target category, while the physical target remains identical to the transfer row. Every object is RU.</x:v>
      </x:c>
      <x:c r="U63" s="13" t="n">
        <x:f>'Evaluation Plan'!U63</x:f>
        <x:v>0</x:v>
      </x:c>
    </x:row>
    <x:row r="64" ht="51" customHeight="1">
      <x:c r="A64" s="5" t="s">
        <x:v>181</x:v>
      </x:c>
      <x:c r="B64" s="4" t="n">
        <x:f>'Evaluation Plan'!B64</x:f>
        <x:v>62</x:v>
      </x:c>
      <x:c r="C64" s="5" t="str">
        <x:f>'Evaluation Plan'!C64</x:f>
        <x:v>Place the upright glass spice container in the bowl.</x:v>
      </x:c>
      <x:c r="D64" s="5" t="str">
        <x:f>'Evaluation Plan'!D64</x:f>
        <x:v>glass spice container B (C, RU); glass spice container A (C, UD); brown cup B (O, UD); white cup A (C, RU)</x:v>
      </x:c>
      <x:c r="E64" s="4" t="n">
        <x:f>'Evaluation Plan'!E64</x:f>
        <x:v>0</x:v>
      </x:c>
      <x:c r="F64" s="4" t="str">
        <x:f>'Evaluation Plan'!F64</x:f>
        <x:v>172</x:v>
      </x:c>
      <x:c r="G64" s="5" t="str">
        <x:f>'Evaluation Plan'!G64</x:f>
        <x:v>Physical-state and manipulation-trajectory reference under a direct category prompt; the evaluated state word × object-category cell is intentionally absent from training.</x:v>
      </x:c>
      <x:c r="H64" s="5" t="str">
        <x:f>'Evaluation Plan'!H64</x:f>
        <x:v>glass spice container B</x:v>
      </x:c>
      <x:c r="I64" s="5"/>
      <x:c r="J64" s="12" t="str">
        <x:f>'Evaluation Plan'!J64</x:f>
        <x:v>Concept/compositional transfer</x:v>
      </x:c>
      <x:c r="K64" s="4" t="str">
        <x:f>'Evaluation Plan'!K64</x:f>
        <x:v>SR-CT12</x:v>
      </x:c>
      <x:c r="L64" s="4" t="str">
        <x:f>'Evaluation Plan'!L64</x:f>
        <x:v>RU</x:v>
      </x:c>
      <x:c r="M64" s="4" t="str">
        <x:f>'Evaluation Plan'!M64</x:f>
        <x:v>glass spice container</x:v>
      </x:c>
      <x:c r="N64" s="4" t="n">
        <x:f>'Evaluation Plan'!N64</x:f>
        <x:v>4</x:v>
      </x:c>
      <x:c r="O64" s="4" t="n">
        <x:f>'Evaluation Plan'!O64</x:f>
        <x:v>1</x:v>
      </x:c>
      <x:c r="P64" s="4" t="str">
        <x:f>'Evaluation Plan'!P64</x:f>
        <x:v>Empty</x:v>
      </x:c>
      <x:c r="Q64" s="5" t="str">
        <x:f>'Evaluation Plan'!Q64</x:f>
        <x:v>Primary held-out state-object composition</x:v>
      </x:c>
      <x:c r="R64" s="4" t="n">
        <x:f>'Evaluation Plan'!R64</x:f>
        <x:v>3</x:v>
      </x:c>
      <x:c r="S64" s="5" t="str">
        <x:f>'Evaluation Plan'!S64</x:f>
        <x:v>Build the listed same-category discrimination scene with the bowl empty.</x:v>
      </x:c>
      <x:c r="T64" s="5" t="str">
        <x:f>'Evaluation Plan'!T64</x:f>
        <x:v>Two same-category candidates share the non-queried state axis; only the held-out state word identifies the target. The same-category candidates share the orthogonal C/O state (C).</x:v>
      </x:c>
      <x:c r="U64" s="5" t="n">
        <x:f>'Evaluation Plan'!U64</x:f>
        <x:v>0</x:v>
      </x:c>
    </x:row>
    <x:row r="65" ht="51" customHeight="1">
      <x:c r="A65" s="13" t="s">
        <x:v>181</x:v>
      </x:c>
      <x:c r="B65" s="14" t="n">
        <x:f>'Evaluation Plan'!B65</x:f>
        <x:v>63</x:v>
      </x:c>
      <x:c r="C65" s="13" t="str">
        <x:f>'Evaluation Plan'!C65</x:f>
        <x:v>Place a glass spice container in the bowl.</x:v>
      </x:c>
      <x:c r="D65" s="13" t="str">
        <x:f>'Evaluation Plan'!D65</x:f>
        <x:v>glass spice container B (C, RU); yellow-white striped cup B (C, UD); brown cup B (O, UD); white cup A (C, RU)</x:v>
      </x:c>
      <x:c r="E65" s="14" t="n">
        <x:f>'Evaluation Plan'!E65</x:f>
        <x:v>62</x:v>
      </x:c>
      <x:c r="F65" s="14" t="n">
        <x:f>'Evaluation Plan'!F65</x:f>
        <x:v>172</x:v>
      </x:c>
      <x:c r="G65" s="13" t="str">
        <x:f>'Evaluation Plan'!G65</x:f>
        <x:v>Exact direct-category manipulation prompt from training episode 172. The transfer target, state, and pose are preserved; only the competing glass spice container is replaced by yellow-white striped cup B.</x:v>
      </x:c>
      <x:c r="H65" s="13" t="str">
        <x:f>'Evaluation Plan'!H65</x:f>
        <x:v>glass spice container B</x:v>
      </x:c>
      <x:c r="I65" s="13"/>
      <x:c r="J65" s="15" t="str">
        <x:f>'Evaluation Plan'!J65</x:f>
        <x:v>Matched manipulation control</x:v>
      </x:c>
      <x:c r="K65" s="14" t="str">
        <x:f>'Evaluation Plan'!K65</x:f>
        <x:v>SR-CT12</x:v>
      </x:c>
      <x:c r="L65" s="14" t="str">
        <x:f>'Evaluation Plan'!L65</x:f>
        <x:v>N/A</x:v>
      </x:c>
      <x:c r="M65" s="14" t="str">
        <x:f>'Evaluation Plan'!M65</x:f>
        <x:v>glass spice container</x:v>
      </x:c>
      <x:c r="N65" s="14" t="n">
        <x:f>'Evaluation Plan'!N65</x:f>
        <x:v>4</x:v>
      </x:c>
      <x:c r="O65" s="14" t="n">
        <x:f>'Evaluation Plan'!O65</x:f>
        <x:v>1</x:v>
      </x:c>
      <x:c r="P65" s="14" t="str">
        <x:f>'Evaluation Plan'!P65</x:f>
        <x:v>Empty</x:v>
      </x:c>
      <x:c r="Q65" s="13" t="str">
        <x:f>'Evaluation Plan'!Q65</x:f>
        <x:v>One-object-substitution direct-category control</x:v>
      </x:c>
      <x:c r="R65" s="14" t="n">
        <x:f>'Evaluation Plan'!R65</x:f>
        <x:v>3</x:v>
      </x:c>
      <x:c r="S65" s="13" t="str">
        <x:f>'Evaluation Plan'!S65</x:f>
        <x:v>Reset glass spice container B to its transfer pose. Replace glass spice container A with yellow-white striped cup B in the same location and use the states listed in this row; preserve all other objects.</x:v>
      </x:c>
      <x:c r="T65" s="13" t="str">
        <x:f>'Evaluation Plan'!T65</x:f>
        <x:v>Pure recognition/manipulation control: the prompt uniquely names the only object from the target category, while the physical target remains identical to the transfer row.</x:v>
      </x:c>
      <x:c r="U65" s="13" t="n">
        <x:f>'Evaluation Plan'!U65</x:f>
        <x:v>0</x:v>
      </x:c>
    </x:row>
    <x:row r="66" ht="51" customHeight="1">
      <x:c r="A66" s="5" t="s">
        <x:v>181</x:v>
      </x:c>
      <x:c r="B66" s="4" t="n">
        <x:f>'Evaluation Plan'!B66</x:f>
        <x:v>64</x:v>
      </x:c>
      <x:c r="C66" s="5" t="str">
        <x:f>'Evaluation Plan'!C66</x:f>
        <x:v>Place the upside-down white cup in the bowl.</x:v>
      </x:c>
      <x:c r="D66" s="5" t="str">
        <x:f>'Evaluation Plan'!D66</x:f>
        <x:v>white cup A (O, UD); white cup B (O, RU)</x:v>
      </x:c>
      <x:c r="E66" s="4" t="n">
        <x:f>'Evaluation Plan'!E66</x:f>
        <x:v>0</x:v>
      </x:c>
      <x:c r="F66" s="4" t="str">
        <x:f>'Evaluation Plan'!F66</x:f>
        <x:v>32</x:v>
      </x:c>
      <x:c r="G66" s="5" t="str">
        <x:f>'Evaluation Plan'!G66</x:f>
        <x:v>Physical-state and manipulation-trajectory reference under a direct category prompt; the evaluated state word × object-category cell is intentionally absent from training.</x:v>
      </x:c>
      <x:c r="H66" s="5" t="str">
        <x:f>'Evaluation Plan'!H66</x:f>
        <x:v>white cup A</x:v>
      </x:c>
      <x:c r="I66" s="5"/>
      <x:c r="J66" s="12" t="str">
        <x:f>'Evaluation Plan'!J66</x:f>
        <x:v>Concept/compositional transfer</x:v>
      </x:c>
      <x:c r="K66" s="4" t="str">
        <x:f>'Evaluation Plan'!K66</x:f>
        <x:v>SR-CT13</x:v>
      </x:c>
      <x:c r="L66" s="4" t="str">
        <x:f>'Evaluation Plan'!L66</x:f>
        <x:v>UD</x:v>
      </x:c>
      <x:c r="M66" s="4" t="str">
        <x:f>'Evaluation Plan'!M66</x:f>
        <x:v>white cup</x:v>
      </x:c>
      <x:c r="N66" s="4" t="n">
        <x:f>'Evaluation Plan'!N66</x:f>
        <x:v>2</x:v>
      </x:c>
      <x:c r="O66" s="4" t="n">
        <x:f>'Evaluation Plan'!O66</x:f>
        <x:v>1</x:v>
      </x:c>
      <x:c r="P66" s="4" t="str">
        <x:f>'Evaluation Plan'!P66</x:f>
        <x:v>Empty</x:v>
      </x:c>
      <x:c r="Q66" s="5" t="str">
        <x:f>'Evaluation Plan'!Q66</x:f>
        <x:v>Primary held-out state-object composition</x:v>
      </x:c>
      <x:c r="R66" s="4" t="n">
        <x:f>'Evaluation Plan'!R66</x:f>
        <x:v>3</x:v>
      </x:c>
      <x:c r="S66" s="5" t="str">
        <x:f>'Evaluation Plan'!S66</x:f>
        <x:v>Build the listed same-category discrimination scene with the bowl empty.</x:v>
      </x:c>
      <x:c r="T66" s="5" t="str">
        <x:f>'Evaluation Plan'!T66</x:f>
        <x:v>Two same-category candidates share the non-queried state axis; only the held-out state word identifies the target. The same-category candidates share the orthogonal C/O state (O).</x:v>
      </x:c>
      <x:c r="U66" s="5" t="n">
        <x:f>'Evaluation Plan'!U66</x:f>
        <x:v>0</x:v>
      </x:c>
    </x:row>
    <x:row r="67" ht="51" customHeight="1">
      <x:c r="A67" s="13" t="s">
        <x:v>181</x:v>
      </x:c>
      <x:c r="B67" s="14" t="n">
        <x:f>'Evaluation Plan'!B67</x:f>
        <x:v>65</x:v>
      </x:c>
      <x:c r="C67" s="13" t="str">
        <x:f>'Evaluation Plan'!C67</x:f>
        <x:v>Put a white cup in the bowl.</x:v>
      </x:c>
      <x:c r="D67" s="13" t="str">
        <x:f>'Evaluation Plan'!D67</x:f>
        <x:v>white cup A (O, UD); yellow-white striped cup A (O, RU)</x:v>
      </x:c>
      <x:c r="E67" s="14" t="n">
        <x:f>'Evaluation Plan'!E67</x:f>
        <x:v>64</x:v>
      </x:c>
      <x:c r="F67" s="14" t="n">
        <x:f>'Evaluation Plan'!F67</x:f>
        <x:v>32</x:v>
      </x:c>
      <x:c r="G67" s="13" t="str">
        <x:f>'Evaluation Plan'!G67</x:f>
        <x:v>Exact direct-category manipulation prompt from training episode 32. The transfer target, state, and pose are preserved; only the competing white cup is replaced by yellow-white striped cup A.</x:v>
      </x:c>
      <x:c r="H67" s="13" t="str">
        <x:f>'Evaluation Plan'!H67</x:f>
        <x:v>white cup A</x:v>
      </x:c>
      <x:c r="I67" s="13"/>
      <x:c r="J67" s="15" t="str">
        <x:f>'Evaluation Plan'!J67</x:f>
        <x:v>Matched manipulation control</x:v>
      </x:c>
      <x:c r="K67" s="14" t="str">
        <x:f>'Evaluation Plan'!K67</x:f>
        <x:v>SR-CT13</x:v>
      </x:c>
      <x:c r="L67" s="14" t="str">
        <x:f>'Evaluation Plan'!L67</x:f>
        <x:v>N/A</x:v>
      </x:c>
      <x:c r="M67" s="14" t="str">
        <x:f>'Evaluation Plan'!M67</x:f>
        <x:v>white cup</x:v>
      </x:c>
      <x:c r="N67" s="14" t="n">
        <x:f>'Evaluation Plan'!N67</x:f>
        <x:v>2</x:v>
      </x:c>
      <x:c r="O67" s="14" t="n">
        <x:f>'Evaluation Plan'!O67</x:f>
        <x:v>1</x:v>
      </x:c>
      <x:c r="P67" s="14" t="str">
        <x:f>'Evaluation Plan'!P67</x:f>
        <x:v>Empty</x:v>
      </x:c>
      <x:c r="Q67" s="13" t="str">
        <x:f>'Evaluation Plan'!Q67</x:f>
        <x:v>One-object-substitution direct-category control</x:v>
      </x:c>
      <x:c r="R67" s="14" t="n">
        <x:f>'Evaluation Plan'!R67</x:f>
        <x:v>3</x:v>
      </x:c>
      <x:c r="S67" s="13" t="str">
        <x:f>'Evaluation Plan'!S67</x:f>
        <x:v>Reset white cup A to its transfer pose. Replace white cup B with yellow-white striped cup A in the same location and use the states listed in this row; preserve all other objects.</x:v>
      </x:c>
      <x:c r="T67" s="13" t="str">
        <x:f>'Evaluation Plan'!T67</x:f>
        <x:v>Pure recognition/manipulation control: the prompt uniquely names the only object from the target category, while the physical target remains identical to the transfer row.</x:v>
      </x:c>
      <x:c r="U67" s="13" t="n">
        <x:f>'Evaluation Plan'!U67</x:f>
        <x:v>0</x:v>
      </x:c>
    </x:row>
    <x:row r="68" ht="51" customHeight="1">
      <x:c r="A68" s="5" t="s">
        <x:v>181</x:v>
      </x:c>
      <x:c r="B68" s="4" t="n">
        <x:f>'Evaluation Plan'!B68</x:f>
        <x:v>66</x:v>
      </x:c>
      <x:c r="C68" s="5" t="str">
        <x:f>'Evaluation Plan'!C68</x:f>
        <x:v>Place the open yellow-white striped cup in the bowl.</x:v>
      </x:c>
      <x:c r="D68" s="5" t="str">
        <x:f>'Evaluation Plan'!D68</x:f>
        <x:v>yellow-white striped cup B (O, RU); yellow-white striped cup A (C, RU); brown cup B (O, RU)</x:v>
      </x:c>
      <x:c r="E68" s="4" t="n">
        <x:f>'Evaluation Plan'!E68</x:f>
        <x:v>0</x:v>
      </x:c>
      <x:c r="F68" s="4" t="str">
        <x:f>'Evaluation Plan'!F68</x:f>
        <x:v>53</x:v>
      </x:c>
      <x:c r="G68" s="5" t="str">
        <x:f>'Evaluation Plan'!G68</x:f>
        <x:v>Physical-state and manipulation-trajectory reference under a direct category prompt; the evaluated state word × object-category cell is intentionally absent from training. All objects are upright, matching the context of every explicit open/closed training demonstration.</x:v>
      </x:c>
      <x:c r="H68" s="5" t="str">
        <x:f>'Evaluation Plan'!H68</x:f>
        <x:v>yellow-white striped cup B</x:v>
      </x:c>
      <x:c r="I68" s="5"/>
      <x:c r="J68" s="12" t="str">
        <x:f>'Evaluation Plan'!J68</x:f>
        <x:v>Concept/compositional transfer</x:v>
      </x:c>
      <x:c r="K68" s="4" t="str">
        <x:f>'Evaluation Plan'!K68</x:f>
        <x:v>SR-CT14</x:v>
      </x:c>
      <x:c r="L68" s="4" t="str">
        <x:f>'Evaluation Plan'!L68</x:f>
        <x:v>O</x:v>
      </x:c>
      <x:c r="M68" s="4" t="str">
        <x:f>'Evaluation Plan'!M68</x:f>
        <x:v>yellow-white striped cup</x:v>
      </x:c>
      <x:c r="N68" s="4" t="n">
        <x:f>'Evaluation Plan'!N68</x:f>
        <x:v>3</x:v>
      </x:c>
      <x:c r="O68" s="4" t="n">
        <x:f>'Evaluation Plan'!O68</x:f>
        <x:v>1</x:v>
      </x:c>
      <x:c r="P68" s="4" t="str">
        <x:f>'Evaluation Plan'!P68</x:f>
        <x:v>Empty</x:v>
      </x:c>
      <x:c r="Q68" s="5" t="str">
        <x:f>'Evaluation Plan'!Q68</x:f>
        <x:v>Primary held-out state-object composition</x:v>
      </x:c>
      <x:c r="R68" s="4" t="n">
        <x:f>'Evaluation Plan'!R68</x:f>
        <x:v>3</x:v>
      </x:c>
      <x:c r="S68" s="5" t="str">
        <x:f>'Evaluation Plan'!S68</x:f>
        <x:v>Build the listed same-category discrimination scene with the bowl empty.</x:v>
      </x:c>
      <x:c r="T68" s="5" t="str">
        <x:f>'Evaluation Plan'!T68</x:f>
        <x:v>Two same-category candidates share the non-queried state axis; only the held-out state word identifies the target. The orthogonal orientation axis is fixed: every object is RU.</x:v>
      </x:c>
      <x:c r="U68" s="5" t="n">
        <x:f>'Evaluation Plan'!U68</x:f>
        <x:v>0</x:v>
      </x:c>
    </x:row>
    <x:row r="69" ht="51" customHeight="1">
      <x:c r="A69" s="13" t="s">
        <x:v>181</x:v>
      </x:c>
      <x:c r="B69" s="14" t="n">
        <x:f>'Evaluation Plan'!B69</x:f>
        <x:v>67</x:v>
      </x:c>
      <x:c r="C69" s="13" t="str">
        <x:f>'Evaluation Plan'!C69</x:f>
        <x:v>Put a yellow-white striped cup in the bowl.</x:v>
      </x:c>
      <x:c r="D69" s="13" t="str">
        <x:f>'Evaluation Plan'!D69</x:f>
        <x:v>yellow-white striped cup B (O, RU); glass spice container B (C, RU); brown cup B (O, RU)</x:v>
      </x:c>
      <x:c r="E69" s="14" t="n">
        <x:f>'Evaluation Plan'!E69</x:f>
        <x:v>66</x:v>
      </x:c>
      <x:c r="F69" s="14" t="n">
        <x:f>'Evaluation Plan'!F69</x:f>
        <x:v>53</x:v>
      </x:c>
      <x:c r="G69" s="13" t="str">
        <x:f>'Evaluation Plan'!G69</x:f>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H69" s="13" t="str">
        <x:f>'Evaluation Plan'!H69</x:f>
        <x:v>yellow-white striped cup B</x:v>
      </x:c>
      <x:c r="I69" s="13"/>
      <x:c r="J69" s="15" t="str">
        <x:f>'Evaluation Plan'!J69</x:f>
        <x:v>Matched manipulation control</x:v>
      </x:c>
      <x:c r="K69" s="14" t="str">
        <x:f>'Evaluation Plan'!K69</x:f>
        <x:v>SR-CT14</x:v>
      </x:c>
      <x:c r="L69" s="14" t="str">
        <x:f>'Evaluation Plan'!L69</x:f>
        <x:v>N/A</x:v>
      </x:c>
      <x:c r="M69" s="14" t="str">
        <x:f>'Evaluation Plan'!M69</x:f>
        <x:v>yellow-white striped cup</x:v>
      </x:c>
      <x:c r="N69" s="14" t="n">
        <x:f>'Evaluation Plan'!N69</x:f>
        <x:v>3</x:v>
      </x:c>
      <x:c r="O69" s="14" t="n">
        <x:f>'Evaluation Plan'!O69</x:f>
        <x:v>1</x:v>
      </x:c>
      <x:c r="P69" s="14" t="str">
        <x:f>'Evaluation Plan'!P69</x:f>
        <x:v>Empty</x:v>
      </x:c>
      <x:c r="Q69" s="13" t="str">
        <x:f>'Evaluation Plan'!Q69</x:f>
        <x:v>One-object-substitution direct-category control</x:v>
      </x:c>
      <x:c r="R69" s="14" t="n">
        <x:f>'Evaluation Plan'!R69</x:f>
        <x:v>3</x:v>
      </x:c>
      <x:c r="S69" s="13" t="str">
        <x:f>'Evaluation Plan'!S69</x:f>
        <x:v>Reset yellow-white striped cup B to its transfer pose. Replace yellow-white striped cup A with glass spice container B in the same location and use the states listed in this row; preserve all other objects.</x:v>
      </x:c>
      <x:c r="T69" s="13" t="str">
        <x:f>'Evaluation Plan'!T69</x:f>
        <x:v>Pure recognition/manipulation control: the prompt uniquely names the only object from the target category, while the physical target remains identical to the transfer row. Every object is RU.</x:v>
      </x:c>
      <x:c r="U69" s="13" t="n">
        <x:f>'Evaluation Plan'!U69</x:f>
        <x:v>0</x:v>
      </x:c>
    </x:row>
    <x:row r="70" ht="51" customHeight="1">
      <x:c r="A70" s="5" t="s">
        <x:v>181</x:v>
      </x:c>
      <x:c r="B70" s="4" t="n">
        <x:f>'Evaluation Plan'!B70</x:f>
        <x:v>68</x:v>
      </x:c>
      <x:c r="C70" s="5" t="str">
        <x:f>'Evaluation Plan'!C70</x:f>
        <x:v>Place the closed brown cup in the bowl.</x:v>
      </x:c>
      <x:c r="D70" s="5" t="str">
        <x:f>'Evaluation Plan'!D70</x:f>
        <x:v>brown cup A (C, RU); brown cup B (O, RU); glass spice container A (C, RU); white cup B (O, RU)</x:v>
      </x:c>
      <x:c r="E70" s="4" t="n">
        <x:f>'Evaluation Plan'!E70</x:f>
        <x:v>0</x:v>
      </x:c>
      <x:c r="F70" s="4" t="str">
        <x:f>'Evaluation Plan'!F70</x:f>
        <x:v>129</x:v>
      </x:c>
      <x:c r="G70" s="5" t="str">
        <x:f>'Evaluation Plan'!G70</x:f>
        <x:v>Physical-state and manipulation-trajectory reference under a direct category prompt; the evaluated state word × object-category cell is intentionally absent from training. All objects are upright, matching the context of every explicit open/closed training demonstration.</x:v>
      </x:c>
      <x:c r="H70" s="5" t="str">
        <x:f>'Evaluation Plan'!H70</x:f>
        <x:v>brown cup A</x:v>
      </x:c>
      <x:c r="I70" s="5"/>
      <x:c r="J70" s="12" t="str">
        <x:f>'Evaluation Plan'!J70</x:f>
        <x:v>Concept/compositional transfer</x:v>
      </x:c>
      <x:c r="K70" s="4" t="str">
        <x:f>'Evaluation Plan'!K70</x:f>
        <x:v>SR-CT15</x:v>
      </x:c>
      <x:c r="L70" s="4" t="str">
        <x:f>'Evaluation Plan'!L70</x:f>
        <x:v>C</x:v>
      </x:c>
      <x:c r="M70" s="4" t="str">
        <x:f>'Evaluation Plan'!M70</x:f>
        <x:v>brown cup</x:v>
      </x:c>
      <x:c r="N70" s="4" t="n">
        <x:f>'Evaluation Plan'!N70</x:f>
        <x:v>4</x:v>
      </x:c>
      <x:c r="O70" s="4" t="n">
        <x:f>'Evaluation Plan'!O70</x:f>
        <x:v>1</x:v>
      </x:c>
      <x:c r="P70" s="4" t="str">
        <x:f>'Evaluation Plan'!P70</x:f>
        <x:v>Empty</x:v>
      </x:c>
      <x:c r="Q70" s="5" t="str">
        <x:f>'Evaluation Plan'!Q70</x:f>
        <x:v>Primary held-out state-object composition</x:v>
      </x:c>
      <x:c r="R70" s="4" t="n">
        <x:f>'Evaluation Plan'!R70</x:f>
        <x:v>3</x:v>
      </x:c>
      <x:c r="S70" s="5" t="str">
        <x:f>'Evaluation Plan'!S70</x:f>
        <x:v>Build the listed same-category discrimination scene with the bowl empty.</x:v>
      </x:c>
      <x:c r="T70" s="5" t="str">
        <x:f>'Evaluation Plan'!T70</x:f>
        <x:v>Two same-category candidates share the non-queried state axis; only the held-out state word identifies the target. The orthogonal orientation axis is fixed: every object is RU.</x:v>
      </x:c>
      <x:c r="U70" s="5" t="n">
        <x:f>'Evaluation Plan'!U70</x:f>
        <x:v>0</x:v>
      </x:c>
    </x:row>
    <x:row r="71" ht="51" customHeight="1">
      <x:c r="A71" s="13" t="s">
        <x:v>181</x:v>
      </x:c>
      <x:c r="B71" s="14" t="n">
        <x:f>'Evaluation Plan'!B71</x:f>
        <x:v>69</x:v>
      </x:c>
      <x:c r="C71" s="13" t="str">
        <x:f>'Evaluation Plan'!C71</x:f>
        <x:v>Move a brown cup into the bowl.</x:v>
      </x:c>
      <x:c r="D71" s="13" t="str">
        <x:f>'Evaluation Plan'!D71</x:f>
        <x:v>brown cup A (C, RU); yellow-white striped cup A (O, RU); glass spice container A (C, RU); white cup B (O, RU)</x:v>
      </x:c>
      <x:c r="E71" s="14" t="n">
        <x:f>'Evaluation Plan'!E71</x:f>
        <x:v>68</x:v>
      </x:c>
      <x:c r="F71" s="14" t="n">
        <x:f>'Evaluation Plan'!F71</x:f>
        <x:v>129</x:v>
      </x:c>
      <x:c r="G71" s="13" t="str">
        <x:f>'Evaluation Plan'!G71</x:f>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H71" s="13" t="str">
        <x:f>'Evaluation Plan'!H71</x:f>
        <x:v>brown cup A</x:v>
      </x:c>
      <x:c r="I71" s="13"/>
      <x:c r="J71" s="15" t="str">
        <x:f>'Evaluation Plan'!J71</x:f>
        <x:v>Matched manipulation control</x:v>
      </x:c>
      <x:c r="K71" s="14" t="str">
        <x:f>'Evaluation Plan'!K71</x:f>
        <x:v>SR-CT15</x:v>
      </x:c>
      <x:c r="L71" s="14" t="str">
        <x:f>'Evaluation Plan'!L71</x:f>
        <x:v>N/A</x:v>
      </x:c>
      <x:c r="M71" s="14" t="str">
        <x:f>'Evaluation Plan'!M71</x:f>
        <x:v>brown cup</x:v>
      </x:c>
      <x:c r="N71" s="14" t="n">
        <x:f>'Evaluation Plan'!N71</x:f>
        <x:v>4</x:v>
      </x:c>
      <x:c r="O71" s="14" t="n">
        <x:f>'Evaluation Plan'!O71</x:f>
        <x:v>1</x:v>
      </x:c>
      <x:c r="P71" s="14" t="str">
        <x:f>'Evaluation Plan'!P71</x:f>
        <x:v>Empty</x:v>
      </x:c>
      <x:c r="Q71" s="13" t="str">
        <x:f>'Evaluation Plan'!Q71</x:f>
        <x:v>One-object-substitution direct-category control</x:v>
      </x:c>
      <x:c r="R71" s="14" t="n">
        <x:f>'Evaluation Plan'!R71</x:f>
        <x:v>3</x:v>
      </x:c>
      <x:c r="S71" s="13" t="str">
        <x:f>'Evaluation Plan'!S71</x:f>
        <x:v>Reset brown cup A to its transfer pose. Replace brown cup B with yellow-white striped cup A in the same location and use the states listed in this row; preserve all other objects.</x:v>
      </x:c>
      <x:c r="T71" s="13" t="str">
        <x:f>'Evaluation Plan'!T71</x:f>
        <x:v>Pure recognition/manipulation control: the prompt uniquely names the only object from the target category, while the physical target remains identical to the transfer row. Every object is RU.</x:v>
      </x:c>
      <x:c r="U71" s="13" t="n">
        <x:f>'Evaluation Plan'!U71</x:f>
        <x:v>0</x:v>
      </x:c>
    </x:row>
    <x:row r="72" ht="51" customHeight="1">
      <x:c r="A72" s="5" t="s">
        <x:v>181</x:v>
      </x:c>
      <x:c r="B72" s="4" t="n">
        <x:f>'Evaluation Plan'!B72</x:f>
        <x:v>70</x:v>
      </x:c>
      <x:c r="C72" s="5" t="str">
        <x:f>'Evaluation Plan'!C72</x:f>
        <x:v>Place the upright glass spice container in the bowl.</x:v>
      </x:c>
      <x:c r="D72" s="5" t="str">
        <x:f>'Evaluation Plan'!D72</x:f>
        <x:v>glass spice container B (O, RU); glass spice container A (O, UD)</x:v>
      </x:c>
      <x:c r="E72" s="4" t="n">
        <x:f>'Evaluation Plan'!E72</x:f>
        <x:v>0</x:v>
      </x:c>
      <x:c r="F72" s="4" t="str">
        <x:f>'Evaluation Plan'!F72</x:f>
        <x:v>157</x:v>
      </x:c>
      <x:c r="G72" s="5" t="str">
        <x:f>'Evaluation Plan'!G72</x:f>
        <x:v>Physical-state and manipulation-trajectory reference under a direct category prompt; the evaluated state word × object-category cell is intentionally absent from training.</x:v>
      </x:c>
      <x:c r="H72" s="5" t="str">
        <x:f>'Evaluation Plan'!H72</x:f>
        <x:v>glass spice container B</x:v>
      </x:c>
      <x:c r="I72" s="5"/>
      <x:c r="J72" s="12" t="str">
        <x:f>'Evaluation Plan'!J72</x:f>
        <x:v>Concept/compositional transfer</x:v>
      </x:c>
      <x:c r="K72" s="4" t="str">
        <x:f>'Evaluation Plan'!K72</x:f>
        <x:v>SR-CT16</x:v>
      </x:c>
      <x:c r="L72" s="4" t="str">
        <x:f>'Evaluation Plan'!L72</x:f>
        <x:v>RU</x:v>
      </x:c>
      <x:c r="M72" s="4" t="str">
        <x:f>'Evaluation Plan'!M72</x:f>
        <x:v>glass spice container</x:v>
      </x:c>
      <x:c r="N72" s="4" t="n">
        <x:f>'Evaluation Plan'!N72</x:f>
        <x:v>2</x:v>
      </x:c>
      <x:c r="O72" s="4" t="n">
        <x:f>'Evaluation Plan'!O72</x:f>
        <x:v>1</x:v>
      </x:c>
      <x:c r="P72" s="4" t="str">
        <x:f>'Evaluation Plan'!P72</x:f>
        <x:v>Empty</x:v>
      </x:c>
      <x:c r="Q72" s="5" t="str">
        <x:f>'Evaluation Plan'!Q72</x:f>
        <x:v>Primary held-out state-object composition</x:v>
      </x:c>
      <x:c r="R72" s="4" t="n">
        <x:f>'Evaluation Plan'!R72</x:f>
        <x:v>3</x:v>
      </x:c>
      <x:c r="S72" s="5" t="str">
        <x:f>'Evaluation Plan'!S72</x:f>
        <x:v>Build the listed same-category discrimination scene with the bowl empty.</x:v>
      </x:c>
      <x:c r="T72" s="5" t="str">
        <x:f>'Evaluation Plan'!T72</x:f>
        <x:v>Two same-category candidates share the non-queried state axis; only the held-out state word identifies the target. The same-category candidates share the orthogonal C/O state (O).</x:v>
      </x:c>
      <x:c r="U72" s="5" t="n">
        <x:f>'Evaluation Plan'!U72</x:f>
        <x:v>0</x:v>
      </x:c>
    </x:row>
    <x:row r="73" ht="51" customHeight="1">
      <x:c r="A73" s="13" t="s">
        <x:v>181</x:v>
      </x:c>
      <x:c r="B73" s="14" t="n">
        <x:f>'Evaluation Plan'!B73</x:f>
        <x:v>71</x:v>
      </x:c>
      <x:c r="C73" s="13" t="str">
        <x:f>'Evaluation Plan'!C73</x:f>
        <x:v>Place a glass spice container in the bowl.</x:v>
      </x:c>
      <x:c r="D73" s="13" t="str">
        <x:f>'Evaluation Plan'!D73</x:f>
        <x:v>glass spice container B (O, RU); white cup B (O, UD)</x:v>
      </x:c>
      <x:c r="E73" s="14" t="n">
        <x:f>'Evaluation Plan'!E73</x:f>
        <x:v>70</x:v>
      </x:c>
      <x:c r="F73" s="14" t="n">
        <x:f>'Evaluation Plan'!F73</x:f>
        <x:v>157</x:v>
      </x:c>
      <x:c r="G73" s="13" t="str">
        <x:f>'Evaluation Plan'!G73</x:f>
        <x:v>Exact direct-category manipulation prompt from training episode 157. The transfer target, state, and pose are preserved; only the competing glass spice container is replaced by white cup B.</x:v>
      </x:c>
      <x:c r="H73" s="13" t="str">
        <x:f>'Evaluation Plan'!H73</x:f>
        <x:v>glass spice container B</x:v>
      </x:c>
      <x:c r="I73" s="13"/>
      <x:c r="J73" s="15" t="str">
        <x:f>'Evaluation Plan'!J73</x:f>
        <x:v>Matched manipulation control</x:v>
      </x:c>
      <x:c r="K73" s="14" t="str">
        <x:f>'Evaluation Plan'!K73</x:f>
        <x:v>SR-CT16</x:v>
      </x:c>
      <x:c r="L73" s="14" t="str">
        <x:f>'Evaluation Plan'!L73</x:f>
        <x:v>N/A</x:v>
      </x:c>
      <x:c r="M73" s="14" t="str">
        <x:f>'Evaluation Plan'!M73</x:f>
        <x:v>glass spice container</x:v>
      </x:c>
      <x:c r="N73" s="14" t="n">
        <x:f>'Evaluation Plan'!N73</x:f>
        <x:v>2</x:v>
      </x:c>
      <x:c r="O73" s="14" t="n">
        <x:f>'Evaluation Plan'!O73</x:f>
        <x:v>1</x:v>
      </x:c>
      <x:c r="P73" s="14" t="str">
        <x:f>'Evaluation Plan'!P73</x:f>
        <x:v>Empty</x:v>
      </x:c>
      <x:c r="Q73" s="13" t="str">
        <x:f>'Evaluation Plan'!Q73</x:f>
        <x:v>One-object-substitution direct-category control</x:v>
      </x:c>
      <x:c r="R73" s="14" t="n">
        <x:f>'Evaluation Plan'!R73</x:f>
        <x:v>3</x:v>
      </x:c>
      <x:c r="S73" s="13" t="str">
        <x:f>'Evaluation Plan'!S73</x:f>
        <x:v>Reset glass spice container B to its transfer pose. Replace glass spice container A with white cup B in the same location and use the states listed in this row; preserve all other objects.</x:v>
      </x:c>
      <x:c r="T73" s="13" t="str">
        <x:f>'Evaluation Plan'!T73</x:f>
        <x:v>Pure recognition/manipulation control: the prompt uniquely names the only object from the target category, while the physical target remains identical to the transfer row.</x:v>
      </x:c>
      <x:c r="U73" s="13" t="n">
        <x:f>'Evaluation Plan'!U73</x:f>
        <x:v>0</x:v>
      </x:c>
    </x:row>
    <x:row r="74" ht="51" customHeight="1">
      <x:c r="A74" s="5" t="s">
        <x:v>181</x:v>
      </x:c>
      <x:c r="B74" s="4" t="n">
        <x:f>'Evaluation Plan'!B74</x:f>
        <x:v>72</x:v>
      </x:c>
      <x:c r="C74" s="5" t="str">
        <x:f>'Evaluation Plan'!C74</x:f>
        <x:v>Place the upside-down white cup in the bowl.</x:v>
      </x:c>
      <x:c r="D74" s="5" t="str">
        <x:f>'Evaluation Plan'!D74</x:f>
        <x:v>white cup A (C, UD); white cup B (C, RU); brown cup A (C, RU)</x:v>
      </x:c>
      <x:c r="E74" s="4" t="n">
        <x:f>'Evaluation Plan'!E74</x:f>
        <x:v>0</x:v>
      </x:c>
      <x:c r="F74" s="4" t="str">
        <x:f>'Evaluation Plan'!F74</x:f>
        <x:v>35</x:v>
      </x:c>
      <x:c r="G74" s="5" t="str">
        <x:f>'Evaluation Plan'!G74</x:f>
        <x:v>Physical-state and manipulation-trajectory reference under a direct category prompt; the evaluated state word × object-category cell is intentionally absent from training.</x:v>
      </x:c>
      <x:c r="H74" s="5" t="str">
        <x:f>'Evaluation Plan'!H74</x:f>
        <x:v>white cup A</x:v>
      </x:c>
      <x:c r="I74" s="5"/>
      <x:c r="J74" s="12" t="str">
        <x:f>'Evaluation Plan'!J74</x:f>
        <x:v>Concept/compositional transfer</x:v>
      </x:c>
      <x:c r="K74" s="4" t="str">
        <x:f>'Evaluation Plan'!K74</x:f>
        <x:v>SR-CT17</x:v>
      </x:c>
      <x:c r="L74" s="4" t="str">
        <x:f>'Evaluation Plan'!L74</x:f>
        <x:v>UD</x:v>
      </x:c>
      <x:c r="M74" s="4" t="str">
        <x:f>'Evaluation Plan'!M74</x:f>
        <x:v>white cup</x:v>
      </x:c>
      <x:c r="N74" s="4" t="n">
        <x:f>'Evaluation Plan'!N74</x:f>
        <x:v>3</x:v>
      </x:c>
      <x:c r="O74" s="4" t="n">
        <x:f>'Evaluation Plan'!O74</x:f>
        <x:v>1</x:v>
      </x:c>
      <x:c r="P74" s="4" t="str">
        <x:f>'Evaluation Plan'!P74</x:f>
        <x:v>Empty</x:v>
      </x:c>
      <x:c r="Q74" s="5" t="str">
        <x:f>'Evaluation Plan'!Q74</x:f>
        <x:v>Primary held-out state-object composition</x:v>
      </x:c>
      <x:c r="R74" s="4" t="n">
        <x:f>'Evaluation Plan'!R74</x:f>
        <x:v>3</x:v>
      </x:c>
      <x:c r="S74" s="5" t="str">
        <x:f>'Evaluation Plan'!S74</x:f>
        <x:v>Build the listed same-category discrimination scene with the bowl empty.</x:v>
      </x:c>
      <x:c r="T74" s="5" t="str">
        <x:f>'Evaluation Plan'!T74</x:f>
        <x:v>Two same-category candidates share the non-queried state axis; only the held-out state word identifies the target. The same-category candidates share the orthogonal C/O state (C).</x:v>
      </x:c>
      <x:c r="U74" s="5" t="n">
        <x:f>'Evaluation Plan'!U74</x:f>
        <x:v>0</x:v>
      </x:c>
    </x:row>
    <x:row r="75" ht="51" customHeight="1">
      <x:c r="A75" s="13" t="s">
        <x:v>181</x:v>
      </x:c>
      <x:c r="B75" s="14" t="n">
        <x:f>'Evaluation Plan'!B75</x:f>
        <x:v>73</x:v>
      </x:c>
      <x:c r="C75" s="13" t="str">
        <x:f>'Evaluation Plan'!C75</x:f>
        <x:v>Put a white cup in the bowl.</x:v>
      </x:c>
      <x:c r="D75" s="13" t="str">
        <x:f>'Evaluation Plan'!D75</x:f>
        <x:v>white cup A (C, UD); yellow-white striped cup A (C, RU); brown cup A (C, RU)</x:v>
      </x:c>
      <x:c r="E75" s="14" t="n">
        <x:f>'Evaluation Plan'!E75</x:f>
        <x:v>72</x:v>
      </x:c>
      <x:c r="F75" s="14" t="n">
        <x:f>'Evaluation Plan'!F75</x:f>
        <x:v>35</x:v>
      </x:c>
      <x:c r="G75" s="13" t="str">
        <x:f>'Evaluation Plan'!G75</x:f>
        <x:v>Exact direct-category manipulation prompt from training episode 35. The transfer target, state, and pose are preserved; only the competing white cup is replaced by yellow-white striped cup A.</x:v>
      </x:c>
      <x:c r="H75" s="13" t="str">
        <x:f>'Evaluation Plan'!H75</x:f>
        <x:v>white cup A</x:v>
      </x:c>
      <x:c r="I75" s="13"/>
      <x:c r="J75" s="15" t="str">
        <x:f>'Evaluation Plan'!J75</x:f>
        <x:v>Matched manipulation control</x:v>
      </x:c>
      <x:c r="K75" s="14" t="str">
        <x:f>'Evaluation Plan'!K75</x:f>
        <x:v>SR-CT17</x:v>
      </x:c>
      <x:c r="L75" s="14" t="str">
        <x:f>'Evaluation Plan'!L75</x:f>
        <x:v>N/A</x:v>
      </x:c>
      <x:c r="M75" s="14" t="str">
        <x:f>'Evaluation Plan'!M75</x:f>
        <x:v>white cup</x:v>
      </x:c>
      <x:c r="N75" s="14" t="n">
        <x:f>'Evaluation Plan'!N75</x:f>
        <x:v>3</x:v>
      </x:c>
      <x:c r="O75" s="14" t="n">
        <x:f>'Evaluation Plan'!O75</x:f>
        <x:v>1</x:v>
      </x:c>
      <x:c r="P75" s="14" t="str">
        <x:f>'Evaluation Plan'!P75</x:f>
        <x:v>Empty</x:v>
      </x:c>
      <x:c r="Q75" s="13" t="str">
        <x:f>'Evaluation Plan'!Q75</x:f>
        <x:v>One-object-substitution direct-category control</x:v>
      </x:c>
      <x:c r="R75" s="14" t="n">
        <x:f>'Evaluation Plan'!R75</x:f>
        <x:v>3</x:v>
      </x:c>
      <x:c r="S75" s="13" t="str">
        <x:f>'Evaluation Plan'!S75</x:f>
        <x:v>Reset white cup A to its transfer pose. Replace white cup B with yellow-white striped cup A in the same location and use the states listed in this row; preserve all other objects.</x:v>
      </x:c>
      <x:c r="T75" s="13" t="str">
        <x:f>'Evaluation Plan'!T75</x:f>
        <x:v>Pure recognition/manipulation control: the prompt uniquely names the only object from the target category, while the physical target remains identical to the transfer row.</x:v>
      </x:c>
      <x:c r="U75" s="13" t="n">
        <x:f>'Evaluation Plan'!U75</x:f>
        <x:v>0</x:v>
      </x:c>
    </x:row>
    <x:row r="76" ht="51" customHeight="1">
      <x:c r="A76" s="5" t="s">
        <x:v>181</x:v>
      </x:c>
      <x:c r="B76" s="4" t="n">
        <x:f>'Evaluation Plan'!B76</x:f>
        <x:v>74</x:v>
      </x:c>
      <x:c r="C76" s="5" t="str">
        <x:f>'Evaluation Plan'!C76</x:f>
        <x:v>Place the open yellow-white striped cup in the bowl.</x:v>
      </x:c>
      <x:c r="D76" s="5" t="str">
        <x:f>'Evaluation Plan'!D76</x:f>
        <x:v>yellow-white striped cup B (O, RU); yellow-white striped cup A (C, RU); glass spice container B (O, RU); white cup A (C, RU)</x:v>
      </x:c>
      <x:c r="E76" s="4" t="n">
        <x:f>'Evaluation Plan'!E76</x:f>
        <x:v>0</x:v>
      </x:c>
      <x:c r="F76" s="4" t="str">
        <x:f>'Evaluation Plan'!F76</x:f>
        <x:v>72</x:v>
      </x:c>
      <x:c r="G76" s="5" t="str">
        <x:f>'Evaluation Plan'!G76</x:f>
        <x:v>Physical-state and manipulation-trajectory reference under a direct category prompt; the evaluated state word × object-category cell is intentionally absent from training. All objects are upright, matching the context of every explicit open/closed training demonstration.</x:v>
      </x:c>
      <x:c r="H76" s="5" t="str">
        <x:f>'Evaluation Plan'!H76</x:f>
        <x:v>yellow-white striped cup B</x:v>
      </x:c>
      <x:c r="I76" s="5"/>
      <x:c r="J76" s="12" t="str">
        <x:f>'Evaluation Plan'!J76</x:f>
        <x:v>Concept/compositional transfer</x:v>
      </x:c>
      <x:c r="K76" s="4" t="str">
        <x:f>'Evaluation Plan'!K76</x:f>
        <x:v>SR-CT18</x:v>
      </x:c>
      <x:c r="L76" s="4" t="str">
        <x:f>'Evaluation Plan'!L76</x:f>
        <x:v>O</x:v>
      </x:c>
      <x:c r="M76" s="4" t="str">
        <x:f>'Evaluation Plan'!M76</x:f>
        <x:v>yellow-white striped cup</x:v>
      </x:c>
      <x:c r="N76" s="4" t="n">
        <x:f>'Evaluation Plan'!N76</x:f>
        <x:v>4</x:v>
      </x:c>
      <x:c r="O76" s="4" t="n">
        <x:f>'Evaluation Plan'!O76</x:f>
        <x:v>1</x:v>
      </x:c>
      <x:c r="P76" s="4" t="str">
        <x:f>'Evaluation Plan'!P76</x:f>
        <x:v>Empty</x:v>
      </x:c>
      <x:c r="Q76" s="5" t="str">
        <x:f>'Evaluation Plan'!Q76</x:f>
        <x:v>Primary held-out state-object composition</x:v>
      </x:c>
      <x:c r="R76" s="4" t="n">
        <x:f>'Evaluation Plan'!R76</x:f>
        <x:v>3</x:v>
      </x:c>
      <x:c r="S76" s="5" t="str">
        <x:f>'Evaluation Plan'!S76</x:f>
        <x:v>Build the listed same-category discrimination scene with the bowl empty.</x:v>
      </x:c>
      <x:c r="T76" s="5" t="str">
        <x:f>'Evaluation Plan'!T76</x:f>
        <x:v>Two same-category candidates share the non-queried state axis; only the held-out state word identifies the target. The orthogonal orientation axis is fixed: every object is RU.</x:v>
      </x:c>
      <x:c r="U76" s="5" t="n">
        <x:f>'Evaluation Plan'!U76</x:f>
        <x:v>0</x:v>
      </x:c>
    </x:row>
    <x:row r="77" ht="51" customHeight="1">
      <x:c r="A77" s="13" t="s">
        <x:v>181</x:v>
      </x:c>
      <x:c r="B77" s="14" t="n">
        <x:f>'Evaluation Plan'!B77</x:f>
        <x:v>75</x:v>
      </x:c>
      <x:c r="C77" s="13" t="str">
        <x:f>'Evaluation Plan'!C77</x:f>
        <x:v>Move a yellow-white striped cup into the bowl.</x:v>
      </x:c>
      <x:c r="D77" s="13" t="str">
        <x:f>'Evaluation Plan'!D77</x:f>
        <x:v>yellow-white striped cup B (O, RU); brown cup B (C, RU); glass spice container B (O, RU); white cup A (C, RU)</x:v>
      </x:c>
      <x:c r="E77" s="14" t="n">
        <x:f>'Evaluation Plan'!E77</x:f>
        <x:v>74</x:v>
      </x:c>
      <x:c r="F77" s="14" t="n">
        <x:f>'Evaluation Plan'!F77</x:f>
        <x:v>72</x:v>
      </x:c>
      <x:c r="G77" s="13" t="str">
        <x:f>'Evaluation Plan'!G77</x:f>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H77" s="13" t="str">
        <x:f>'Evaluation Plan'!H77</x:f>
        <x:v>yellow-white striped cup B</x:v>
      </x:c>
      <x:c r="I77" s="13"/>
      <x:c r="J77" s="15" t="str">
        <x:f>'Evaluation Plan'!J77</x:f>
        <x:v>Matched manipulation control</x:v>
      </x:c>
      <x:c r="K77" s="14" t="str">
        <x:f>'Evaluation Plan'!K77</x:f>
        <x:v>SR-CT18</x:v>
      </x:c>
      <x:c r="L77" s="14" t="str">
        <x:f>'Evaluation Plan'!L77</x:f>
        <x:v>N/A</x:v>
      </x:c>
      <x:c r="M77" s="14" t="str">
        <x:f>'Evaluation Plan'!M77</x:f>
        <x:v>yellow-white striped cup</x:v>
      </x:c>
      <x:c r="N77" s="14" t="n">
        <x:f>'Evaluation Plan'!N77</x:f>
        <x:v>4</x:v>
      </x:c>
      <x:c r="O77" s="14" t="n">
        <x:f>'Evaluation Plan'!O77</x:f>
        <x:v>1</x:v>
      </x:c>
      <x:c r="P77" s="14" t="str">
        <x:f>'Evaluation Plan'!P77</x:f>
        <x:v>Empty</x:v>
      </x:c>
      <x:c r="Q77" s="13" t="str">
        <x:f>'Evaluation Plan'!Q77</x:f>
        <x:v>One-object-substitution direct-category control</x:v>
      </x:c>
      <x:c r="R77" s="14" t="n">
        <x:f>'Evaluation Plan'!R77</x:f>
        <x:v>3</x:v>
      </x:c>
      <x:c r="S77" s="13" t="str">
        <x:f>'Evaluation Plan'!S77</x:f>
        <x:v>Reset yellow-white striped cup B to its transfer pose. Replace yellow-white striped cup A with brown cup B in the same location and use the states listed in this row; preserve all other objects.</x:v>
      </x:c>
      <x:c r="T77" s="13" t="str">
        <x:f>'Evaluation Plan'!T77</x:f>
        <x:v>Pure recognition/manipulation control: the prompt uniquely names the only object from the target category, while the physical target remains identical to the transfer row. Every object is RU.</x:v>
      </x:c>
      <x:c r="U77" s="13" t="n">
        <x:f>'Evaluation Plan'!U77</x:f>
        <x:v>0</x:v>
      </x:c>
    </x:row>
    <x:row r="78" ht="51" customHeight="1">
      <x:c r="A78" s="5" t="s">
        <x:v>181</x:v>
      </x:c>
      <x:c r="B78" s="4" t="n">
        <x:f>'Evaluation Plan'!B78</x:f>
        <x:v>76</x:v>
      </x:c>
      <x:c r="C78" s="5" t="str">
        <x:f>'Evaluation Plan'!C78</x:f>
        <x:v>Place the closed brown cup in the bowl.</x:v>
      </x:c>
      <x:c r="D78" s="5" t="str">
        <x:f>'Evaluation Plan'!D78</x:f>
        <x:v>brown cup A (C, RU); brown cup B (O, RU)</x:v>
      </x:c>
      <x:c r="E78" s="4" t="n">
        <x:f>'Evaluation Plan'!E78</x:f>
        <x:v>0</x:v>
      </x:c>
      <x:c r="F78" s="4" t="str">
        <x:f>'Evaluation Plan'!F78</x:f>
        <x:v>105</x:v>
      </x:c>
      <x:c r="G78" s="5" t="str">
        <x:f>'Evaluation Plan'!G78</x:f>
        <x:v>Physical-state and manipulation-trajectory reference under a direct category prompt; the evaluated state word × object-category cell is intentionally absent from training. All objects are upright, matching the context of every explicit open/closed training demonstration.</x:v>
      </x:c>
      <x:c r="H78" s="5" t="str">
        <x:f>'Evaluation Plan'!H78</x:f>
        <x:v>brown cup A</x:v>
      </x:c>
      <x:c r="I78" s="5"/>
      <x:c r="J78" s="12" t="str">
        <x:f>'Evaluation Plan'!J78</x:f>
        <x:v>Concept/compositional transfer</x:v>
      </x:c>
      <x:c r="K78" s="4" t="str">
        <x:f>'Evaluation Plan'!K78</x:f>
        <x:v>SR-CT19</x:v>
      </x:c>
      <x:c r="L78" s="4" t="str">
        <x:f>'Evaluation Plan'!L78</x:f>
        <x:v>C</x:v>
      </x:c>
      <x:c r="M78" s="4" t="str">
        <x:f>'Evaluation Plan'!M78</x:f>
        <x:v>brown cup</x:v>
      </x:c>
      <x:c r="N78" s="4" t="n">
        <x:f>'Evaluation Plan'!N78</x:f>
        <x:v>2</x:v>
      </x:c>
      <x:c r="O78" s="4" t="n">
        <x:f>'Evaluation Plan'!O78</x:f>
        <x:v>1</x:v>
      </x:c>
      <x:c r="P78" s="4" t="str">
        <x:f>'Evaluation Plan'!P78</x:f>
        <x:v>Empty</x:v>
      </x:c>
      <x:c r="Q78" s="5" t="str">
        <x:f>'Evaluation Plan'!Q78</x:f>
        <x:v>Primary held-out state-object composition</x:v>
      </x:c>
      <x:c r="R78" s="4" t="n">
        <x:f>'Evaluation Plan'!R78</x:f>
        <x:v>3</x:v>
      </x:c>
      <x:c r="S78" s="5" t="str">
        <x:f>'Evaluation Plan'!S78</x:f>
        <x:v>Build the listed same-category discrimination scene with the bowl empty.</x:v>
      </x:c>
      <x:c r="T78" s="5" t="str">
        <x:f>'Evaluation Plan'!T78</x:f>
        <x:v>Two same-category candidates share the non-queried state axis; only the held-out state word identifies the target. The orthogonal orientation axis is fixed: every object is RU.</x:v>
      </x:c>
      <x:c r="U78" s="5" t="n">
        <x:f>'Evaluation Plan'!U78</x:f>
        <x:v>0</x:v>
      </x:c>
    </x:row>
    <x:row r="79" ht="51" customHeight="1">
      <x:c r="A79" s="13" t="s">
        <x:v>181</x:v>
      </x:c>
      <x:c r="B79" s="14" t="n">
        <x:f>'Evaluation Plan'!B79</x:f>
        <x:v>77</x:v>
      </x:c>
      <x:c r="C79" s="13" t="str">
        <x:f>'Evaluation Plan'!C79</x:f>
        <x:v>Move a brown cup into the bowl.</x:v>
      </x:c>
      <x:c r="D79" s="13" t="str">
        <x:f>'Evaluation Plan'!D79</x:f>
        <x:v>brown cup A (C, RU); white cup A (O, RU)</x:v>
      </x:c>
      <x:c r="E79" s="14" t="n">
        <x:f>'Evaluation Plan'!E79</x:f>
        <x:v>76</x:v>
      </x:c>
      <x:c r="F79" s="14" t="n">
        <x:f>'Evaluation Plan'!F79</x:f>
        <x:v>105</x:v>
      </x:c>
      <x:c r="G79" s="13" t="str">
        <x:f>'Evaluation Plan'!G79</x:f>
        <x:v>Exact direct-category manipulation prompt from training episode 105. The transfer target, state, and pose are preserved; only the competing brown cup is replaced by white cup A. The full control scene is upright because its paired transfer instruction queries open/closed.</x:v>
      </x:c>
      <x:c r="H79" s="13" t="str">
        <x:f>'Evaluation Plan'!H79</x:f>
        <x:v>brown cup A</x:v>
      </x:c>
      <x:c r="I79" s="13"/>
      <x:c r="J79" s="15" t="str">
        <x:f>'Evaluation Plan'!J79</x:f>
        <x:v>Matched manipulation control</x:v>
      </x:c>
      <x:c r="K79" s="14" t="str">
        <x:f>'Evaluation Plan'!K79</x:f>
        <x:v>SR-CT19</x:v>
      </x:c>
      <x:c r="L79" s="14" t="str">
        <x:f>'Evaluation Plan'!L79</x:f>
        <x:v>N/A</x:v>
      </x:c>
      <x:c r="M79" s="14" t="str">
        <x:f>'Evaluation Plan'!M79</x:f>
        <x:v>brown cup</x:v>
      </x:c>
      <x:c r="N79" s="14" t="n">
        <x:f>'Evaluation Plan'!N79</x:f>
        <x:v>2</x:v>
      </x:c>
      <x:c r="O79" s="14" t="n">
        <x:f>'Evaluation Plan'!O79</x:f>
        <x:v>1</x:v>
      </x:c>
      <x:c r="P79" s="14" t="str">
        <x:f>'Evaluation Plan'!P79</x:f>
        <x:v>Empty</x:v>
      </x:c>
      <x:c r="Q79" s="13" t="str">
        <x:f>'Evaluation Plan'!Q79</x:f>
        <x:v>One-object-substitution direct-category control</x:v>
      </x:c>
      <x:c r="R79" s="14" t="n">
        <x:f>'Evaluation Plan'!R79</x:f>
        <x:v>3</x:v>
      </x:c>
      <x:c r="S79" s="13" t="str">
        <x:f>'Evaluation Plan'!S79</x:f>
        <x:v>Reset brown cup A to its transfer pose. Replace brown cup B with white cup A in the same location and use the states listed in this row; preserve all other objects.</x:v>
      </x:c>
      <x:c r="T79" s="13" t="str">
        <x:f>'Evaluation Plan'!T79</x:f>
        <x:v>Pure recognition/manipulation control: the prompt uniquely names the only object from the target category, while the physical target remains identical to the transfer row. Every object is RU.</x:v>
      </x:c>
      <x:c r="U79" s="13" t="n">
        <x:f>'Evaluation Plan'!U79</x:f>
        <x:v>0</x:v>
      </x:c>
    </x:row>
    <x:row r="80" ht="51" customHeight="1">
      <x:c r="A80" s="5" t="s">
        <x:v>181</x:v>
      </x:c>
      <x:c r="B80" s="4" t="n">
        <x:f>'Evaluation Plan'!B80</x:f>
        <x:v>78</x:v>
      </x:c>
      <x:c r="C80" s="5" t="str">
        <x:f>'Evaluation Plan'!C80</x:f>
        <x:v>Place the upright glass spice container in the bowl.</x:v>
      </x:c>
      <x:c r="D80" s="5" t="str">
        <x:f>'Evaluation Plan'!D80</x:f>
        <x:v>glass spice container B (C, RU); glass spice container A (C, UD); yellow-white striped cup B (O, UD)</x:v>
      </x:c>
      <x:c r="E80" s="4" t="n">
        <x:f>'Evaluation Plan'!E80</x:f>
        <x:v>0</x:v>
      </x:c>
      <x:c r="F80" s="4" t="str">
        <x:f>'Evaluation Plan'!F80</x:f>
        <x:v>179</x:v>
      </x:c>
      <x:c r="G80" s="5" t="str">
        <x:f>'Evaluation Plan'!G80</x:f>
        <x:v>Physical-state and manipulation-trajectory reference under a direct category prompt; the evaluated state word × object-category cell is intentionally absent from training.</x:v>
      </x:c>
      <x:c r="H80" s="5" t="str">
        <x:f>'Evaluation Plan'!H80</x:f>
        <x:v>glass spice container B</x:v>
      </x:c>
      <x:c r="I80" s="5"/>
      <x:c r="J80" s="12" t="str">
        <x:f>'Evaluation Plan'!J80</x:f>
        <x:v>Concept/compositional transfer</x:v>
      </x:c>
      <x:c r="K80" s="4" t="str">
        <x:f>'Evaluation Plan'!K80</x:f>
        <x:v>SR-CT20</x:v>
      </x:c>
      <x:c r="L80" s="4" t="str">
        <x:f>'Evaluation Plan'!L80</x:f>
        <x:v>RU</x:v>
      </x:c>
      <x:c r="M80" s="4" t="str">
        <x:f>'Evaluation Plan'!M80</x:f>
        <x:v>glass spice container</x:v>
      </x:c>
      <x:c r="N80" s="4" t="n">
        <x:f>'Evaluation Plan'!N80</x:f>
        <x:v>3</x:v>
      </x:c>
      <x:c r="O80" s="4" t="n">
        <x:f>'Evaluation Plan'!O80</x:f>
        <x:v>1</x:v>
      </x:c>
      <x:c r="P80" s="4" t="str">
        <x:f>'Evaluation Plan'!P80</x:f>
        <x:v>Empty</x:v>
      </x:c>
      <x:c r="Q80" s="5" t="str">
        <x:f>'Evaluation Plan'!Q80</x:f>
        <x:v>Primary held-out state-object composition</x:v>
      </x:c>
      <x:c r="R80" s="4" t="n">
        <x:f>'Evaluation Plan'!R80</x:f>
        <x:v>3</x:v>
      </x:c>
      <x:c r="S80" s="5" t="str">
        <x:f>'Evaluation Plan'!S80</x:f>
        <x:v>Build the listed same-category discrimination scene with the bowl empty.</x:v>
      </x:c>
      <x:c r="T80" s="5" t="str">
        <x:f>'Evaluation Plan'!T80</x:f>
        <x:v>Two same-category candidates share the non-queried state axis; only the held-out state word identifies the target. The same-category candidates share the orthogonal C/O state (C).</x:v>
      </x:c>
      <x:c r="U80" s="5" t="n">
        <x:f>'Evaluation Plan'!U80</x:f>
        <x:v>0</x:v>
      </x:c>
    </x:row>
    <x:row r="81" ht="51" customHeight="1">
      <x:c r="A81" s="13" t="s">
        <x:v>181</x:v>
      </x:c>
      <x:c r="B81" s="14" t="n">
        <x:f>'Evaluation Plan'!B81</x:f>
        <x:v>79</x:v>
      </x:c>
      <x:c r="C81" s="13" t="str">
        <x:f>'Evaluation Plan'!C81</x:f>
        <x:v>Put a glass spice container in the bowl.</x:v>
      </x:c>
      <x:c r="D81" s="13" t="str">
        <x:f>'Evaluation Plan'!D81</x:f>
        <x:v>glass spice container B (C, RU); brown cup B (C, UD); yellow-white striped cup B (O, UD)</x:v>
      </x:c>
      <x:c r="E81" s="14" t="n">
        <x:f>'Evaluation Plan'!E81</x:f>
        <x:v>78</x:v>
      </x:c>
      <x:c r="F81" s="14" t="n">
        <x:f>'Evaluation Plan'!F81</x:f>
        <x:v>179</x:v>
      </x:c>
      <x:c r="G81" s="13" t="str">
        <x:f>'Evaluation Plan'!G81</x:f>
        <x:v>Exact direct-category manipulation prompt from training episode 179. The transfer target, state, and pose are preserved; only the competing glass spice container is replaced by brown cup B.</x:v>
      </x:c>
      <x:c r="H81" s="13" t="str">
        <x:f>'Evaluation Plan'!H81</x:f>
        <x:v>glass spice container B</x:v>
      </x:c>
      <x:c r="I81" s="13"/>
      <x:c r="J81" s="15" t="str">
        <x:f>'Evaluation Plan'!J81</x:f>
        <x:v>Matched manipulation control</x:v>
      </x:c>
      <x:c r="K81" s="14" t="str">
        <x:f>'Evaluation Plan'!K81</x:f>
        <x:v>SR-CT20</x:v>
      </x:c>
      <x:c r="L81" s="14" t="str">
        <x:f>'Evaluation Plan'!L81</x:f>
        <x:v>N/A</x:v>
      </x:c>
      <x:c r="M81" s="14" t="str">
        <x:f>'Evaluation Plan'!M81</x:f>
        <x:v>glass spice container</x:v>
      </x:c>
      <x:c r="N81" s="14" t="n">
        <x:f>'Evaluation Plan'!N81</x:f>
        <x:v>3</x:v>
      </x:c>
      <x:c r="O81" s="14" t="n">
        <x:f>'Evaluation Plan'!O81</x:f>
        <x:v>1</x:v>
      </x:c>
      <x:c r="P81" s="14" t="str">
        <x:f>'Evaluation Plan'!P81</x:f>
        <x:v>Empty</x:v>
      </x:c>
      <x:c r="Q81" s="13" t="str">
        <x:f>'Evaluation Plan'!Q81</x:f>
        <x:v>One-object-substitution direct-category control</x:v>
      </x:c>
      <x:c r="R81" s="14" t="n">
        <x:f>'Evaluation Plan'!R81</x:f>
        <x:v>3</x:v>
      </x:c>
      <x:c r="S81" s="13" t="str">
        <x:f>'Evaluation Plan'!S81</x:f>
        <x:v>Reset glass spice container B to its transfer pose. Replace glass spice container A with brown cup B in the same location and use the states listed in this row; preserve all other objects.</x:v>
      </x:c>
      <x:c r="T81" s="13" t="str">
        <x:f>'Evaluation Plan'!T81</x:f>
        <x:v>Pure recognition/manipulation control: the prompt uniquely names the only object from the target category, while the physical target remains identical to the transfer row.</x:v>
      </x:c>
      <x:c r="U81" s="13" t="n">
        <x:f>'Evaluation Plan'!U81</x:f>
        <x:v>0</x:v>
      </x:c>
    </x:row>
    <x:row r="82" ht="51" customHeight="1">
      <x:c r="A82" s="5" t="s">
        <x:v>181</x:v>
      </x:c>
      <x:c r="B82" s="4" t="n">
        <x:f>'Evaluation Plan'!B82</x:f>
        <x:v>80</x:v>
      </x:c>
      <x:c r="C82" s="5" t="str">
        <x:f>'Evaluation Plan'!C82</x:f>
        <x:v>Place the upside-down white cup in the bowl.</x:v>
      </x:c>
      <x:c r="D82" s="5" t="str">
        <x:f>'Evaluation Plan'!D82</x:f>
        <x:v>white cup A (O, UD); white cup B (O, RU); glass spice container A (C, RU); yellow-white striped cup B (O, RU)</x:v>
      </x:c>
      <x:c r="E82" s="4" t="n">
        <x:f>'Evaluation Plan'!E82</x:f>
        <x:v>0</x:v>
      </x:c>
      <x:c r="F82" s="4" t="str">
        <x:f>'Evaluation Plan'!F82</x:f>
        <x:v>34</x:v>
      </x:c>
      <x:c r="G82" s="5" t="str">
        <x:f>'Evaluation Plan'!G82</x:f>
        <x:v>Physical-state and manipulation-trajectory reference under a direct category prompt; the evaluated state word × object-category cell is intentionally absent from training.</x:v>
      </x:c>
      <x:c r="H82" s="5" t="str">
        <x:f>'Evaluation Plan'!H82</x:f>
        <x:v>white cup A</x:v>
      </x:c>
      <x:c r="I82" s="5"/>
      <x:c r="J82" s="12" t="str">
        <x:f>'Evaluation Plan'!J82</x:f>
        <x:v>Concept/compositional transfer</x:v>
      </x:c>
      <x:c r="K82" s="4" t="str">
        <x:f>'Evaluation Plan'!K82</x:f>
        <x:v>SR-CT21</x:v>
      </x:c>
      <x:c r="L82" s="4" t="str">
        <x:f>'Evaluation Plan'!L82</x:f>
        <x:v>UD</x:v>
      </x:c>
      <x:c r="M82" s="4" t="str">
        <x:f>'Evaluation Plan'!M82</x:f>
        <x:v>white cup</x:v>
      </x:c>
      <x:c r="N82" s="4" t="n">
        <x:f>'Evaluation Plan'!N82</x:f>
        <x:v>4</x:v>
      </x:c>
      <x:c r="O82" s="4" t="n">
        <x:f>'Evaluation Plan'!O82</x:f>
        <x:v>1</x:v>
      </x:c>
      <x:c r="P82" s="4" t="str">
        <x:f>'Evaluation Plan'!P82</x:f>
        <x:v>Empty</x:v>
      </x:c>
      <x:c r="Q82" s="5" t="str">
        <x:f>'Evaluation Plan'!Q82</x:f>
        <x:v>Primary held-out state-object composition</x:v>
      </x:c>
      <x:c r="R82" s="4" t="n">
        <x:f>'Evaluation Plan'!R82</x:f>
        <x:v>4</x:v>
      </x:c>
      <x:c r="S82" s="5" t="str">
        <x:f>'Evaluation Plan'!S82</x:f>
        <x:v>Build the listed same-category discrimination scene with the bowl empty.</x:v>
      </x:c>
      <x:c r="T82" s="5" t="str">
        <x:f>'Evaluation Plan'!T82</x:f>
        <x:v>Two same-category candidates share the non-queried state axis; only the held-out state word identifies the target. The same-category candidates share the orthogonal C/O state (O).</x:v>
      </x:c>
      <x:c r="U82" s="5" t="n">
        <x:f>'Evaluation Plan'!U82</x:f>
        <x:v>0</x:v>
      </x:c>
    </x:row>
    <x:row r="83" ht="51" customHeight="1">
      <x:c r="A83" s="11" t="s">
        <x:v>181</x:v>
      </x:c>
      <x:c r="B83" s="10" t="n">
        <x:f>'Evaluation Plan'!B83</x:f>
        <x:v>81</x:v>
      </x:c>
      <x:c r="C83" s="11" t="str">
        <x:f>'Evaluation Plan'!C83</x:f>
        <x:v>Place the open yellow-white striped cup in the bowl.</x:v>
      </x:c>
      <x:c r="D83" s="11" t="str">
        <x:f>'Evaluation Plan'!D83</x:f>
        <x:v>yellow-white striped cup B (O, RU); yellow-white striped cup A (C, RU)</x:v>
      </x:c>
      <x:c r="E83" s="10" t="n">
        <x:f>'Evaluation Plan'!E83</x:f>
        <x:v>0</x:v>
      </x:c>
      <x:c r="F83" s="10" t="str">
        <x:f>'Evaluation Plan'!F83</x:f>
        <x:v>53</x:v>
      </x:c>
      <x:c r="G83" s="11" t="str">
        <x:f>'Evaluation Plan'!G83</x:f>
        <x:v>Physical-state and manipulation-trajectory reference under a direct category prompt; the evaluated state word × object-category cell is intentionally absent from training. All objects are upright, matching the context of every explicit open/closed training demonstration.</x:v>
      </x:c>
      <x:c r="H83" s="11" t="str">
        <x:f>'Evaluation Plan'!H83</x:f>
        <x:v>yellow-white striped cup B</x:v>
      </x:c>
      <x:c r="I83" s="11"/>
      <x:c r="J83" s="12" t="str">
        <x:f>'Evaluation Plan'!J83</x:f>
        <x:v>Concept/compositional transfer</x:v>
      </x:c>
      <x:c r="K83" s="10" t="str">
        <x:f>'Evaluation Plan'!K83</x:f>
        <x:v>SR-CT22</x:v>
      </x:c>
      <x:c r="L83" s="10" t="str">
        <x:f>'Evaluation Plan'!L83</x:f>
        <x:v>O</x:v>
      </x:c>
      <x:c r="M83" s="10" t="str">
        <x:f>'Evaluation Plan'!M83</x:f>
        <x:v>yellow-white striped cup</x:v>
      </x:c>
      <x:c r="N83" s="10" t="n">
        <x:f>'Evaluation Plan'!N83</x:f>
        <x:v>2</x:v>
      </x:c>
      <x:c r="O83" s="10" t="n">
        <x:f>'Evaluation Plan'!O83</x:f>
        <x:v>1</x:v>
      </x:c>
      <x:c r="P83" s="10" t="str">
        <x:f>'Evaluation Plan'!P83</x:f>
        <x:v>Empty</x:v>
      </x:c>
      <x:c r="Q83" s="11" t="str">
        <x:f>'Evaluation Plan'!Q83</x:f>
        <x:v>Primary held-out state-object composition</x:v>
      </x:c>
      <x:c r="R83" s="10" t="n">
        <x:f>'Evaluation Plan'!R83</x:f>
        <x:v>4</x:v>
      </x:c>
      <x:c r="S83" s="11" t="str">
        <x:f>'Evaluation Plan'!S83</x:f>
        <x:v>Build the listed same-category discrimination scene with the bowl empty.</x:v>
      </x:c>
      <x:c r="T83" s="11" t="str">
        <x:f>'Evaluation Plan'!T83</x:f>
        <x:v>Two same-category candidates share the non-queried state axis; only the held-out state word identifies the target. The orthogonal orientation axis is fixed: every object is RU.</x:v>
      </x:c>
      <x:c r="U83" s="11" t="n">
        <x:f>'Evaluation Plan'!U83</x:f>
        <x:v>0</x:v>
      </x:c>
    </x:row>
    <x:row r="84" ht="51" customHeight="1">
      <x:c r="A84" s="5" t="s">
        <x:v>181</x:v>
      </x:c>
      <x:c r="B84" s="4" t="n">
        <x:f>'Evaluation Plan'!B84</x:f>
        <x:v>82</x:v>
      </x:c>
      <x:c r="C84" s="5" t="str">
        <x:f>'Evaluation Plan'!C84</x:f>
        <x:v>Place the closed brown cup in the bowl.</x:v>
      </x:c>
      <x:c r="D84" s="5" t="str">
        <x:f>'Evaluation Plan'!D84</x:f>
        <x:v>brown cup A (C, RU); brown cup B (O, RU); yellow-white striped cup A (C, RU)</x:v>
      </x:c>
      <x:c r="E84" s="4" t="n">
        <x:f>'Evaluation Plan'!E84</x:f>
        <x:v>0</x:v>
      </x:c>
      <x:c r="F84" s="4" t="str">
        <x:f>'Evaluation Plan'!F84</x:f>
        <x:v>107</x:v>
      </x:c>
      <x:c r="G84" s="5" t="str">
        <x:f>'Evaluation Plan'!G84</x:f>
        <x:v>Physical-state and manipulation-trajectory reference under a direct category prompt; the evaluated state word × object-category cell is intentionally absent from training. All objects are upright, matching the context of every explicit open/closed training demonstration.</x:v>
      </x:c>
      <x:c r="H84" s="5" t="str">
        <x:f>'Evaluation Plan'!H84</x:f>
        <x:v>brown cup A</x:v>
      </x:c>
      <x:c r="I84" s="5"/>
      <x:c r="J84" s="12" t="str">
        <x:f>'Evaluation Plan'!J84</x:f>
        <x:v>Concept/compositional transfer</x:v>
      </x:c>
      <x:c r="K84" s="4" t="str">
        <x:f>'Evaluation Plan'!K84</x:f>
        <x:v>SR-CT23</x:v>
      </x:c>
      <x:c r="L84" s="4" t="str">
        <x:f>'Evaluation Plan'!L84</x:f>
        <x:v>C</x:v>
      </x:c>
      <x:c r="M84" s="4" t="str">
        <x:f>'Evaluation Plan'!M84</x:f>
        <x:v>brown cup</x:v>
      </x:c>
      <x:c r="N84" s="4" t="n">
        <x:f>'Evaluation Plan'!N84</x:f>
        <x:v>3</x:v>
      </x:c>
      <x:c r="O84" s="4" t="n">
        <x:f>'Evaluation Plan'!O84</x:f>
        <x:v>1</x:v>
      </x:c>
      <x:c r="P84" s="4" t="str">
        <x:f>'Evaluation Plan'!P84</x:f>
        <x:v>Empty</x:v>
      </x:c>
      <x:c r="Q84" s="5" t="str">
        <x:f>'Evaluation Plan'!Q84</x:f>
        <x:v>Primary held-out state-object composition</x:v>
      </x:c>
      <x:c r="R84" s="4" t="n">
        <x:f>'Evaluation Plan'!R84</x:f>
        <x:v>4</x:v>
      </x:c>
      <x:c r="S84" s="5" t="str">
        <x:f>'Evaluation Plan'!S84</x:f>
        <x:v>Build the listed same-category discrimination scene with the bowl empty.</x:v>
      </x:c>
      <x:c r="T84" s="5" t="str">
        <x:f>'Evaluation Plan'!T84</x:f>
        <x:v>Two same-category candidates share the non-queried state axis; only the held-out state word identifies the target. The orthogonal orientation axis is fixed: every object is RU.</x:v>
      </x:c>
      <x:c r="U84" s="5" t="n">
        <x:f>'Evaluation Plan'!U84</x:f>
        <x:v>0</x:v>
      </x:c>
    </x:row>
    <x:row r="85" ht="51" customHeight="1">
      <x:c r="A85" s="11" t="s">
        <x:v>181</x:v>
      </x:c>
      <x:c r="B85" s="10" t="n">
        <x:f>'Evaluation Plan'!B85</x:f>
        <x:v>83</x:v>
      </x:c>
      <x:c r="C85" s="11" t="str">
        <x:f>'Evaluation Plan'!C85</x:f>
        <x:v>Place the upright glass spice container in the bowl.</x:v>
      </x:c>
      <x:c r="D85" s="11" t="str">
        <x:f>'Evaluation Plan'!D85</x:f>
        <x:v>glass spice container B (O, RU); glass spice container A (O, UD); brown cup B (O, UD); white cup A (C, RU)</x:v>
      </x:c>
      <x:c r="E85" s="10" t="n">
        <x:f>'Evaluation Plan'!E85</x:f>
        <x:v>0</x:v>
      </x:c>
      <x:c r="F85" s="10" t="str">
        <x:f>'Evaluation Plan'!F85</x:f>
        <x:v>183</x:v>
      </x:c>
      <x:c r="G85" s="11" t="str">
        <x:f>'Evaluation Plan'!G85</x:f>
        <x:v>Physical-state and manipulation-trajectory reference under a direct category prompt; the evaluated state word × object-category cell is intentionally absent from training.</x:v>
      </x:c>
      <x:c r="H85" s="11" t="str">
        <x:f>'Evaluation Plan'!H85</x:f>
        <x:v>glass spice container B</x:v>
      </x:c>
      <x:c r="I85" s="11"/>
      <x:c r="J85" s="12" t="str">
        <x:f>'Evaluation Plan'!J85</x:f>
        <x:v>Concept/compositional transfer</x:v>
      </x:c>
      <x:c r="K85" s="10" t="str">
        <x:f>'Evaluation Plan'!K85</x:f>
        <x:v>SR-CT24</x:v>
      </x:c>
      <x:c r="L85" s="10" t="str">
        <x:f>'Evaluation Plan'!L85</x:f>
        <x:v>RU</x:v>
      </x:c>
      <x:c r="M85" s="10" t="str">
        <x:f>'Evaluation Plan'!M85</x:f>
        <x:v>glass spice container</x:v>
      </x:c>
      <x:c r="N85" s="10" t="n">
        <x:f>'Evaluation Plan'!N85</x:f>
        <x:v>4</x:v>
      </x:c>
      <x:c r="O85" s="10" t="n">
        <x:f>'Evaluation Plan'!O85</x:f>
        <x:v>1</x:v>
      </x:c>
      <x:c r="P85" s="10" t="str">
        <x:f>'Evaluation Plan'!P85</x:f>
        <x:v>Empty</x:v>
      </x:c>
      <x:c r="Q85" s="11" t="str">
        <x:f>'Evaluation Plan'!Q85</x:f>
        <x:v>Primary held-out state-object composition</x:v>
      </x:c>
      <x:c r="R85" s="10" t="n">
        <x:f>'Evaluation Plan'!R85</x:f>
        <x:v>4</x:v>
      </x:c>
      <x:c r="S85" s="11" t="str">
        <x:f>'Evaluation Plan'!S85</x:f>
        <x:v>Build the listed same-category discrimination scene with the bowl empty.</x:v>
      </x:c>
      <x:c r="T85" s="11" t="str">
        <x:f>'Evaluation Plan'!T85</x:f>
        <x:v>Two same-category candidates share the non-queried state axis; only the held-out state word identifies the target. The same-category candidates share the orthogonal C/O state (O).</x:v>
      </x:c>
      <x:c r="U85" s="11" t="n">
        <x:f>'Evaluation Plan'!U85</x:f>
        <x:v>0</x:v>
      </x:c>
    </x:row>
    <x:row r="86" ht="51" customHeight="1">
      <x:c r="A86" s="5" t="s">
        <x:v>181</x:v>
      </x:c>
      <x:c r="B86" s="4" t="n">
        <x:f>'Evaluation Plan'!B86</x:f>
        <x:v>84</x:v>
      </x:c>
      <x:c r="C86" s="5" t="str">
        <x:f>'Evaluation Plan'!C86</x:f>
        <x:v>Place the upside-down white cup in the bowl.</x:v>
      </x:c>
      <x:c r="D86" s="5" t="str">
        <x:f>'Evaluation Plan'!D86</x:f>
        <x:v>white cup A (C, UD); white cup B (C, RU)</x:v>
      </x:c>
      <x:c r="E86" s="4" t="n">
        <x:f>'Evaluation Plan'!E86</x:f>
        <x:v>0</x:v>
      </x:c>
      <x:c r="F86" s="4" t="str">
        <x:f>'Evaluation Plan'!F86</x:f>
        <x:v>39</x:v>
      </x:c>
      <x:c r="G86" s="5" t="str">
        <x:f>'Evaluation Plan'!G86</x:f>
        <x:v>Physical-state and manipulation-trajectory reference under a direct category prompt; the evaluated state word × object-category cell is intentionally absent from training.</x:v>
      </x:c>
      <x:c r="H86" s="5" t="str">
        <x:f>'Evaluation Plan'!H86</x:f>
        <x:v>white cup A</x:v>
      </x:c>
      <x:c r="I86" s="5"/>
      <x:c r="J86" s="12" t="str">
        <x:f>'Evaluation Plan'!J86</x:f>
        <x:v>Concept/compositional transfer</x:v>
      </x:c>
      <x:c r="K86" s="4" t="str">
        <x:f>'Evaluation Plan'!K86</x:f>
        <x:v>SR-CT25</x:v>
      </x:c>
      <x:c r="L86" s="4" t="str">
        <x:f>'Evaluation Plan'!L86</x:f>
        <x:v>UD</x:v>
      </x:c>
      <x:c r="M86" s="4" t="str">
        <x:f>'Evaluation Plan'!M86</x:f>
        <x:v>white cup</x:v>
      </x:c>
      <x:c r="N86" s="4" t="n">
        <x:f>'Evaluation Plan'!N86</x:f>
        <x:v>2</x:v>
      </x:c>
      <x:c r="O86" s="4" t="n">
        <x:f>'Evaluation Plan'!O86</x:f>
        <x:v>1</x:v>
      </x:c>
      <x:c r="P86" s="4" t="str">
        <x:f>'Evaluation Plan'!P86</x:f>
        <x:v>Empty</x:v>
      </x:c>
      <x:c r="Q86" s="5" t="str">
        <x:f>'Evaluation Plan'!Q86</x:f>
        <x:v>Primary held-out state-object composition</x:v>
      </x:c>
      <x:c r="R86" s="4" t="n">
        <x:f>'Evaluation Plan'!R86</x:f>
        <x:v>4</x:v>
      </x:c>
      <x:c r="S86" s="5" t="str">
        <x:f>'Evaluation Plan'!S86</x:f>
        <x:v>Build the listed same-category discrimination scene with the bowl empty.</x:v>
      </x:c>
      <x:c r="T86" s="5" t="str">
        <x:f>'Evaluation Plan'!T86</x:f>
        <x:v>Two same-category candidates share the non-queried state axis; only the held-out state word identifies the target. The same-category candidates share the orthogonal C/O state (C).</x:v>
      </x:c>
      <x:c r="U86" s="5" t="n">
        <x:f>'Evaluation Plan'!U86</x:f>
        <x:v>0</x:v>
      </x:c>
    </x:row>
    <x:row r="87" ht="51" customHeight="1">
      <x:c r="A87" s="11" t="s">
        <x:v>181</x:v>
      </x:c>
      <x:c r="B87" s="10" t="n">
        <x:f>'Evaluation Plan'!B87</x:f>
        <x:v>85</x:v>
      </x:c>
      <x:c r="C87" s="11" t="str">
        <x:f>'Evaluation Plan'!C87</x:f>
        <x:v>Place the open yellow-white striped cup in the bowl.</x:v>
      </x:c>
      <x:c r="D87" s="11" t="str">
        <x:f>'Evaluation Plan'!D87</x:f>
        <x:v>yellow-white striped cup B (O, RU); yellow-white striped cup A (C, RU); brown cup B (O, RU)</x:v>
      </x:c>
      <x:c r="E87" s="10" t="n">
        <x:f>'Evaluation Plan'!E87</x:f>
        <x:v>0</x:v>
      </x:c>
      <x:c r="F87" s="10" t="str">
        <x:f>'Evaluation Plan'!F87</x:f>
        <x:v>64</x:v>
      </x:c>
      <x:c r="G87" s="11" t="str">
        <x:f>'Evaluation Plan'!G87</x:f>
        <x:v>Physical-state and manipulation-trajectory reference under a direct category prompt; the evaluated state word × object-category cell is intentionally absent from training. All objects are upright, matching the context of every explicit open/closed training demonstration.</x:v>
      </x:c>
      <x:c r="H87" s="11" t="str">
        <x:f>'Evaluation Plan'!H87</x:f>
        <x:v>yellow-white striped cup B</x:v>
      </x:c>
      <x:c r="I87" s="11"/>
      <x:c r="J87" s="12" t="str">
        <x:f>'Evaluation Plan'!J87</x:f>
        <x:v>Concept/compositional transfer</x:v>
      </x:c>
      <x:c r="K87" s="10" t="str">
        <x:f>'Evaluation Plan'!K87</x:f>
        <x:v>SR-CT26</x:v>
      </x:c>
      <x:c r="L87" s="10" t="str">
        <x:f>'Evaluation Plan'!L87</x:f>
        <x:v>O</x:v>
      </x:c>
      <x:c r="M87" s="10" t="str">
        <x:f>'Evaluation Plan'!M87</x:f>
        <x:v>yellow-white striped cup</x:v>
      </x:c>
      <x:c r="N87" s="10" t="n">
        <x:f>'Evaluation Plan'!N87</x:f>
        <x:v>3</x:v>
      </x:c>
      <x:c r="O87" s="10" t="n">
        <x:f>'Evaluation Plan'!O87</x:f>
        <x:v>1</x:v>
      </x:c>
      <x:c r="P87" s="10" t="str">
        <x:f>'Evaluation Plan'!P87</x:f>
        <x:v>Empty</x:v>
      </x:c>
      <x:c r="Q87" s="11" t="str">
        <x:f>'Evaluation Plan'!Q87</x:f>
        <x:v>Primary held-out state-object composition</x:v>
      </x:c>
      <x:c r="R87" s="10" t="n">
        <x:f>'Evaluation Plan'!R87</x:f>
        <x:v>4</x:v>
      </x:c>
      <x:c r="S87" s="11" t="str">
        <x:f>'Evaluation Plan'!S87</x:f>
        <x:v>Build the listed same-category discrimination scene with the bowl empty.</x:v>
      </x:c>
      <x:c r="T87" s="11" t="str">
        <x:f>'Evaluation Plan'!T87</x:f>
        <x:v>Two same-category candidates share the non-queried state axis; only the held-out state word identifies the target. The orthogonal orientation axis is fixed: every object is RU.</x:v>
      </x:c>
      <x:c r="U87" s="11" t="n">
        <x:f>'Evaluation Plan'!U87</x:f>
        <x:v>0</x:v>
      </x:c>
    </x:row>
    <x:row r="88" ht="51" customHeight="1">
      <x:c r="A88" s="5" t="s">
        <x:v>181</x:v>
      </x:c>
      <x:c r="B88" s="4" t="n">
        <x:f>'Evaluation Plan'!B88</x:f>
        <x:v>86</x:v>
      </x:c>
      <x:c r="C88" s="5" t="str">
        <x:f>'Evaluation Plan'!C88</x:f>
        <x:v>Place the closed brown cup in the bowl.</x:v>
      </x:c>
      <x:c r="D88" s="5" t="str">
        <x:f>'Evaluation Plan'!D88</x:f>
        <x:v>brown cup A (C, RU); brown cup B (O, RU); glass spice container A (C, RU); white cup B (O, RU)</x:v>
      </x:c>
      <x:c r="E88" s="4" t="n">
        <x:f>'Evaluation Plan'!E88</x:f>
        <x:v>0</x:v>
      </x:c>
      <x:c r="F88" s="4" t="str">
        <x:f>'Evaluation Plan'!F88</x:f>
        <x:v>143</x:v>
      </x:c>
      <x:c r="G88" s="5" t="str">
        <x:f>'Evaluation Plan'!G88</x:f>
        <x:v>Physical-state and manipulation-trajectory reference under a direct category prompt; the evaluated state word × object-category cell is intentionally absent from training. All objects are upright, matching the context of every explicit open/closed training demonstration.</x:v>
      </x:c>
      <x:c r="H88" s="5" t="str">
        <x:f>'Evaluation Plan'!H88</x:f>
        <x:v>brown cup A</x:v>
      </x:c>
      <x:c r="I88" s="5"/>
      <x:c r="J88" s="12" t="str">
        <x:f>'Evaluation Plan'!J88</x:f>
        <x:v>Concept/compositional transfer</x:v>
      </x:c>
      <x:c r="K88" s="4" t="str">
        <x:f>'Evaluation Plan'!K88</x:f>
        <x:v>SR-CT27</x:v>
      </x:c>
      <x:c r="L88" s="4" t="str">
        <x:f>'Evaluation Plan'!L88</x:f>
        <x:v>C</x:v>
      </x:c>
      <x:c r="M88" s="4" t="str">
        <x:f>'Evaluation Plan'!M88</x:f>
        <x:v>brown cup</x:v>
      </x:c>
      <x:c r="N88" s="4" t="n">
        <x:f>'Evaluation Plan'!N88</x:f>
        <x:v>4</x:v>
      </x:c>
      <x:c r="O88" s="4" t="n">
        <x:f>'Evaluation Plan'!O88</x:f>
        <x:v>1</x:v>
      </x:c>
      <x:c r="P88" s="4" t="str">
        <x:f>'Evaluation Plan'!P88</x:f>
        <x:v>Empty</x:v>
      </x:c>
      <x:c r="Q88" s="5" t="str">
        <x:f>'Evaluation Plan'!Q88</x:f>
        <x:v>Primary held-out state-object composition</x:v>
      </x:c>
      <x:c r="R88" s="4" t="n">
        <x:f>'Evaluation Plan'!R88</x:f>
        <x:v>4</x:v>
      </x:c>
      <x:c r="S88" s="5" t="str">
        <x:f>'Evaluation Plan'!S88</x:f>
        <x:v>Build the listed same-category discrimination scene with the bowl empty.</x:v>
      </x:c>
      <x:c r="T88" s="5" t="str">
        <x:f>'Evaluation Plan'!T88</x:f>
        <x:v>Two same-category candidates share the non-queried state axis; only the held-out state word identifies the target. The orthogonal orientation axis is fixed: every object is RU.</x:v>
      </x:c>
      <x:c r="U88" s="5" t="n">
        <x:f>'Evaluation Plan'!U88</x:f>
        <x:v>0</x:v>
      </x:c>
    </x:row>
    <x:row r="89" ht="51" customHeight="1">
      <x:c r="A89" s="11" t="s">
        <x:v>181</x:v>
      </x:c>
      <x:c r="B89" s="10" t="n">
        <x:f>'Evaluation Plan'!B89</x:f>
        <x:v>87</x:v>
      </x:c>
      <x:c r="C89" s="11" t="str">
        <x:f>'Evaluation Plan'!C89</x:f>
        <x:v>Place the upright glass spice container in the bowl.</x:v>
      </x:c>
      <x:c r="D89" s="11" t="str">
        <x:f>'Evaluation Plan'!D89</x:f>
        <x:v>glass spice container B (C, RU); glass spice container A (C, UD)</x:v>
      </x:c>
      <x:c r="E89" s="10" t="n">
        <x:f>'Evaluation Plan'!E89</x:f>
        <x:v>0</x:v>
      </x:c>
      <x:c r="F89" s="10" t="str">
        <x:f>'Evaluation Plan'!F89</x:f>
        <x:v>182</x:v>
      </x:c>
      <x:c r="G89" s="11" t="str">
        <x:f>'Evaluation Plan'!G89</x:f>
        <x:v>Physical-state and manipulation-trajectory reference under a direct category prompt; the evaluated state word × object-category cell is intentionally absent from training.</x:v>
      </x:c>
      <x:c r="H89" s="11" t="str">
        <x:f>'Evaluation Plan'!H89</x:f>
        <x:v>glass spice container B</x:v>
      </x:c>
      <x:c r="I89" s="11"/>
      <x:c r="J89" s="12" t="str">
        <x:f>'Evaluation Plan'!J89</x:f>
        <x:v>Concept/compositional transfer</x:v>
      </x:c>
      <x:c r="K89" s="10" t="str">
        <x:f>'Evaluation Plan'!K89</x:f>
        <x:v>SR-CT28</x:v>
      </x:c>
      <x:c r="L89" s="10" t="str">
        <x:f>'Evaluation Plan'!L89</x:f>
        <x:v>RU</x:v>
      </x:c>
      <x:c r="M89" s="10" t="str">
        <x:f>'Evaluation Plan'!M89</x:f>
        <x:v>glass spice container</x:v>
      </x:c>
      <x:c r="N89" s="10" t="n">
        <x:f>'Evaluation Plan'!N89</x:f>
        <x:v>2</x:v>
      </x:c>
      <x:c r="O89" s="10" t="n">
        <x:f>'Evaluation Plan'!O89</x:f>
        <x:v>1</x:v>
      </x:c>
      <x:c r="P89" s="10" t="str">
        <x:f>'Evaluation Plan'!P89</x:f>
        <x:v>Empty</x:v>
      </x:c>
      <x:c r="Q89" s="11" t="str">
        <x:f>'Evaluation Plan'!Q89</x:f>
        <x:v>Primary held-out state-object composition</x:v>
      </x:c>
      <x:c r="R89" s="10" t="n">
        <x:f>'Evaluation Plan'!R89</x:f>
        <x:v>4</x:v>
      </x:c>
      <x:c r="S89" s="11" t="str">
        <x:f>'Evaluation Plan'!S89</x:f>
        <x:v>Build the listed same-category discrimination scene with the bowl empty.</x:v>
      </x:c>
      <x:c r="T89" s="11" t="str">
        <x:f>'Evaluation Plan'!T89</x:f>
        <x:v>Two same-category candidates share the non-queried state axis; only the held-out state word identifies the target. The same-category candidates share the orthogonal C/O state (C).</x:v>
      </x:c>
      <x:c r="U89" s="11" t="n">
        <x:f>'Evaluation Plan'!U89</x:f>
        <x:v>0</x:v>
      </x:c>
    </x:row>
    <x:row r="90" ht="51" customHeight="1">
      <x:c r="A90" s="5" t="s">
        <x:v>181</x:v>
      </x:c>
      <x:c r="B90" s="4" t="n">
        <x:f>'Evaluation Plan'!B90</x:f>
        <x:v>88</x:v>
      </x:c>
      <x:c r="C90" s="5" t="str">
        <x:f>'Evaluation Plan'!C90</x:f>
        <x:v>Place the upside-down white cup in the bowl.</x:v>
      </x:c>
      <x:c r="D90" s="5" t="str">
        <x:f>'Evaluation Plan'!D90</x:f>
        <x:v>white cup A (O, UD); white cup B (O, RU); brown cup A (C, RU)</x:v>
      </x:c>
      <x:c r="E90" s="4" t="n">
        <x:f>'Evaluation Plan'!E90</x:f>
        <x:v>0</x:v>
      </x:c>
      <x:c r="F90" s="4" t="str">
        <x:f>'Evaluation Plan'!F90</x:f>
        <x:v>49</x:v>
      </x:c>
      <x:c r="G90" s="5" t="str">
        <x:f>'Evaluation Plan'!G90</x:f>
        <x:v>Physical-state and manipulation-trajectory reference under a direct category prompt; the evaluated state word × object-category cell is intentionally absent from training.</x:v>
      </x:c>
      <x:c r="H90" s="5" t="str">
        <x:f>'Evaluation Plan'!H90</x:f>
        <x:v>white cup A</x:v>
      </x:c>
      <x:c r="I90" s="5"/>
      <x:c r="J90" s="12" t="str">
        <x:f>'Evaluation Plan'!J90</x:f>
        <x:v>Concept/compositional transfer</x:v>
      </x:c>
      <x:c r="K90" s="4" t="str">
        <x:f>'Evaluation Plan'!K90</x:f>
        <x:v>SR-CT29</x:v>
      </x:c>
      <x:c r="L90" s="4" t="str">
        <x:f>'Evaluation Plan'!L90</x:f>
        <x:v>UD</x:v>
      </x:c>
      <x:c r="M90" s="4" t="str">
        <x:f>'Evaluation Plan'!M90</x:f>
        <x:v>white cup</x:v>
      </x:c>
      <x:c r="N90" s="4" t="n">
        <x:f>'Evaluation Plan'!N90</x:f>
        <x:v>3</x:v>
      </x:c>
      <x:c r="O90" s="4" t="n">
        <x:f>'Evaluation Plan'!O90</x:f>
        <x:v>1</x:v>
      </x:c>
      <x:c r="P90" s="4" t="str">
        <x:f>'Evaluation Plan'!P90</x:f>
        <x:v>Empty</x:v>
      </x:c>
      <x:c r="Q90" s="5" t="str">
        <x:f>'Evaluation Plan'!Q90</x:f>
        <x:v>Primary held-out state-object composition</x:v>
      </x:c>
      <x:c r="R90" s="4" t="n">
        <x:f>'Evaluation Plan'!R90</x:f>
        <x:v>4</x:v>
      </x:c>
      <x:c r="S90" s="5" t="str">
        <x:f>'Evaluation Plan'!S90</x:f>
        <x:v>Build the listed same-category discrimination scene with the bowl empty.</x:v>
      </x:c>
      <x:c r="T90" s="5" t="str">
        <x:f>'Evaluation Plan'!T90</x:f>
        <x:v>Two same-category candidates share the non-queried state axis; only the held-out state word identifies the target. The same-category candidates share the orthogonal C/O state (O).</x:v>
      </x:c>
      <x:c r="U90" s="5" t="n">
        <x:f>'Evaluation Plan'!U90</x:f>
        <x:v>0</x:v>
      </x:c>
    </x:row>
    <x:row r="91" ht="51" customHeight="1">
      <x:c r="A91" s="11" t="s">
        <x:v>181</x:v>
      </x:c>
      <x:c r="B91" s="10" t="n">
        <x:f>'Evaluation Plan'!B91</x:f>
        <x:v>89</x:v>
      </x:c>
      <x:c r="C91" s="11" t="str">
        <x:f>'Evaluation Plan'!C91</x:f>
        <x:v>Place the open yellow-white striped cup in the bowl.</x:v>
      </x:c>
      <x:c r="D91" s="11" t="str">
        <x:f>'Evaluation Plan'!D91</x:f>
        <x:v>yellow-white striped cup B (O, RU); yellow-white striped cup A (C, RU); glass spice container B (O, RU); white cup A (C, RU)</x:v>
      </x:c>
      <x:c r="E91" s="10" t="n">
        <x:f>'Evaluation Plan'!E91</x:f>
        <x:v>0</x:v>
      </x:c>
      <x:c r="F91" s="10" t="str">
        <x:f>'Evaluation Plan'!F91</x:f>
        <x:v>53</x:v>
      </x:c>
      <x:c r="G91" s="11" t="str">
        <x:f>'Evaluation Plan'!G91</x:f>
        <x:v>Physical-state and manipulation-trajectory reference under a direct category prompt; the evaluated state word × object-category cell is intentionally absent from training. All objects are upright, matching the context of every explicit open/closed training demonstration.</x:v>
      </x:c>
      <x:c r="H91" s="11" t="str">
        <x:f>'Evaluation Plan'!H91</x:f>
        <x:v>yellow-white striped cup B</x:v>
      </x:c>
      <x:c r="I91" s="11"/>
      <x:c r="J91" s="12" t="str">
        <x:f>'Evaluation Plan'!J91</x:f>
        <x:v>Concept/compositional transfer</x:v>
      </x:c>
      <x:c r="K91" s="10" t="str">
        <x:f>'Evaluation Plan'!K91</x:f>
        <x:v>SR-CT30</x:v>
      </x:c>
      <x:c r="L91" s="10" t="str">
        <x:f>'Evaluation Plan'!L91</x:f>
        <x:v>O</x:v>
      </x:c>
      <x:c r="M91" s="10" t="str">
        <x:f>'Evaluation Plan'!M91</x:f>
        <x:v>yellow-white striped cup</x:v>
      </x:c>
      <x:c r="N91" s="10" t="n">
        <x:f>'Evaluation Plan'!N91</x:f>
        <x:v>4</x:v>
      </x:c>
      <x:c r="O91" s="10" t="n">
        <x:f>'Evaluation Plan'!O91</x:f>
        <x:v>1</x:v>
      </x:c>
      <x:c r="P91" s="10" t="str">
        <x:f>'Evaluation Plan'!P91</x:f>
        <x:v>Empty</x:v>
      </x:c>
      <x:c r="Q91" s="11" t="str">
        <x:f>'Evaluation Plan'!Q91</x:f>
        <x:v>Primary held-out state-object composition</x:v>
      </x:c>
      <x:c r="R91" s="10" t="n">
        <x:f>'Evaluation Plan'!R91</x:f>
        <x:v>4</x:v>
      </x:c>
      <x:c r="S91" s="11" t="str">
        <x:f>'Evaluation Plan'!S91</x:f>
        <x:v>Build the listed same-category discrimination scene with the bowl empty.</x:v>
      </x:c>
      <x:c r="T91" s="11" t="str">
        <x:f>'Evaluation Plan'!T91</x:f>
        <x:v>Two same-category candidates share the non-queried state axis; only the held-out state word identifies the target. The orthogonal orientation axis is fixed: every object is RU.</x:v>
      </x:c>
      <x:c r="U91" s="11" t="n">
        <x:f>'Evaluation Plan'!U91</x:f>
        <x:v>0</x:v>
      </x:c>
    </x:row>
    <x:row r="92" ht="51" customHeight="1">
      <x:c r="A92" s="5" t="s">
        <x:v>181</x:v>
      </x:c>
      <x:c r="B92" s="4" t="n">
        <x:f>'Evaluation Plan'!B92</x:f>
        <x:v>90</x:v>
      </x:c>
      <x:c r="C92" s="5" t="str">
        <x:f>'Evaluation Plan'!C92</x:f>
        <x:v>Place the closed brown cup in the bowl.</x:v>
      </x:c>
      <x:c r="D92" s="5" t="str">
        <x:f>'Evaluation Plan'!D92</x:f>
        <x:v>brown cup A (C, RU); brown cup B (O, RU)</x:v>
      </x:c>
      <x:c r="E92" s="4" t="n">
        <x:f>'Evaluation Plan'!E92</x:f>
        <x:v>0</x:v>
      </x:c>
      <x:c r="F92" s="4" t="str">
        <x:f>'Evaluation Plan'!F92</x:f>
        <x:v>129</x:v>
      </x:c>
      <x:c r="G92" s="5" t="str">
        <x:f>'Evaluation Plan'!G92</x:f>
        <x:v>Physical-state and manipulation-trajectory reference under a direct category prompt; the evaluated state word × object-category cell is intentionally absent from training. All objects are upright, matching the context of every explicit open/closed training demonstration.</x:v>
      </x:c>
      <x:c r="H92" s="5" t="str">
        <x:f>'Evaluation Plan'!H92</x:f>
        <x:v>brown cup A</x:v>
      </x:c>
      <x:c r="I92" s="5"/>
      <x:c r="J92" s="12" t="str">
        <x:f>'Evaluation Plan'!J92</x:f>
        <x:v>Concept/compositional transfer</x:v>
      </x:c>
      <x:c r="K92" s="4" t="str">
        <x:f>'Evaluation Plan'!K92</x:f>
        <x:v>SR-CT31</x:v>
      </x:c>
      <x:c r="L92" s="4" t="str">
        <x:f>'Evaluation Plan'!L92</x:f>
        <x:v>C</x:v>
      </x:c>
      <x:c r="M92" s="4" t="str">
        <x:f>'Evaluation Plan'!M92</x:f>
        <x:v>brown cup</x:v>
      </x:c>
      <x:c r="N92" s="4" t="n">
        <x:f>'Evaluation Plan'!N92</x:f>
        <x:v>2</x:v>
      </x:c>
      <x:c r="O92" s="4" t="n">
        <x:f>'Evaluation Plan'!O92</x:f>
        <x:v>1</x:v>
      </x:c>
      <x:c r="P92" s="4" t="str">
        <x:f>'Evaluation Plan'!P92</x:f>
        <x:v>Empty</x:v>
      </x:c>
      <x:c r="Q92" s="5" t="str">
        <x:f>'Evaluation Plan'!Q92</x:f>
        <x:v>Primary held-out state-object composition</x:v>
      </x:c>
      <x:c r="R92" s="4" t="n">
        <x:f>'Evaluation Plan'!R92</x:f>
        <x:v>4</x:v>
      </x:c>
      <x:c r="S92" s="5" t="str">
        <x:f>'Evaluation Plan'!S92</x:f>
        <x:v>Build the listed same-category discrimination scene with the bowl empty.</x:v>
      </x:c>
      <x:c r="T92" s="5" t="str">
        <x:f>'Evaluation Plan'!T92</x:f>
        <x:v>Two same-category candidates share the non-queried state axis; only the held-out state word identifies the target. The orthogonal orientation axis is fixed: every object is RU.</x:v>
      </x:c>
      <x:c r="U92" s="5" t="n">
        <x:f>'Evaluation Plan'!U92</x:f>
        <x:v>0</x:v>
      </x:c>
    </x:row>
    <x:row r="93" ht="51" customHeight="1">
      <x:c r="A93" s="11" t="s">
        <x:v>181</x:v>
      </x:c>
      <x:c r="B93" s="10" t="n">
        <x:f>'Evaluation Plan'!B93</x:f>
        <x:v>91</x:v>
      </x:c>
      <x:c r="C93" s="11" t="str">
        <x:f>'Evaluation Plan'!C93</x:f>
        <x:v>Place the upright glass spice container in the bowl.</x:v>
      </x:c>
      <x:c r="D93" s="11" t="str">
        <x:f>'Evaluation Plan'!D93</x:f>
        <x:v>glass spice container B (O, RU); glass spice container A (O, UD); yellow-white striped cup B (O, UD)</x:v>
      </x:c>
      <x:c r="E93" s="10" t="n">
        <x:f>'Evaluation Plan'!E93</x:f>
        <x:v>0</x:v>
      </x:c>
      <x:c r="F93" s="10" t="str">
        <x:f>'Evaluation Plan'!F93</x:f>
        <x:v>197</x:v>
      </x:c>
      <x:c r="G93" s="11" t="str">
        <x:f>'Evaluation Plan'!G93</x:f>
        <x:v>Physical-state and manipulation-trajectory reference under a direct category prompt; the evaluated state word × object-category cell is intentionally absent from training.</x:v>
      </x:c>
      <x:c r="H93" s="11" t="str">
        <x:f>'Evaluation Plan'!H93</x:f>
        <x:v>glass spice container B</x:v>
      </x:c>
      <x:c r="I93" s="11"/>
      <x:c r="J93" s="12" t="str">
        <x:f>'Evaluation Plan'!J93</x:f>
        <x:v>Concept/compositional transfer</x:v>
      </x:c>
      <x:c r="K93" s="10" t="str">
        <x:f>'Evaluation Plan'!K93</x:f>
        <x:v>SR-CT32</x:v>
      </x:c>
      <x:c r="L93" s="10" t="str">
        <x:f>'Evaluation Plan'!L93</x:f>
        <x:v>RU</x:v>
      </x:c>
      <x:c r="M93" s="10" t="str">
        <x:f>'Evaluation Plan'!M93</x:f>
        <x:v>glass spice container</x:v>
      </x:c>
      <x:c r="N93" s="10" t="n">
        <x:f>'Evaluation Plan'!N93</x:f>
        <x:v>3</x:v>
      </x:c>
      <x:c r="O93" s="10" t="n">
        <x:f>'Evaluation Plan'!O93</x:f>
        <x:v>1</x:v>
      </x:c>
      <x:c r="P93" s="10" t="str">
        <x:f>'Evaluation Plan'!P93</x:f>
        <x:v>Empty</x:v>
      </x:c>
      <x:c r="Q93" s="11" t="str">
        <x:f>'Evaluation Plan'!Q93</x:f>
        <x:v>Primary held-out state-object composition</x:v>
      </x:c>
      <x:c r="R93" s="10" t="n">
        <x:f>'Evaluation Plan'!R93</x:f>
        <x:v>4</x:v>
      </x:c>
      <x:c r="S93" s="11" t="str">
        <x:f>'Evaluation Plan'!S93</x:f>
        <x:v>Build the listed same-category discrimination scene with the bowl empty.</x:v>
      </x:c>
      <x:c r="T93" s="11" t="str">
        <x:f>'Evaluation Plan'!T93</x:f>
        <x:v>Two same-category candidates share the non-queried state axis; only the held-out state word identifies the target. The same-category candidates share the orthogonal C/O state (O).</x:v>
      </x:c>
      <x:c r="U93" s="11" t="n">
        <x:f>'Evaluation Plan'!U93</x:f>
        <x:v>0</x:v>
      </x:c>
    </x:row>
    <x:row r="94" ht="51" customHeight="1">
      <x:c r="A94" s="5" t="s">
        <x:v>181</x:v>
      </x:c>
      <x:c r="B94" s="4" t="n">
        <x:f>'Evaluation Plan'!B94</x:f>
        <x:v>92</x:v>
      </x:c>
      <x:c r="C94" s="5" t="str">
        <x:f>'Evaluation Plan'!C94</x:f>
        <x:v>Place the upside-down white cup in the bowl.</x:v>
      </x:c>
      <x:c r="D94" s="5" t="str">
        <x:f>'Evaluation Plan'!D94</x:f>
        <x:v>white cup A (C, UD); white cup B (C, RU); glass spice container A (C, RU); yellow-white striped cup B (O, RU)</x:v>
      </x:c>
      <x:c r="E94" s="4" t="n">
        <x:f>'Evaluation Plan'!E94</x:f>
        <x:v>0</x:v>
      </x:c>
      <x:c r="F94" s="4" t="str">
        <x:f>'Evaluation Plan'!F94</x:f>
        <x:v>35</x:v>
      </x:c>
      <x:c r="G94" s="5" t="str">
        <x:f>'Evaluation Plan'!G94</x:f>
        <x:v>Physical-state and manipulation-trajectory reference under a direct category prompt; the evaluated state word × object-category cell is intentionally absent from training.</x:v>
      </x:c>
      <x:c r="H94" s="5" t="str">
        <x:f>'Evaluation Plan'!H94</x:f>
        <x:v>white cup A</x:v>
      </x:c>
      <x:c r="I94" s="5"/>
      <x:c r="J94" s="12" t="str">
        <x:f>'Evaluation Plan'!J94</x:f>
        <x:v>Concept/compositional transfer</x:v>
      </x:c>
      <x:c r="K94" s="4" t="str">
        <x:f>'Evaluation Plan'!K94</x:f>
        <x:v>SR-CT33</x:v>
      </x:c>
      <x:c r="L94" s="4" t="str">
        <x:f>'Evaluation Plan'!L94</x:f>
        <x:v>UD</x:v>
      </x:c>
      <x:c r="M94" s="4" t="str">
        <x:f>'Evaluation Plan'!M94</x:f>
        <x:v>white cup</x:v>
      </x:c>
      <x:c r="N94" s="4" t="n">
        <x:f>'Evaluation Plan'!N94</x:f>
        <x:v>4</x:v>
      </x:c>
      <x:c r="O94" s="4" t="n">
        <x:f>'Evaluation Plan'!O94</x:f>
        <x:v>1</x:v>
      </x:c>
      <x:c r="P94" s="4" t="str">
        <x:f>'Evaluation Plan'!P94</x:f>
        <x:v>Empty</x:v>
      </x:c>
      <x:c r="Q94" s="5" t="str">
        <x:f>'Evaluation Plan'!Q94</x:f>
        <x:v>Primary held-out state-object composition</x:v>
      </x:c>
      <x:c r="R94" s="4" t="n">
        <x:f>'Evaluation Plan'!R94</x:f>
        <x:v>4</x:v>
      </x:c>
      <x:c r="S94" s="5" t="str">
        <x:f>'Evaluation Plan'!S94</x:f>
        <x:v>Build the listed same-category discrimination scene with the bowl empty.</x:v>
      </x:c>
      <x:c r="T94" s="5" t="str">
        <x:f>'Evaluation Plan'!T94</x:f>
        <x:v>Two same-category candidates share the non-queried state axis; only the held-out state word identifies the target. The same-category candidates share the orthogonal C/O state (C).</x:v>
      </x:c>
      <x:c r="U94" s="5" t="n">
        <x:f>'Evaluation Plan'!U94</x:f>
        <x:v>0</x:v>
      </x:c>
    </x:row>
    <x:row r="95" ht="51" customHeight="1">
      <x:c r="A95" s="11" t="s">
        <x:v>181</x:v>
      </x:c>
      <x:c r="B95" s="10" t="n">
        <x:f>'Evaluation Plan'!B95</x:f>
        <x:v>93</x:v>
      </x:c>
      <x:c r="C95" s="11" t="str">
        <x:f>'Evaluation Plan'!C95</x:f>
        <x:v>Place the open yellow-white striped cup in the bowl.</x:v>
      </x:c>
      <x:c r="D95" s="11" t="str">
        <x:f>'Evaluation Plan'!D95</x:f>
        <x:v>yellow-white striped cup B (O, RU); yellow-white striped cup A (C, RU)</x:v>
      </x:c>
      <x:c r="E95" s="10" t="n">
        <x:f>'Evaluation Plan'!E95</x:f>
        <x:v>0</x:v>
      </x:c>
      <x:c r="F95" s="10" t="str">
        <x:f>'Evaluation Plan'!F95</x:f>
        <x:v>71</x:v>
      </x:c>
      <x:c r="G95" s="11" t="str">
        <x:f>'Evaluation Plan'!G95</x:f>
        <x:v>Physical-state and manipulation-trajectory reference under a direct category prompt; the evaluated state word × object-category cell is intentionally absent from training. All objects are upright, matching the context of every explicit open/closed training demonstration.</x:v>
      </x:c>
      <x:c r="H95" s="11" t="str">
        <x:f>'Evaluation Plan'!H95</x:f>
        <x:v>yellow-white striped cup B</x:v>
      </x:c>
      <x:c r="I95" s="11"/>
      <x:c r="J95" s="12" t="str">
        <x:f>'Evaluation Plan'!J95</x:f>
        <x:v>Concept/compositional transfer</x:v>
      </x:c>
      <x:c r="K95" s="10" t="str">
        <x:f>'Evaluation Plan'!K95</x:f>
        <x:v>SR-CT34</x:v>
      </x:c>
      <x:c r="L95" s="10" t="str">
        <x:f>'Evaluation Plan'!L95</x:f>
        <x:v>O</x:v>
      </x:c>
      <x:c r="M95" s="10" t="str">
        <x:f>'Evaluation Plan'!M95</x:f>
        <x:v>yellow-white striped cup</x:v>
      </x:c>
      <x:c r="N95" s="10" t="n">
        <x:f>'Evaluation Plan'!N95</x:f>
        <x:v>2</x:v>
      </x:c>
      <x:c r="O95" s="10" t="n">
        <x:f>'Evaluation Plan'!O95</x:f>
        <x:v>1</x:v>
      </x:c>
      <x:c r="P95" s="10" t="str">
        <x:f>'Evaluation Plan'!P95</x:f>
        <x:v>Empty</x:v>
      </x:c>
      <x:c r="Q95" s="11" t="str">
        <x:f>'Evaluation Plan'!Q95</x:f>
        <x:v>Primary held-out state-object composition</x:v>
      </x:c>
      <x:c r="R95" s="10" t="n">
        <x:f>'Evaluation Plan'!R95</x:f>
        <x:v>4</x:v>
      </x:c>
      <x:c r="S95" s="11" t="str">
        <x:f>'Evaluation Plan'!S95</x:f>
        <x:v>Build the listed same-category discrimination scene with the bowl empty.</x:v>
      </x:c>
      <x:c r="T95" s="11" t="str">
        <x:f>'Evaluation Plan'!T95</x:f>
        <x:v>Two same-category candidates share the non-queried state axis; only the held-out state word identifies the target. The orthogonal orientation axis is fixed: every object is RU.</x:v>
      </x:c>
      <x:c r="U95" s="11" t="n">
        <x:f>'Evaluation Plan'!U95</x:f>
        <x:v>0</x:v>
      </x:c>
    </x:row>
    <x:row r="96" ht="51" customHeight="1">
      <x:c r="A96" s="5" t="s">
        <x:v>181</x:v>
      </x:c>
      <x:c r="B96" s="4" t="n">
        <x:f>'Evaluation Plan'!B96</x:f>
        <x:v>94</x:v>
      </x:c>
      <x:c r="C96" s="5" t="str">
        <x:f>'Evaluation Plan'!C96</x:f>
        <x:v>Place the closed brown cup in the bowl.</x:v>
      </x:c>
      <x:c r="D96" s="5" t="str">
        <x:f>'Evaluation Plan'!D96</x:f>
        <x:v>brown cup A (C, RU); brown cup B (O, RU); yellow-white striped cup A (C, RU)</x:v>
      </x:c>
      <x:c r="E96" s="4" t="n">
        <x:f>'Evaluation Plan'!E96</x:f>
        <x:v>0</x:v>
      </x:c>
      <x:c r="F96" s="4" t="str">
        <x:f>'Evaluation Plan'!F96</x:f>
        <x:v>100</x:v>
      </x:c>
      <x:c r="G96" s="5" t="str">
        <x:f>'Evaluation Plan'!G96</x:f>
        <x:v>Physical-state and manipulation-trajectory reference under a direct category prompt; the evaluated state word × object-category cell is intentionally absent from training. All objects are upright, matching the context of every explicit open/closed training demonstration.</x:v>
      </x:c>
      <x:c r="H96" s="5" t="str">
        <x:f>'Evaluation Plan'!H96</x:f>
        <x:v>brown cup A</x:v>
      </x:c>
      <x:c r="I96" s="5"/>
      <x:c r="J96" s="12" t="str">
        <x:f>'Evaluation Plan'!J96</x:f>
        <x:v>Concept/compositional transfer</x:v>
      </x:c>
      <x:c r="K96" s="4" t="str">
        <x:f>'Evaluation Plan'!K96</x:f>
        <x:v>SR-CT35</x:v>
      </x:c>
      <x:c r="L96" s="4" t="str">
        <x:f>'Evaluation Plan'!L96</x:f>
        <x:v>C</x:v>
      </x:c>
      <x:c r="M96" s="4" t="str">
        <x:f>'Evaluation Plan'!M96</x:f>
        <x:v>brown cup</x:v>
      </x:c>
      <x:c r="N96" s="4" t="n">
        <x:f>'Evaluation Plan'!N96</x:f>
        <x:v>3</x:v>
      </x:c>
      <x:c r="O96" s="4" t="n">
        <x:f>'Evaluation Plan'!O96</x:f>
        <x:v>1</x:v>
      </x:c>
      <x:c r="P96" s="4" t="str">
        <x:f>'Evaluation Plan'!P96</x:f>
        <x:v>Empty</x:v>
      </x:c>
      <x:c r="Q96" s="5" t="str">
        <x:f>'Evaluation Plan'!Q96</x:f>
        <x:v>Primary held-out state-object composition</x:v>
      </x:c>
      <x:c r="R96" s="4" t="n">
        <x:f>'Evaluation Plan'!R96</x:f>
        <x:v>4</x:v>
      </x:c>
      <x:c r="S96" s="5" t="str">
        <x:f>'Evaluation Plan'!S96</x:f>
        <x:v>Build the listed same-category discrimination scene with the bowl empty.</x:v>
      </x:c>
      <x:c r="T96" s="5" t="str">
        <x:f>'Evaluation Plan'!T96</x:f>
        <x:v>Two same-category candidates share the non-queried state axis; only the held-out state word identifies the target. The orthogonal orientation axis is fixed: every object is RU.</x:v>
      </x:c>
      <x:c r="U96" s="5" t="n">
        <x:f>'Evaluation Plan'!U96</x:f>
        <x:v>0</x:v>
      </x:c>
    </x:row>
    <x:row r="97" ht="51" customHeight="1">
      <x:c r="A97" s="11" t="s">
        <x:v>181</x:v>
      </x:c>
      <x:c r="B97" s="10" t="n">
        <x:f>'Evaluation Plan'!B97</x:f>
        <x:v>95</x:v>
      </x:c>
      <x:c r="C97" s="11" t="str">
        <x:f>'Evaluation Plan'!C97</x:f>
        <x:v>Place the upright glass spice container in the bowl.</x:v>
      </x:c>
      <x:c r="D97" s="11" t="str">
        <x:f>'Evaluation Plan'!D97</x:f>
        <x:v>glass spice container B (C, RU); glass spice container A (C, UD); brown cup B (O, UD); white cup A (C, RU)</x:v>
      </x:c>
      <x:c r="E97" s="10" t="n">
        <x:f>'Evaluation Plan'!E97</x:f>
        <x:v>0</x:v>
      </x:c>
      <x:c r="F97" s="10" t="str">
        <x:f>'Evaluation Plan'!F97</x:f>
        <x:v>169</x:v>
      </x:c>
      <x:c r="G97" s="11" t="str">
        <x:f>'Evaluation Plan'!G97</x:f>
        <x:v>Physical-state and manipulation-trajectory reference under a direct category prompt; the evaluated state word × object-category cell is intentionally absent from training.</x:v>
      </x:c>
      <x:c r="H97" s="11" t="str">
        <x:f>'Evaluation Plan'!H97</x:f>
        <x:v>glass spice container B</x:v>
      </x:c>
      <x:c r="I97" s="11"/>
      <x:c r="J97" s="12" t="str">
        <x:f>'Evaluation Plan'!J97</x:f>
        <x:v>Concept/compositional transfer</x:v>
      </x:c>
      <x:c r="K97" s="10" t="str">
        <x:f>'Evaluation Plan'!K97</x:f>
        <x:v>SR-CT36</x:v>
      </x:c>
      <x:c r="L97" s="10" t="str">
        <x:f>'Evaluation Plan'!L97</x:f>
        <x:v>RU</x:v>
      </x:c>
      <x:c r="M97" s="10" t="str">
        <x:f>'Evaluation Plan'!M97</x:f>
        <x:v>glass spice container</x:v>
      </x:c>
      <x:c r="N97" s="10" t="n">
        <x:f>'Evaluation Plan'!N97</x:f>
        <x:v>4</x:v>
      </x:c>
      <x:c r="O97" s="10" t="n">
        <x:f>'Evaluation Plan'!O97</x:f>
        <x:v>1</x:v>
      </x:c>
      <x:c r="P97" s="10" t="str">
        <x:f>'Evaluation Plan'!P97</x:f>
        <x:v>Empty</x:v>
      </x:c>
      <x:c r="Q97" s="11" t="str">
        <x:f>'Evaluation Plan'!Q97</x:f>
        <x:v>Primary held-out state-object composition</x:v>
      </x:c>
      <x:c r="R97" s="10" t="n">
        <x:f>'Evaluation Plan'!R97</x:f>
        <x:v>4</x:v>
      </x:c>
      <x:c r="S97" s="11" t="str">
        <x:f>'Evaluation Plan'!S97</x:f>
        <x:v>Build the listed same-category discrimination scene with the bowl empty.</x:v>
      </x:c>
      <x:c r="T97" s="11" t="str">
        <x:f>'Evaluation Plan'!T97</x:f>
        <x:v>Two same-category candidates share the non-queried state axis; only the held-out state word identifies the target. The same-category candidates share the orthogonal C/O state (C).</x:v>
      </x:c>
      <x:c r="U97" s="11" t="n">
        <x:f>'Evaluation Plan'!U97</x:f>
        <x:v>0</x:v>
      </x:c>
    </x:row>
    <x:row r="98" ht="51" customHeight="1">
      <x:c r="A98" s="5" t="s">
        <x:v>181</x:v>
      </x:c>
      <x:c r="B98" s="4" t="n">
        <x:f>'Evaluation Plan'!B98</x:f>
        <x:v>96</x:v>
      </x:c>
      <x:c r="C98" s="5" t="str">
        <x:f>'Evaluation Plan'!C98</x:f>
        <x:v>Place the upside-down white cup in the bowl.</x:v>
      </x:c>
      <x:c r="D98" s="5" t="str">
        <x:f>'Evaluation Plan'!D98</x:f>
        <x:v>white cup A (O, UD); white cup B (O, RU)</x:v>
      </x:c>
      <x:c r="E98" s="4" t="n">
        <x:f>'Evaluation Plan'!E98</x:f>
        <x:v>0</x:v>
      </x:c>
      <x:c r="F98" s="4" t="str">
        <x:f>'Evaluation Plan'!F98</x:f>
        <x:v>30</x:v>
      </x:c>
      <x:c r="G98" s="5" t="str">
        <x:f>'Evaluation Plan'!G98</x:f>
        <x:v>Physical-state and manipulation-trajectory reference under a direct category prompt; the evaluated state word × object-category cell is intentionally absent from training.</x:v>
      </x:c>
      <x:c r="H98" s="5" t="str">
        <x:f>'Evaluation Plan'!H98</x:f>
        <x:v>white cup A</x:v>
      </x:c>
      <x:c r="I98" s="5"/>
      <x:c r="J98" s="12" t="str">
        <x:f>'Evaluation Plan'!J98</x:f>
        <x:v>Concept/compositional transfer</x:v>
      </x:c>
      <x:c r="K98" s="4" t="str">
        <x:f>'Evaluation Plan'!K98</x:f>
        <x:v>SR-CT37</x:v>
      </x:c>
      <x:c r="L98" s="4" t="str">
        <x:f>'Evaluation Plan'!L98</x:f>
        <x:v>UD</x:v>
      </x:c>
      <x:c r="M98" s="4" t="str">
        <x:f>'Evaluation Plan'!M98</x:f>
        <x:v>white cup</x:v>
      </x:c>
      <x:c r="N98" s="4" t="n">
        <x:f>'Evaluation Plan'!N98</x:f>
        <x:v>2</x:v>
      </x:c>
      <x:c r="O98" s="4" t="n">
        <x:f>'Evaluation Plan'!O98</x:f>
        <x:v>1</x:v>
      </x:c>
      <x:c r="P98" s="4" t="str">
        <x:f>'Evaluation Plan'!P98</x:f>
        <x:v>Empty</x:v>
      </x:c>
      <x:c r="Q98" s="5" t="str">
        <x:f>'Evaluation Plan'!Q98</x:f>
        <x:v>Primary held-out state-object composition</x:v>
      </x:c>
      <x:c r="R98" s="4" t="n">
        <x:f>'Evaluation Plan'!R98</x:f>
        <x:v>4</x:v>
      </x:c>
      <x:c r="S98" s="5" t="str">
        <x:f>'Evaluation Plan'!S98</x:f>
        <x:v>Build the listed same-category discrimination scene with the bowl empty.</x:v>
      </x:c>
      <x:c r="T98" s="5" t="str">
        <x:f>'Evaluation Plan'!T98</x:f>
        <x:v>Two same-category candidates share the non-queried state axis; only the held-out state word identifies the target. The same-category candidates share the orthogonal C/O state (O).</x:v>
      </x:c>
      <x:c r="U98" s="5" t="n">
        <x:f>'Evaluation Plan'!U98</x:f>
        <x:v>0</x:v>
      </x:c>
    </x:row>
    <x:row r="99" ht="51" customHeight="1">
      <x:c r="A99" s="11" t="s">
        <x:v>181</x:v>
      </x:c>
      <x:c r="B99" s="10" t="n">
        <x:f>'Evaluation Plan'!B99</x:f>
        <x:v>97</x:v>
      </x:c>
      <x:c r="C99" s="11" t="str">
        <x:f>'Evaluation Plan'!C99</x:f>
        <x:v>Place the open yellow-white striped cup in the bowl.</x:v>
      </x:c>
      <x:c r="D99" s="11" t="str">
        <x:f>'Evaluation Plan'!D99</x:f>
        <x:v>yellow-white striped cup B (O, RU); yellow-white striped cup A (C, RU); brown cup B (O, RU)</x:v>
      </x:c>
      <x:c r="E99" s="10" t="n">
        <x:f>'Evaluation Plan'!E99</x:f>
        <x:v>0</x:v>
      </x:c>
      <x:c r="F99" s="10" t="str">
        <x:f>'Evaluation Plan'!F99</x:f>
        <x:v>53</x:v>
      </x:c>
      <x:c r="G99" s="11" t="str">
        <x:f>'Evaluation Plan'!G99</x:f>
        <x:v>Physical-state and manipulation-trajectory reference under a direct category prompt; the evaluated state word × object-category cell is intentionally absent from training. All objects are upright, matching the context of every explicit open/closed training demonstration.</x:v>
      </x:c>
      <x:c r="H99" s="11" t="str">
        <x:f>'Evaluation Plan'!H99</x:f>
        <x:v>yellow-white striped cup B</x:v>
      </x:c>
      <x:c r="I99" s="11"/>
      <x:c r="J99" s="12" t="str">
        <x:f>'Evaluation Plan'!J99</x:f>
        <x:v>Concept/compositional transfer</x:v>
      </x:c>
      <x:c r="K99" s="10" t="str">
        <x:f>'Evaluation Plan'!K99</x:f>
        <x:v>SR-CT38</x:v>
      </x:c>
      <x:c r="L99" s="10" t="str">
        <x:f>'Evaluation Plan'!L99</x:f>
        <x:v>O</x:v>
      </x:c>
      <x:c r="M99" s="10" t="str">
        <x:f>'Evaluation Plan'!M99</x:f>
        <x:v>yellow-white striped cup</x:v>
      </x:c>
      <x:c r="N99" s="10" t="n">
        <x:f>'Evaluation Plan'!N99</x:f>
        <x:v>3</x:v>
      </x:c>
      <x:c r="O99" s="10" t="n">
        <x:f>'Evaluation Plan'!O99</x:f>
        <x:v>1</x:v>
      </x:c>
      <x:c r="P99" s="10" t="str">
        <x:f>'Evaluation Plan'!P99</x:f>
        <x:v>Empty</x:v>
      </x:c>
      <x:c r="Q99" s="11" t="str">
        <x:f>'Evaluation Plan'!Q99</x:f>
        <x:v>Primary held-out state-object composition</x:v>
      </x:c>
      <x:c r="R99" s="10" t="n">
        <x:f>'Evaluation Plan'!R99</x:f>
        <x:v>4</x:v>
      </x:c>
      <x:c r="S99" s="11" t="str">
        <x:f>'Evaluation Plan'!S99</x:f>
        <x:v>Build the listed same-category discrimination scene with the bowl empty.</x:v>
      </x:c>
      <x:c r="T99" s="11" t="str">
        <x:f>'Evaluation Plan'!T99</x:f>
        <x:v>Two same-category candidates share the non-queried state axis; only the held-out state word identifies the target. The orthogonal orientation axis is fixed: every object is RU.</x:v>
      </x:c>
      <x:c r="U99" s="11" t="n">
        <x:f>'Evaluation Plan'!U99</x:f>
        <x:v>0</x:v>
      </x:c>
    </x:row>
    <x:row r="100" ht="51" customHeight="1">
      <x:c r="A100" s="5" t="s">
        <x:v>181</x:v>
      </x:c>
      <x:c r="B100" s="4" t="n">
        <x:f>'Evaluation Plan'!B100</x:f>
        <x:v>98</x:v>
      </x:c>
      <x:c r="C100" s="5" t="str">
        <x:f>'Evaluation Plan'!C100</x:f>
        <x:v>Place the closed brown cup in the bowl.</x:v>
      </x:c>
      <x:c r="D100" s="5" t="str">
        <x:f>'Evaluation Plan'!D100</x:f>
        <x:v>brown cup A (C, RU); brown cup B (O, RU); glass spice container A (C, RU); white cup B (O, RU)</x:v>
      </x:c>
      <x:c r="E100" s="4" t="n">
        <x:f>'Evaluation Plan'!E100</x:f>
        <x:v>0</x:v>
      </x:c>
      <x:c r="F100" s="4" t="str">
        <x:f>'Evaluation Plan'!F100</x:f>
        <x:v>107</x:v>
      </x:c>
      <x:c r="G100" s="5" t="str">
        <x:f>'Evaluation Plan'!G100</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0" s="5" t="str">
        <x:f>'Evaluation Plan'!H100</x:f>
        <x:v>brown cup A</x:v>
      </x:c>
      <x:c r="I100" s="5"/>
      <x:c r="J100" s="12" t="str">
        <x:f>'Evaluation Plan'!J100</x:f>
        <x:v>Concept/compositional transfer</x:v>
      </x:c>
      <x:c r="K100" s="4" t="str">
        <x:f>'Evaluation Plan'!K100</x:f>
        <x:v>SR-CT39</x:v>
      </x:c>
      <x:c r="L100" s="4" t="str">
        <x:f>'Evaluation Plan'!L100</x:f>
        <x:v>C</x:v>
      </x:c>
      <x:c r="M100" s="4" t="str">
        <x:f>'Evaluation Plan'!M100</x:f>
        <x:v>brown cup</x:v>
      </x:c>
      <x:c r="N100" s="4" t="n">
        <x:f>'Evaluation Plan'!N100</x:f>
        <x:v>4</x:v>
      </x:c>
      <x:c r="O100" s="4" t="n">
        <x:f>'Evaluation Plan'!O100</x:f>
        <x:v>1</x:v>
      </x:c>
      <x:c r="P100" s="4" t="str">
        <x:f>'Evaluation Plan'!P100</x:f>
        <x:v>Empty</x:v>
      </x:c>
      <x:c r="Q100" s="5" t="str">
        <x:f>'Evaluation Plan'!Q100</x:f>
        <x:v>Primary held-out state-object composition</x:v>
      </x:c>
      <x:c r="R100" s="4" t="n">
        <x:f>'Evaluation Plan'!R100</x:f>
        <x:v>4</x:v>
      </x:c>
      <x:c r="S100" s="5" t="str">
        <x:f>'Evaluation Plan'!S100</x:f>
        <x:v>Build the listed same-category discrimination scene with the bowl empty.</x:v>
      </x:c>
      <x:c r="T100" s="5" t="str">
        <x:f>'Evaluation Plan'!T100</x:f>
        <x:v>Two same-category candidates share the non-queried state axis; only the held-out state word identifies the target. The orthogonal orientation axis is fixed: every object is RU.</x:v>
      </x:c>
      <x:c r="U100" s="5" t="n">
        <x:f>'Evaluation Plan'!U100</x:f>
        <x:v>0</x:v>
      </x:c>
    </x:row>
    <x:row r="101" ht="51" customHeight="1">
      <x:c r="A101" s="11" t="s">
        <x:v>181</x:v>
      </x:c>
      <x:c r="B101" s="10" t="n">
        <x:f>'Evaluation Plan'!B101</x:f>
        <x:v>99</x:v>
      </x:c>
      <x:c r="C101" s="11" t="str">
        <x:f>'Evaluation Plan'!C101</x:f>
        <x:v>Place the upright glass spice container in the bowl.</x:v>
      </x:c>
      <x:c r="D101" s="11" t="str">
        <x:f>'Evaluation Plan'!D101</x:f>
        <x:v>glass spice container B (O, RU); glass spice container A (O, UD)</x:v>
      </x:c>
      <x:c r="E101" s="10" t="n">
        <x:f>'Evaluation Plan'!E101</x:f>
        <x:v>0</x:v>
      </x:c>
      <x:c r="F101" s="10" t="str">
        <x:f>'Evaluation Plan'!F101</x:f>
        <x:v>153</x:v>
      </x:c>
      <x:c r="G101" s="11" t="str">
        <x:f>'Evaluation Plan'!G101</x:f>
        <x:v>Physical-state and manipulation-trajectory reference under a direct category prompt; the evaluated state word × object-category cell is intentionally absent from training.</x:v>
      </x:c>
      <x:c r="H101" s="11" t="str">
        <x:f>'Evaluation Plan'!H101</x:f>
        <x:v>glass spice container B</x:v>
      </x:c>
      <x:c r="I101" s="11"/>
      <x:c r="J101" s="12" t="str">
        <x:f>'Evaluation Plan'!J101</x:f>
        <x:v>Concept/compositional transfer</x:v>
      </x:c>
      <x:c r="K101" s="10" t="str">
        <x:f>'Evaluation Plan'!K101</x:f>
        <x:v>SR-CT40</x:v>
      </x:c>
      <x:c r="L101" s="10" t="str">
        <x:f>'Evaluation Plan'!L101</x:f>
        <x:v>RU</x:v>
      </x:c>
      <x:c r="M101" s="10" t="str">
        <x:f>'Evaluation Plan'!M101</x:f>
        <x:v>glass spice container</x:v>
      </x:c>
      <x:c r="N101" s="10" t="n">
        <x:f>'Evaluation Plan'!N101</x:f>
        <x:v>2</x:v>
      </x:c>
      <x:c r="O101" s="10" t="n">
        <x:f>'Evaluation Plan'!O101</x:f>
        <x:v>1</x:v>
      </x:c>
      <x:c r="P101" s="10" t="str">
        <x:f>'Evaluation Plan'!P101</x:f>
        <x:v>Empty</x:v>
      </x:c>
      <x:c r="Q101" s="11" t="str">
        <x:f>'Evaluation Plan'!Q101</x:f>
        <x:v>Primary held-out state-object composition</x:v>
      </x:c>
      <x:c r="R101" s="10" t="n">
        <x:f>'Evaluation Plan'!R101</x:f>
        <x:v>4</x:v>
      </x:c>
      <x:c r="S101" s="11" t="str">
        <x:f>'Evaluation Plan'!S101</x:f>
        <x:v>Build the listed same-category discrimination scene with the bowl empty.</x:v>
      </x:c>
      <x:c r="T101" s="11" t="str">
        <x:f>'Evaluation Plan'!T101</x:f>
        <x:v>Two same-category candidates share the non-queried state axis; only the held-out state word identifies the target. The same-category candidates share the orthogonal C/O state (O).</x:v>
      </x:c>
      <x:c r="U101" s="11" t="n">
        <x:f>'Evaluation Plan'!U101</x:f>
        <x:v>0</x:v>
      </x:c>
    </x:row>
    <x:row r="102" ht="51" customHeight="1">
      <x:c r="A102" s="5" t="s">
        <x:v>181</x:v>
      </x:c>
      <x:c r="B102" s="4" t="n">
        <x:f>'Evaluation Plan'!B102</x:f>
        <x:v>100</x:v>
      </x:c>
      <x:c r="C102" s="5" t="str">
        <x:f>'Evaluation Plan'!C102</x:f>
        <x:v>Place the upside-down white cup in the bowl.</x:v>
      </x:c>
      <x:c r="D102" s="5" t="str">
        <x:f>'Evaluation Plan'!D102</x:f>
        <x:v>white cup A (C, UD); white cup B (C, RU); brown cup A (C, RU)</x:v>
      </x:c>
      <x:c r="E102" s="4" t="n">
        <x:f>'Evaluation Plan'!E102</x:f>
        <x:v>0</x:v>
      </x:c>
      <x:c r="F102" s="4" t="str">
        <x:f>'Evaluation Plan'!F102</x:f>
        <x:v>39</x:v>
      </x:c>
      <x:c r="G102" s="5" t="str">
        <x:f>'Evaluation Plan'!G102</x:f>
        <x:v>Physical-state and manipulation-trajectory reference under a direct category prompt; the evaluated state word × object-category cell is intentionally absent from training.</x:v>
      </x:c>
      <x:c r="H102" s="5" t="str">
        <x:f>'Evaluation Plan'!H102</x:f>
        <x:v>white cup A</x:v>
      </x:c>
      <x:c r="I102" s="5"/>
      <x:c r="J102" s="12" t="str">
        <x:f>'Evaluation Plan'!J102</x:f>
        <x:v>Concept/compositional transfer</x:v>
      </x:c>
      <x:c r="K102" s="4" t="str">
        <x:f>'Evaluation Plan'!K102</x:f>
        <x:v>SR-CT41</x:v>
      </x:c>
      <x:c r="L102" s="4" t="str">
        <x:f>'Evaluation Plan'!L102</x:f>
        <x:v>UD</x:v>
      </x:c>
      <x:c r="M102" s="4" t="str">
        <x:f>'Evaluation Plan'!M102</x:f>
        <x:v>white cup</x:v>
      </x:c>
      <x:c r="N102" s="4" t="n">
        <x:f>'Evaluation Plan'!N102</x:f>
        <x:v>3</x:v>
      </x:c>
      <x:c r="O102" s="4" t="n">
        <x:f>'Evaluation Plan'!O102</x:f>
        <x:v>1</x:v>
      </x:c>
      <x:c r="P102" s="4" t="str">
        <x:f>'Evaluation Plan'!P102</x:f>
        <x:v>Empty</x:v>
      </x:c>
      <x:c r="Q102" s="5" t="str">
        <x:f>'Evaluation Plan'!Q102</x:f>
        <x:v>Primary held-out state-object composition</x:v>
      </x:c>
      <x:c r="R102" s="4" t="n">
        <x:f>'Evaluation Plan'!R102</x:f>
        <x:v>4</x:v>
      </x:c>
      <x:c r="S102" s="5" t="str">
        <x:f>'Evaluation Plan'!S102</x:f>
        <x:v>Build the listed same-category discrimination scene with the bowl empty.</x:v>
      </x:c>
      <x:c r="T102" s="5" t="str">
        <x:f>'Evaluation Plan'!T102</x:f>
        <x:v>Two same-category candidates share the non-queried state axis; only the held-out state word identifies the target. The same-category candidates share the orthogonal C/O state (C).</x:v>
      </x:c>
      <x:c r="U102" s="5" t="n">
        <x:f>'Evaluation Plan'!U102</x:f>
        <x:v>0</x:v>
      </x:c>
    </x:row>
    <x:row r="103" ht="51" customHeight="1">
      <x:c r="A103" s="11" t="s">
        <x:v>181</x:v>
      </x:c>
      <x:c r="B103" s="10" t="n">
        <x:f>'Evaluation Plan'!B103</x:f>
        <x:v>101</x:v>
      </x:c>
      <x:c r="C103" s="11" t="str">
        <x:f>'Evaluation Plan'!C103</x:f>
        <x:v>Place the open yellow-white striped cup in the bowl.</x:v>
      </x:c>
      <x:c r="D103" s="11" t="str">
        <x:f>'Evaluation Plan'!D103</x:f>
        <x:v>yellow-white striped cup B (O, RU); yellow-white striped cup A (C, RU); glass spice container B (O, RU); white cup A (C, RU)</x:v>
      </x:c>
      <x:c r="E103" s="10" t="n">
        <x:f>'Evaluation Plan'!E103</x:f>
        <x:v>0</x:v>
      </x:c>
      <x:c r="F103" s="10" t="str">
        <x:f>'Evaluation Plan'!F103</x:f>
        <x:v>72</x:v>
      </x:c>
      <x:c r="G103" s="11" t="str">
        <x:f>'Evaluation Plan'!G103</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3" s="11" t="str">
        <x:f>'Evaluation Plan'!H103</x:f>
        <x:v>yellow-white striped cup B</x:v>
      </x:c>
      <x:c r="I103" s="11"/>
      <x:c r="J103" s="12" t="str">
        <x:f>'Evaluation Plan'!J103</x:f>
        <x:v>Concept/compositional transfer</x:v>
      </x:c>
      <x:c r="K103" s="10" t="str">
        <x:f>'Evaluation Plan'!K103</x:f>
        <x:v>SR-CT42</x:v>
      </x:c>
      <x:c r="L103" s="10" t="str">
        <x:f>'Evaluation Plan'!L103</x:f>
        <x:v>O</x:v>
      </x:c>
      <x:c r="M103" s="10" t="str">
        <x:f>'Evaluation Plan'!M103</x:f>
        <x:v>yellow-white striped cup</x:v>
      </x:c>
      <x:c r="N103" s="10" t="n">
        <x:f>'Evaluation Plan'!N103</x:f>
        <x:v>4</x:v>
      </x:c>
      <x:c r="O103" s="10" t="n">
        <x:f>'Evaluation Plan'!O103</x:f>
        <x:v>1</x:v>
      </x:c>
      <x:c r="P103" s="10" t="str">
        <x:f>'Evaluation Plan'!P103</x:f>
        <x:v>Empty</x:v>
      </x:c>
      <x:c r="Q103" s="11" t="str">
        <x:f>'Evaluation Plan'!Q103</x:f>
        <x:v>Primary held-out state-object composition</x:v>
      </x:c>
      <x:c r="R103" s="10" t="n">
        <x:f>'Evaluation Plan'!R103</x:f>
        <x:v>4</x:v>
      </x:c>
      <x:c r="S103" s="11" t="str">
        <x:f>'Evaluation Plan'!S103</x:f>
        <x:v>Build the listed same-category discrimination scene with the bowl empty.</x:v>
      </x:c>
      <x:c r="T103" s="11" t="str">
        <x:f>'Evaluation Plan'!T103</x:f>
        <x:v>Two same-category candidates share the non-queried state axis; only the held-out state word identifies the target. The orthogonal orientation axis is fixed: every object is RU.</x:v>
      </x:c>
      <x:c r="U103" s="11" t="n">
        <x:f>'Evaluation Plan'!U103</x:f>
        <x:v>0</x:v>
      </x:c>
    </x:row>
    <x:row r="104" ht="51" customHeight="1">
      <x:c r="A104" s="5" t="s">
        <x:v>181</x:v>
      </x:c>
      <x:c r="B104" s="4" t="n">
        <x:f>'Evaluation Plan'!B104</x:f>
        <x:v>102</x:v>
      </x:c>
      <x:c r="C104" s="5" t="str">
        <x:f>'Evaluation Plan'!C104</x:f>
        <x:v>Place the closed brown cup in the bowl.</x:v>
      </x:c>
      <x:c r="D104" s="5" t="str">
        <x:f>'Evaluation Plan'!D104</x:f>
        <x:v>brown cup A (C, RU); brown cup B (O, RU)</x:v>
      </x:c>
      <x:c r="E104" s="4" t="n">
        <x:f>'Evaluation Plan'!E104</x:f>
        <x:v>0</x:v>
      </x:c>
      <x:c r="F104" s="4" t="str">
        <x:f>'Evaluation Plan'!F104</x:f>
        <x:v>102</x:v>
      </x:c>
      <x:c r="G104" s="5" t="str">
        <x:f>'Evaluation Plan'!G104</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4" s="5" t="str">
        <x:f>'Evaluation Plan'!H104</x:f>
        <x:v>brown cup A</x:v>
      </x:c>
      <x:c r="I104" s="5"/>
      <x:c r="J104" s="12" t="str">
        <x:f>'Evaluation Plan'!J104</x:f>
        <x:v>Concept/compositional transfer</x:v>
      </x:c>
      <x:c r="K104" s="4" t="str">
        <x:f>'Evaluation Plan'!K104</x:f>
        <x:v>SR-CT43</x:v>
      </x:c>
      <x:c r="L104" s="4" t="str">
        <x:f>'Evaluation Plan'!L104</x:f>
        <x:v>C</x:v>
      </x:c>
      <x:c r="M104" s="4" t="str">
        <x:f>'Evaluation Plan'!M104</x:f>
        <x:v>brown cup</x:v>
      </x:c>
      <x:c r="N104" s="4" t="n">
        <x:f>'Evaluation Plan'!N104</x:f>
        <x:v>2</x:v>
      </x:c>
      <x:c r="O104" s="4" t="n">
        <x:f>'Evaluation Plan'!O104</x:f>
        <x:v>1</x:v>
      </x:c>
      <x:c r="P104" s="4" t="str">
        <x:f>'Evaluation Plan'!P104</x:f>
        <x:v>Empty</x:v>
      </x:c>
      <x:c r="Q104" s="5" t="str">
        <x:f>'Evaluation Plan'!Q104</x:f>
        <x:v>Primary held-out state-object composition</x:v>
      </x:c>
      <x:c r="R104" s="4" t="n">
        <x:f>'Evaluation Plan'!R104</x:f>
        <x:v>4</x:v>
      </x:c>
      <x:c r="S104" s="5" t="str">
        <x:f>'Evaluation Plan'!S104</x:f>
        <x:v>Build the listed same-category discrimination scene with the bowl empty.</x:v>
      </x:c>
      <x:c r="T104" s="5" t="str">
        <x:f>'Evaluation Plan'!T104</x:f>
        <x:v>Two same-category candidates share the non-queried state axis; only the held-out state word identifies the target. The orthogonal orientation axis is fixed: every object is RU.</x:v>
      </x:c>
      <x:c r="U104" s="5" t="n">
        <x:f>'Evaluation Plan'!U104</x:f>
        <x:v>0</x:v>
      </x:c>
    </x:row>
    <x:row r="105" ht="51" customHeight="1">
      <x:c r="A105" s="11" t="s">
        <x:v>181</x:v>
      </x:c>
      <x:c r="B105" s="10" t="n">
        <x:f>'Evaluation Plan'!B105</x:f>
        <x:v>103</x:v>
      </x:c>
      <x:c r="C105" s="11" t="str">
        <x:f>'Evaluation Plan'!C105</x:f>
        <x:v>Place the upright glass spice container in the bowl.</x:v>
      </x:c>
      <x:c r="D105" s="11" t="str">
        <x:f>'Evaluation Plan'!D105</x:f>
        <x:v>glass spice container B (C, RU); glass spice container A (C, UD); yellow-white striped cup B (O, UD)</x:v>
      </x:c>
      <x:c r="E105" s="10" t="n">
        <x:f>'Evaluation Plan'!E105</x:f>
        <x:v>0</x:v>
      </x:c>
      <x:c r="F105" s="10" t="str">
        <x:f>'Evaluation Plan'!F105</x:f>
        <x:v>172</x:v>
      </x:c>
      <x:c r="G105" s="11" t="str">
        <x:f>'Evaluation Plan'!G105</x:f>
        <x:v>Physical-state and manipulation-trajectory reference under a direct category prompt; the evaluated state word × object-category cell is intentionally absent from training.</x:v>
      </x:c>
      <x:c r="H105" s="11" t="str">
        <x:f>'Evaluation Plan'!H105</x:f>
        <x:v>glass spice container B</x:v>
      </x:c>
      <x:c r="I105" s="11"/>
      <x:c r="J105" s="12" t="str">
        <x:f>'Evaluation Plan'!J105</x:f>
        <x:v>Concept/compositional transfer</x:v>
      </x:c>
      <x:c r="K105" s="10" t="str">
        <x:f>'Evaluation Plan'!K105</x:f>
        <x:v>SR-CT44</x:v>
      </x:c>
      <x:c r="L105" s="10" t="str">
        <x:f>'Evaluation Plan'!L105</x:f>
        <x:v>RU</x:v>
      </x:c>
      <x:c r="M105" s="10" t="str">
        <x:f>'Evaluation Plan'!M105</x:f>
        <x:v>glass spice container</x:v>
      </x:c>
      <x:c r="N105" s="10" t="n">
        <x:f>'Evaluation Plan'!N105</x:f>
        <x:v>3</x:v>
      </x:c>
      <x:c r="O105" s="10" t="n">
        <x:f>'Evaluation Plan'!O105</x:f>
        <x:v>1</x:v>
      </x:c>
      <x:c r="P105" s="10" t="str">
        <x:f>'Evaluation Plan'!P105</x:f>
        <x:v>Empty</x:v>
      </x:c>
      <x:c r="Q105" s="11" t="str">
        <x:f>'Evaluation Plan'!Q105</x:f>
        <x:v>Primary held-out state-object composition</x:v>
      </x:c>
      <x:c r="R105" s="10" t="n">
        <x:f>'Evaluation Plan'!R105</x:f>
        <x:v>4</x:v>
      </x:c>
      <x:c r="S105" s="11" t="str">
        <x:f>'Evaluation Plan'!S105</x:f>
        <x:v>Build the listed same-category discrimination scene with the bowl empty.</x:v>
      </x:c>
      <x:c r="T105" s="11" t="str">
        <x:f>'Evaluation Plan'!T105</x:f>
        <x:v>Two same-category candidates share the non-queried state axis; only the held-out state word identifies the target. The same-category candidates share the orthogonal C/O state (C).</x:v>
      </x:c>
      <x:c r="U105" s="11" t="n">
        <x:f>'Evaluation Plan'!U105</x:f>
        <x:v>0</x:v>
      </x:c>
    </x:row>
    <x:row r="106" ht="51" customHeight="1">
      <x:c r="A106" s="5" t="s">
        <x:v>181</x:v>
      </x:c>
      <x:c r="B106" s="4" t="n">
        <x:f>'Evaluation Plan'!B106</x:f>
        <x:v>104</x:v>
      </x:c>
      <x:c r="C106" s="5" t="str">
        <x:f>'Evaluation Plan'!C106</x:f>
        <x:v>Place the upside-down white cup in the bowl.</x:v>
      </x:c>
      <x:c r="D106" s="5" t="str">
        <x:f>'Evaluation Plan'!D106</x:f>
        <x:v>white cup A (O, UD); white cup B (O, RU); glass spice container A (C, RU); yellow-white striped cup B (O, RU)</x:v>
      </x:c>
      <x:c r="E106" s="4" t="n">
        <x:f>'Evaluation Plan'!E106</x:f>
        <x:v>0</x:v>
      </x:c>
      <x:c r="F106" s="4" t="str">
        <x:f>'Evaluation Plan'!F106</x:f>
        <x:v>32</x:v>
      </x:c>
      <x:c r="G106" s="5" t="str">
        <x:f>'Evaluation Plan'!G106</x:f>
        <x:v>Physical-state and manipulation-trajectory reference under a direct category prompt; the evaluated state word × object-category cell is intentionally absent from training.</x:v>
      </x:c>
      <x:c r="H106" s="5" t="str">
        <x:f>'Evaluation Plan'!H106</x:f>
        <x:v>white cup A</x:v>
      </x:c>
      <x:c r="I106" s="5"/>
      <x:c r="J106" s="12" t="str">
        <x:f>'Evaluation Plan'!J106</x:f>
        <x:v>Concept/compositional transfer</x:v>
      </x:c>
      <x:c r="K106" s="4" t="str">
        <x:f>'Evaluation Plan'!K106</x:f>
        <x:v>SR-CT45</x:v>
      </x:c>
      <x:c r="L106" s="4" t="str">
        <x:f>'Evaluation Plan'!L106</x:f>
        <x:v>UD</x:v>
      </x:c>
      <x:c r="M106" s="4" t="str">
        <x:f>'Evaluation Plan'!M106</x:f>
        <x:v>white cup</x:v>
      </x:c>
      <x:c r="N106" s="4" t="n">
        <x:f>'Evaluation Plan'!N106</x:f>
        <x:v>4</x:v>
      </x:c>
      <x:c r="O106" s="4" t="n">
        <x:f>'Evaluation Plan'!O106</x:f>
        <x:v>1</x:v>
      </x:c>
      <x:c r="P106" s="4" t="str">
        <x:f>'Evaluation Plan'!P106</x:f>
        <x:v>Empty</x:v>
      </x:c>
      <x:c r="Q106" s="5" t="str">
        <x:f>'Evaluation Plan'!Q106</x:f>
        <x:v>Primary held-out state-object composition</x:v>
      </x:c>
      <x:c r="R106" s="4" t="n">
        <x:f>'Evaluation Plan'!R106</x:f>
        <x:v>4</x:v>
      </x:c>
      <x:c r="S106" s="5" t="str">
        <x:f>'Evaluation Plan'!S106</x:f>
        <x:v>Build the listed same-category discrimination scene with the bowl empty.</x:v>
      </x:c>
      <x:c r="T106" s="5" t="str">
        <x:f>'Evaluation Plan'!T106</x:f>
        <x:v>Two same-category candidates share the non-queried state axis; only the held-out state word identifies the target. The same-category candidates share the orthogonal C/O state (O).</x:v>
      </x:c>
      <x:c r="U106" s="5" t="n">
        <x:f>'Evaluation Plan'!U106</x:f>
        <x:v>0</x:v>
      </x:c>
    </x:row>
    <x:row r="107" ht="51" customHeight="1">
      <x:c r="A107" s="11" t="s">
        <x:v>181</x:v>
      </x:c>
      <x:c r="B107" s="10" t="n">
        <x:f>'Evaluation Plan'!B107</x:f>
        <x:v>105</x:v>
      </x:c>
      <x:c r="C107" s="11" t="str">
        <x:f>'Evaluation Plan'!C107</x:f>
        <x:v>Place the open yellow-white striped cup in the bowl.</x:v>
      </x:c>
      <x:c r="D107" s="11" t="str">
        <x:f>'Evaluation Plan'!D107</x:f>
        <x:v>yellow-white striped cup B (O, RU); yellow-white striped cup A (C, RU)</x:v>
      </x:c>
      <x:c r="E107" s="10" t="n">
        <x:f>'Evaluation Plan'!E107</x:f>
        <x:v>0</x:v>
      </x:c>
      <x:c r="F107" s="10" t="str">
        <x:f>'Evaluation Plan'!F107</x:f>
        <x:v>53</x:v>
      </x:c>
      <x:c r="G107" s="11" t="str">
        <x:f>'Evaluation Plan'!G107</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7" s="11" t="str">
        <x:f>'Evaluation Plan'!H107</x:f>
        <x:v>yellow-white striped cup B</x:v>
      </x:c>
      <x:c r="I107" s="11"/>
      <x:c r="J107" s="12" t="str">
        <x:f>'Evaluation Plan'!J107</x:f>
        <x:v>Concept/compositional transfer</x:v>
      </x:c>
      <x:c r="K107" s="10" t="str">
        <x:f>'Evaluation Plan'!K107</x:f>
        <x:v>SR-CT46</x:v>
      </x:c>
      <x:c r="L107" s="10" t="str">
        <x:f>'Evaluation Plan'!L107</x:f>
        <x:v>O</x:v>
      </x:c>
      <x:c r="M107" s="10" t="str">
        <x:f>'Evaluation Plan'!M107</x:f>
        <x:v>yellow-white striped cup</x:v>
      </x:c>
      <x:c r="N107" s="10" t="n">
        <x:f>'Evaluation Plan'!N107</x:f>
        <x:v>2</x:v>
      </x:c>
      <x:c r="O107" s="10" t="n">
        <x:f>'Evaluation Plan'!O107</x:f>
        <x:v>1</x:v>
      </x:c>
      <x:c r="P107" s="10" t="str">
        <x:f>'Evaluation Plan'!P107</x:f>
        <x:v>Empty</x:v>
      </x:c>
      <x:c r="Q107" s="11" t="str">
        <x:f>'Evaluation Plan'!Q107</x:f>
        <x:v>Primary held-out state-object composition</x:v>
      </x:c>
      <x:c r="R107" s="10" t="n">
        <x:f>'Evaluation Plan'!R107</x:f>
        <x:v>4</x:v>
      </x:c>
      <x:c r="S107" s="11" t="str">
        <x:f>'Evaluation Plan'!S107</x:f>
        <x:v>Build the listed same-category discrimination scene with the bowl empty.</x:v>
      </x:c>
      <x:c r="T107" s="11" t="str">
        <x:f>'Evaluation Plan'!T107</x:f>
        <x:v>Two same-category candidates share the non-queried state axis; only the held-out state word identifies the target. The orthogonal orientation axis is fixed: every object is RU.</x:v>
      </x:c>
      <x:c r="U107" s="11" t="n">
        <x:f>'Evaluation Plan'!U107</x:f>
        <x:v>0</x:v>
      </x:c>
    </x:row>
    <x:row r="108" ht="51" customHeight="1">
      <x:c r="A108" s="5" t="s">
        <x:v>181</x:v>
      </x:c>
      <x:c r="B108" s="4" t="n">
        <x:f>'Evaluation Plan'!B108</x:f>
        <x:v>106</x:v>
      </x:c>
      <x:c r="C108" s="5" t="str">
        <x:f>'Evaluation Plan'!C108</x:f>
        <x:v>Place the closed brown cup in the bowl.</x:v>
      </x:c>
      <x:c r="D108" s="5" t="str">
        <x:f>'Evaluation Plan'!D108</x:f>
        <x:v>brown cup A (C, RU); brown cup B (O, RU); yellow-white striped cup A (C, RU)</x:v>
      </x:c>
      <x:c r="E108" s="4" t="n">
        <x:f>'Evaluation Plan'!E108</x:f>
        <x:v>0</x:v>
      </x:c>
      <x:c r="F108" s="4" t="str">
        <x:f>'Evaluation Plan'!F108</x:f>
        <x:v>129</x:v>
      </x:c>
      <x:c r="G108" s="5" t="str">
        <x:f>'Evaluation Plan'!G108</x:f>
        <x:v>Physical-state and manipulation-trajectory reference under a direct category prompt; the evaluated state word × object-category cell is intentionally absent from training. All objects are upright, matching the context of every explicit open/closed training demonstration.</x:v>
      </x:c>
      <x:c r="H108" s="5" t="str">
        <x:f>'Evaluation Plan'!H108</x:f>
        <x:v>brown cup A</x:v>
      </x:c>
      <x:c r="I108" s="5"/>
      <x:c r="J108" s="12" t="str">
        <x:f>'Evaluation Plan'!J108</x:f>
        <x:v>Concept/compositional transfer</x:v>
      </x:c>
      <x:c r="K108" s="4" t="str">
        <x:f>'Evaluation Plan'!K108</x:f>
        <x:v>SR-CT47</x:v>
      </x:c>
      <x:c r="L108" s="4" t="str">
        <x:f>'Evaluation Plan'!L108</x:f>
        <x:v>C</x:v>
      </x:c>
      <x:c r="M108" s="4" t="str">
        <x:f>'Evaluation Plan'!M108</x:f>
        <x:v>brown cup</x:v>
      </x:c>
      <x:c r="N108" s="4" t="n">
        <x:f>'Evaluation Plan'!N108</x:f>
        <x:v>3</x:v>
      </x:c>
      <x:c r="O108" s="4" t="n">
        <x:f>'Evaluation Plan'!O108</x:f>
        <x:v>1</x:v>
      </x:c>
      <x:c r="P108" s="4" t="str">
        <x:f>'Evaluation Plan'!P108</x:f>
        <x:v>Empty</x:v>
      </x:c>
      <x:c r="Q108" s="5" t="str">
        <x:f>'Evaluation Plan'!Q108</x:f>
        <x:v>Primary held-out state-object composition</x:v>
      </x:c>
      <x:c r="R108" s="4" t="n">
        <x:f>'Evaluation Plan'!R108</x:f>
        <x:v>4</x:v>
      </x:c>
      <x:c r="S108" s="5" t="str">
        <x:f>'Evaluation Plan'!S108</x:f>
        <x:v>Build the listed same-category discrimination scene with the bowl empty.</x:v>
      </x:c>
      <x:c r="T108" s="5" t="str">
        <x:f>'Evaluation Plan'!T108</x:f>
        <x:v>Two same-category candidates share the non-queried state axis; only the held-out state word identifies the target. The orthogonal orientation axis is fixed: every object is RU.</x:v>
      </x:c>
      <x:c r="U108" s="5" t="n">
        <x:f>'Evaluation Plan'!U108</x:f>
        <x:v>0</x:v>
      </x:c>
    </x:row>
    <x:row r="109" ht="51" customHeight="1">
      <x:c r="A109" s="11" t="s">
        <x:v>181</x:v>
      </x:c>
      <x:c r="B109" s="10" t="n">
        <x:f>'Evaluation Plan'!B109</x:f>
        <x:v>107</x:v>
      </x:c>
      <x:c r="C109" s="11" t="str">
        <x:f>'Evaluation Plan'!C109</x:f>
        <x:v>Place the upright glass spice container in the bowl.</x:v>
      </x:c>
      <x:c r="D109" s="11" t="str">
        <x:f>'Evaluation Plan'!D109</x:f>
        <x:v>glass spice container B (O, RU); glass spice container A (O, UD); brown cup B (O, UD); white cup A (C, RU)</x:v>
      </x:c>
      <x:c r="E109" s="10" t="n">
        <x:f>'Evaluation Plan'!E109</x:f>
        <x:v>0</x:v>
      </x:c>
      <x:c r="F109" s="10" t="str">
        <x:f>'Evaluation Plan'!F109</x:f>
        <x:v>157</x:v>
      </x:c>
      <x:c r="G109" s="11" t="str">
        <x:f>'Evaluation Plan'!G109</x:f>
        <x:v>Physical-state and manipulation-trajectory reference under a direct category prompt; the evaluated state word × object-category cell is intentionally absent from training.</x:v>
      </x:c>
      <x:c r="H109" s="11" t="str">
        <x:f>'Evaluation Plan'!H109</x:f>
        <x:v>glass spice container B</x:v>
      </x:c>
      <x:c r="I109" s="11"/>
      <x:c r="J109" s="12" t="str">
        <x:f>'Evaluation Plan'!J109</x:f>
        <x:v>Concept/compositional transfer</x:v>
      </x:c>
      <x:c r="K109" s="10" t="str">
        <x:f>'Evaluation Plan'!K109</x:f>
        <x:v>SR-CT48</x:v>
      </x:c>
      <x:c r="L109" s="10" t="str">
        <x:f>'Evaluation Plan'!L109</x:f>
        <x:v>RU</x:v>
      </x:c>
      <x:c r="M109" s="10" t="str">
        <x:f>'Evaluation Plan'!M109</x:f>
        <x:v>glass spice container</x:v>
      </x:c>
      <x:c r="N109" s="10" t="n">
        <x:f>'Evaluation Plan'!N109</x:f>
        <x:v>4</x:v>
      </x:c>
      <x:c r="O109" s="10" t="n">
        <x:f>'Evaluation Plan'!O109</x:f>
        <x:v>1</x:v>
      </x:c>
      <x:c r="P109" s="10" t="str">
        <x:f>'Evaluation Plan'!P109</x:f>
        <x:v>Empty</x:v>
      </x:c>
      <x:c r="Q109" s="11" t="str">
        <x:f>'Evaluation Plan'!Q109</x:f>
        <x:v>Primary held-out state-object composition</x:v>
      </x:c>
      <x:c r="R109" s="10" t="n">
        <x:f>'Evaluation Plan'!R109</x:f>
        <x:v>4</x:v>
      </x:c>
      <x:c r="S109" s="11" t="str">
        <x:f>'Evaluation Plan'!S109</x:f>
        <x:v>Build the listed same-category discrimination scene with the bowl empty.</x:v>
      </x:c>
      <x:c r="T109" s="11" t="str">
        <x:f>'Evaluation Plan'!T109</x:f>
        <x:v>Two same-category candidates share the non-queried state axis; only the held-out state word identifies the target. The same-category candidates share the orthogonal C/O state (O).</x:v>
      </x:c>
      <x:c r="U109" s="11" t="n">
        <x:f>'Evaluation Plan'!U109</x:f>
        <x:v>0</x:v>
      </x:c>
    </x:row>
    <x:row r="110" ht="51" customHeight="1">
      <x:c r="A110" s="5" t="s">
        <x:v>181</x:v>
      </x:c>
      <x:c r="B110" s="4" t="n">
        <x:f>'Evaluation Plan'!B110</x:f>
        <x:v>108</x:v>
      </x:c>
      <x:c r="C110" s="5" t="str">
        <x:f>'Evaluation Plan'!C110</x:f>
        <x:v>Place the upside-down white cup in the bowl.</x:v>
      </x:c>
      <x:c r="D110" s="5" t="str">
        <x:f>'Evaluation Plan'!D110</x:f>
        <x:v>white cup A (C, UD); white cup B (C, RU)</x:v>
      </x:c>
      <x:c r="E110" s="4" t="n">
        <x:f>'Evaluation Plan'!E110</x:f>
        <x:v>0</x:v>
      </x:c>
      <x:c r="F110" s="4" t="str">
        <x:f>'Evaluation Plan'!F110</x:f>
        <x:v>35</x:v>
      </x:c>
      <x:c r="G110" s="5" t="str">
        <x:f>'Evaluation Plan'!G110</x:f>
        <x:v>Physical-state and manipulation-trajectory reference under a direct category prompt; the evaluated state word × object-category cell is intentionally absent from training.</x:v>
      </x:c>
      <x:c r="H110" s="5" t="str">
        <x:f>'Evaluation Plan'!H110</x:f>
        <x:v>white cup A</x:v>
      </x:c>
      <x:c r="I110" s="5"/>
      <x:c r="J110" s="12" t="str">
        <x:f>'Evaluation Plan'!J110</x:f>
        <x:v>Concept/compositional transfer</x:v>
      </x:c>
      <x:c r="K110" s="4" t="str">
        <x:f>'Evaluation Plan'!K110</x:f>
        <x:v>SR-CT49</x:v>
      </x:c>
      <x:c r="L110" s="4" t="str">
        <x:f>'Evaluation Plan'!L110</x:f>
        <x:v>UD</x:v>
      </x:c>
      <x:c r="M110" s="4" t="str">
        <x:f>'Evaluation Plan'!M110</x:f>
        <x:v>white cup</x:v>
      </x:c>
      <x:c r="N110" s="4" t="n">
        <x:f>'Evaluation Plan'!N110</x:f>
        <x:v>2</x:v>
      </x:c>
      <x:c r="O110" s="4" t="n">
        <x:f>'Evaluation Plan'!O110</x:f>
        <x:v>1</x:v>
      </x:c>
      <x:c r="P110" s="4" t="str">
        <x:f>'Evaluation Plan'!P110</x:f>
        <x:v>Empty</x:v>
      </x:c>
      <x:c r="Q110" s="5" t="str">
        <x:f>'Evaluation Plan'!Q110</x:f>
        <x:v>Primary held-out state-object composition</x:v>
      </x:c>
      <x:c r="R110" s="4" t="n">
        <x:f>'Evaluation Plan'!R110</x:f>
        <x:v>4</x:v>
      </x:c>
      <x:c r="S110" s="5" t="str">
        <x:f>'Evaluation Plan'!S110</x:f>
        <x:v>Build the listed same-category discrimination scene with the bowl empty.</x:v>
      </x:c>
      <x:c r="T110" s="5" t="str">
        <x:f>'Evaluation Plan'!T110</x:f>
        <x:v>Two same-category candidates share the non-queried state axis; only the held-out state word identifies the target. The same-category candidates share the orthogonal C/O state (C).</x:v>
      </x:c>
      <x:c r="U110" s="5" t="n">
        <x:f>'Evaluation Plan'!U110</x:f>
        <x:v>0</x:v>
      </x:c>
    </x:row>
    <x:row r="111" ht="51" customHeight="1">
      <x:c r="A111" s="11" t="s">
        <x:v>181</x:v>
      </x:c>
      <x:c r="B111" s="10" t="n">
        <x:f>'Evaluation Plan'!B111</x:f>
        <x:v>109</x:v>
      </x:c>
      <x:c r="C111" s="11" t="str">
        <x:f>'Evaluation Plan'!C111</x:f>
        <x:v>Place the open yellow-white striped cup in the bowl.</x:v>
      </x:c>
      <x:c r="D111" s="11" t="str">
        <x:f>'Evaluation Plan'!D111</x:f>
        <x:v>yellow-white striped cup B (O, RU); yellow-white striped cup A (C, RU); brown cup B (O, RU)</x:v>
      </x:c>
      <x:c r="E111" s="10" t="n">
        <x:f>'Evaluation Plan'!E111</x:f>
        <x:v>0</x:v>
      </x:c>
      <x:c r="F111" s="10" t="str">
        <x:f>'Evaluation Plan'!F111</x:f>
        <x:v>64</x:v>
      </x:c>
      <x:c r="G111" s="11" t="str">
        <x:f>'Evaluation Plan'!G111</x:f>
        <x:v>Physical-state and manipulation-trajectory reference under a direct category prompt; the evaluated state word × object-category cell is intentionally absent from training. All objects are upright, matching the context of every explicit open/closed training demonstration.</x:v>
      </x:c>
      <x:c r="H111" s="11" t="str">
        <x:f>'Evaluation Plan'!H111</x:f>
        <x:v>yellow-white striped cup B</x:v>
      </x:c>
      <x:c r="I111" s="11"/>
      <x:c r="J111" s="12" t="str">
        <x:f>'Evaluation Plan'!J111</x:f>
        <x:v>Concept/compositional transfer</x:v>
      </x:c>
      <x:c r="K111" s="10" t="str">
        <x:f>'Evaluation Plan'!K111</x:f>
        <x:v>SR-CT50</x:v>
      </x:c>
      <x:c r="L111" s="10" t="str">
        <x:f>'Evaluation Plan'!L111</x:f>
        <x:v>O</x:v>
      </x:c>
      <x:c r="M111" s="10" t="str">
        <x:f>'Evaluation Plan'!M111</x:f>
        <x:v>yellow-white striped cup</x:v>
      </x:c>
      <x:c r="N111" s="10" t="n">
        <x:f>'Evaluation Plan'!N111</x:f>
        <x:v>3</x:v>
      </x:c>
      <x:c r="O111" s="10" t="n">
        <x:f>'Evaluation Plan'!O111</x:f>
        <x:v>1</x:v>
      </x:c>
      <x:c r="P111" s="10" t="str">
        <x:f>'Evaluation Plan'!P111</x:f>
        <x:v>Empty</x:v>
      </x:c>
      <x:c r="Q111" s="11" t="str">
        <x:f>'Evaluation Plan'!Q111</x:f>
        <x:v>Primary held-out state-object composition</x:v>
      </x:c>
      <x:c r="R111" s="10" t="n">
        <x:f>'Evaluation Plan'!R111</x:f>
        <x:v>4</x:v>
      </x:c>
      <x:c r="S111" s="11" t="str">
        <x:f>'Evaluation Plan'!S111</x:f>
        <x:v>Build the listed same-category discrimination scene with the bowl empty.</x:v>
      </x:c>
      <x:c r="T111" s="11" t="str">
        <x:f>'Evaluation Plan'!T111</x:f>
        <x:v>Two same-category candidates share the non-queried state axis; only the held-out state word identifies the target. The orthogonal orientation axis is fixed: every object is RU.</x:v>
      </x:c>
      <x:c r="U111" s="11" t="n">
        <x:f>'Evaluation Plan'!U111</x:f>
        <x:v>0</x:v>
      </x:c>
    </x:row>
    <x:row r="112" ht="51" customHeight="1">
      <x:c r="A112" s="5" t="s">
        <x:v>181</x:v>
      </x:c>
      <x:c r="B112" s="4" t="n">
        <x:f>'Evaluation Plan'!B112</x:f>
        <x:v>110</x:v>
      </x:c>
      <x:c r="C112" s="5" t="str">
        <x:f>'Evaluation Plan'!C112</x:f>
        <x:v>Place the closed black cup in the bowl.</x:v>
      </x:c>
      <x:c r="D112" s="5" t="str">
        <x:f>'Evaluation Plan'!D112</x:f>
        <x:v>black cup A (C, RU); black cup B (O, RU)</x:v>
      </x:c>
      <x:c r="E112" s="4" t="n">
        <x:f>'Evaluation Plan'!E112</x:f>
        <x:v>0</x:v>
      </x:c>
      <x:c r="F112" s="4" t="n">
        <x:f>'Evaluation Plan'!F112</x:f>
        <x:v>0</x:v>
      </x:c>
      <x:c r="G112" s="5" t="str">
        <x:f>'Evaluation Plan'!G112</x:f>
        <x:v>State-word concept reference from training episode 0; black cups are globally unseen. This is an exact-scene state counterfactual pair, not a direct-name manipulation control.</x:v>
      </x:c>
      <x:c r="H112" s="5" t="str">
        <x:f>'Evaluation Plan'!H112</x:f>
        <x:v>black cup A</x:v>
      </x:c>
      <x:c r="I112" s="5"/>
      <x:c r="J112" s="19" t="str">
        <x:f>'Evaluation Plan'!J112</x:f>
        <x:v>Novel-object state reasoning</x:v>
      </x:c>
      <x:c r="K112" s="4" t="str">
        <x:f>'Evaluation Plan'!K112</x:f>
        <x:v>SR-BLACK-CF01</x:v>
      </x:c>
      <x:c r="L112" s="4" t="str">
        <x:f>'Evaluation Plan'!L112</x:f>
        <x:v>C</x:v>
      </x:c>
      <x:c r="M112" s="4" t="str">
        <x:f>'Evaluation Plan'!M112</x:f>
        <x:v>black cup</x:v>
      </x:c>
      <x:c r="N112" s="4" t="n">
        <x:f>'Evaluation Plan'!N112</x:f>
        <x:v>2</x:v>
      </x:c>
      <x:c r="O112" s="4" t="n">
        <x:f>'Evaluation Plan'!O112</x:f>
        <x:v>1</x:v>
      </x:c>
      <x:c r="P112" s="4" t="str">
        <x:f>'Evaluation Plan'!P112</x:f>
        <x:v>Empty</x:v>
      </x:c>
      <x:c r="Q112" s="5" t="str">
        <x:f>'Evaluation Plan'!Q112</x:f>
        <x:v>Exact-scene counterfactual globally unseen black-cup state reasoning</x:v>
      </x:c>
      <x:c r="R112" s="4" t="n">
        <x:f>'Evaluation Plan'!R112</x:f>
        <x:v>5</x:v>
      </x:c>
      <x:c r="S112" s="5" t="str">
        <x:f>'Evaluation Plan'!S112</x:f>
        <x:v>Build the listed scene with both black cups and an empty bowl.</x:v>
      </x:c>
      <x:c r="T112" s="5" t="str">
        <x:f>'Evaluation Plan'!T112</x:f>
        <x:v>Counterfactual C/O pair: both black cups and every distractor are RU; only the queried state word changes the correct black cup.</x:v>
      </x:c>
      <x:c r="U112" s="5" t="n">
        <x:f>'Evaluation Plan'!U112</x:f>
        <x:v>0</x:v>
      </x:c>
    </x:row>
    <x:row r="113" ht="51" customHeight="1">
      <x:c r="A113" s="11" t="s">
        <x:v>181</x:v>
      </x:c>
      <x:c r="B113" s="10" t="n">
        <x:f>'Evaluation Plan'!B113</x:f>
        <x:v>111</x:v>
      </x:c>
      <x:c r="C113" s="11" t="str">
        <x:f>'Evaluation Plan'!C113</x:f>
        <x:v>Place the open black cup in the bowl.</x:v>
      </x:c>
      <x:c r="D113" s="11" t="str">
        <x:f>'Evaluation Plan'!D113</x:f>
        <x:v>black cup A (C, RU); black cup B (O, RU)</x:v>
      </x:c>
      <x:c r="E113" s="10" t="n">
        <x:f>'Evaluation Plan'!E113</x:f>
        <x:v>110</x:v>
      </x:c>
      <x:c r="F113" s="10" t="n">
        <x:f>'Evaluation Plan'!F113</x:f>
        <x:v>101</x:v>
      </x:c>
      <x:c r="G113" s="11" t="str">
        <x:f>'Evaluation Plan'!G113</x:f>
        <x:v>State-word concept reference from training episode 101; black cups are globally unseen. This is an exact-scene state counterfactual pair, not a direct-name manipulation control.</x:v>
      </x:c>
      <x:c r="H113" s="11" t="str">
        <x:f>'Evaluation Plan'!H113</x:f>
        <x:v>black cup B</x:v>
      </x:c>
      <x:c r="I113" s="11"/>
      <x:c r="J113" s="19" t="str">
        <x:f>'Evaluation Plan'!J113</x:f>
        <x:v>Novel-object state reasoning</x:v>
      </x:c>
      <x:c r="K113" s="10" t="str">
        <x:f>'Evaluation Plan'!K113</x:f>
        <x:v>SR-BLACK-CF01</x:v>
      </x:c>
      <x:c r="L113" s="10" t="str">
        <x:f>'Evaluation Plan'!L113</x:f>
        <x:v>O</x:v>
      </x:c>
      <x:c r="M113" s="10" t="str">
        <x:f>'Evaluation Plan'!M113</x:f>
        <x:v>black cup</x:v>
      </x:c>
      <x:c r="N113" s="10" t="n">
        <x:f>'Evaluation Plan'!N113</x:f>
        <x:v>2</x:v>
      </x:c>
      <x:c r="O113" s="10" t="n">
        <x:f>'Evaluation Plan'!O113</x:f>
        <x:v>1</x:v>
      </x:c>
      <x:c r="P113" s="10" t="str">
        <x:f>'Evaluation Plan'!P113</x:f>
        <x:v>Empty</x:v>
      </x:c>
      <x:c r="Q113" s="11" t="str">
        <x:f>'Evaluation Plan'!Q113</x:f>
        <x:v>Exact-scene counterfactual globally unseen black-cup state reasoning</x:v>
      </x:c>
      <x:c r="R113" s="10" t="n">
        <x:f>'Evaluation Plan'!R113</x:f>
        <x:v>5</x:v>
      </x:c>
      <x:c r="S113" s="11" t="str">
        <x:f>'Evaluation Plan'!S113</x:f>
        <x:v>Reset the moved black cup to its marked pose; preserve the exact scene and change only the state word in the prompt.</x:v>
      </x:c>
      <x:c r="T113" s="11" t="str">
        <x:f>'Evaluation Plan'!T113</x:f>
        <x:v>Counterfactual C/O pair: both black cups and every distractor are RU; only the queried state word changes the correct black cup.</x:v>
      </x:c>
      <x:c r="U113" s="11" t="n">
        <x:f>'Evaluation Plan'!U113</x:f>
        <x:v>0</x:v>
      </x:c>
    </x:row>
    <x:row r="114" ht="51" customHeight="1">
      <x:c r="A114" s="5" t="s">
        <x:v>181</x:v>
      </x:c>
      <x:c r="B114" s="4" t="n">
        <x:f>'Evaluation Plan'!B114</x:f>
        <x:v>112</x:v>
      </x:c>
      <x:c r="C114" s="5" t="str">
        <x:f>'Evaluation Plan'!C114</x:f>
        <x:v>Place the upside-down black cup in the bowl.</x:v>
      </x:c>
      <x:c r="D114" s="5" t="str">
        <x:f>'Evaluation Plan'!D114</x:f>
        <x:v>black cup A (C, UD); black cup B (C, RU); yellow-white striped cup B (O, UD)</x:v>
      </x:c>
      <x:c r="E114" s="4" t="n">
        <x:f>'Evaluation Plan'!E114</x:f>
        <x:v>0</x:v>
      </x:c>
      <x:c r="F114" s="4" t="n">
        <x:f>'Evaluation Plan'!F114</x:f>
        <x:v>78</x:v>
      </x:c>
      <x:c r="G114" s="5" t="str">
        <x:f>'Evaluation Plan'!G114</x:f>
        <x:v>State-word concept reference from training episode 78; black cups are globally unseen. This is an exact-scene state counterfactual pair, not a direct-name manipulation control.</x:v>
      </x:c>
      <x:c r="H114" s="5" t="str">
        <x:f>'Evaluation Plan'!H114</x:f>
        <x:v>black cup A</x:v>
      </x:c>
      <x:c r="I114" s="5"/>
      <x:c r="J114" s="19" t="str">
        <x:f>'Evaluation Plan'!J114</x:f>
        <x:v>Novel-object state reasoning</x:v>
      </x:c>
      <x:c r="K114" s="4" t="str">
        <x:f>'Evaluation Plan'!K114</x:f>
        <x:v>SR-BLACK-CF02</x:v>
      </x:c>
      <x:c r="L114" s="4" t="str">
        <x:f>'Evaluation Plan'!L114</x:f>
        <x:v>UD</x:v>
      </x:c>
      <x:c r="M114" s="4" t="str">
        <x:f>'Evaluation Plan'!M114</x:f>
        <x:v>black cup</x:v>
      </x:c>
      <x:c r="N114" s="4" t="n">
        <x:f>'Evaluation Plan'!N114</x:f>
        <x:v>3</x:v>
      </x:c>
      <x:c r="O114" s="4" t="n">
        <x:f>'Evaluation Plan'!O114</x:f>
        <x:v>1</x:v>
      </x:c>
      <x:c r="P114" s="4" t="str">
        <x:f>'Evaluation Plan'!P114</x:f>
        <x:v>Empty</x:v>
      </x:c>
      <x:c r="Q114" s="5" t="str">
        <x:f>'Evaluation Plan'!Q114</x:f>
        <x:v>Exact-scene counterfactual globally unseen black-cup state reasoning</x:v>
      </x:c>
      <x:c r="R114" s="4" t="n">
        <x:f>'Evaluation Plan'!R114</x:f>
        <x:v>5</x:v>
      </x:c>
      <x:c r="S114" s="5" t="str">
        <x:f>'Evaluation Plan'!S114</x:f>
        <x:v>Build the listed scene with both black cups and an empty bowl.</x:v>
      </x:c>
      <x:c r="T114" s="5" t="str">
        <x:f>'Evaluation Plan'!T114</x:f>
        <x:v>Counterfactual UD/RU pair: both black cups share the orthogonal C/O state (C); only the queried state word changes the correct black cup.</x:v>
      </x:c>
      <x:c r="U114" s="5" t="n">
        <x:f>'Evaluation Plan'!U114</x:f>
        <x:v>0</x:v>
      </x:c>
    </x:row>
    <x:row r="115" ht="51" customHeight="1">
      <x:c r="A115" s="11" t="s">
        <x:v>181</x:v>
      </x:c>
      <x:c r="B115" s="10" t="n">
        <x:f>'Evaluation Plan'!B115</x:f>
        <x:v>113</x:v>
      </x:c>
      <x:c r="C115" s="11" t="str">
        <x:f>'Evaluation Plan'!C115</x:f>
        <x:v>Place the upright black cup in the bowl.</x:v>
      </x:c>
      <x:c r="D115" s="11" t="str">
        <x:f>'Evaluation Plan'!D115</x:f>
        <x:v>black cup A (C, UD); black cup B (C, RU); yellow-white striped cup B (O, UD)</x:v>
      </x:c>
      <x:c r="E115" s="10" t="n">
        <x:f>'Evaluation Plan'!E115</x:f>
        <x:v>112</x:v>
      </x:c>
      <x:c r="F115" s="10" t="n">
        <x:f>'Evaluation Plan'!F115</x:f>
        <x:v>26</x:v>
      </x:c>
      <x:c r="G115" s="11" t="str">
        <x:f>'Evaluation Plan'!G115</x:f>
        <x:v>State-word concept reference from training episode 26; black cups are globally unseen. This is an exact-scene state counterfactual pair, not a direct-name manipulation control.</x:v>
      </x:c>
      <x:c r="H115" s="11" t="str">
        <x:f>'Evaluation Plan'!H115</x:f>
        <x:v>black cup B</x:v>
      </x:c>
      <x:c r="I115" s="11"/>
      <x:c r="J115" s="19" t="str">
        <x:f>'Evaluation Plan'!J115</x:f>
        <x:v>Novel-object state reasoning</x:v>
      </x:c>
      <x:c r="K115" s="10" t="str">
        <x:f>'Evaluation Plan'!K115</x:f>
        <x:v>SR-BLACK-CF02</x:v>
      </x:c>
      <x:c r="L115" s="10" t="str">
        <x:f>'Evaluation Plan'!L115</x:f>
        <x:v>RU</x:v>
      </x:c>
      <x:c r="M115" s="10" t="str">
        <x:f>'Evaluation Plan'!M115</x:f>
        <x:v>black cup</x:v>
      </x:c>
      <x:c r="N115" s="10" t="n">
        <x:f>'Evaluation Plan'!N115</x:f>
        <x:v>3</x:v>
      </x:c>
      <x:c r="O115" s="10" t="n">
        <x:f>'Evaluation Plan'!O115</x:f>
        <x:v>1</x:v>
      </x:c>
      <x:c r="P115" s="10" t="str">
        <x:f>'Evaluation Plan'!P115</x:f>
        <x:v>Empty</x:v>
      </x:c>
      <x:c r="Q115" s="11" t="str">
        <x:f>'Evaluation Plan'!Q115</x:f>
        <x:v>Exact-scene counterfactual globally unseen black-cup state reasoning</x:v>
      </x:c>
      <x:c r="R115" s="10" t="n">
        <x:f>'Evaluation Plan'!R115</x:f>
        <x:v>5</x:v>
      </x:c>
      <x:c r="S115" s="11" t="str">
        <x:f>'Evaluation Plan'!S115</x:f>
        <x:v>Reset the moved black cup to its marked pose; preserve the exact scene and change only the state word in the prompt.</x:v>
      </x:c>
      <x:c r="T115" s="11" t="str">
        <x:f>'Evaluation Plan'!T115</x:f>
        <x:v>Counterfactual UD/RU pair: both black cups share the orthogonal C/O state (C); only the queried state word changes the correct black cup.</x:v>
      </x:c>
      <x:c r="U115" s="11" t="n">
        <x:f>'Evaluation Plan'!U115</x:f>
        <x:v>0</x:v>
      </x:c>
    </x:row>
    <x:row r="116" ht="51" customHeight="1">
      <x:c r="A116" s="5" t="s">
        <x:v>181</x:v>
      </x:c>
      <x:c r="B116" s="4" t="n">
        <x:f>'Evaluation Plan'!B116</x:f>
        <x:v>114</x:v>
      </x:c>
      <x:c r="C116" s="5" t="str">
        <x:f>'Evaluation Plan'!C116</x:f>
        <x:v>Place the closed black cup in the bowl.</x:v>
      </x:c>
      <x:c r="D116" s="5" t="str">
        <x:f>'Evaluation Plan'!D116</x:f>
        <x:v>black cup A (O, RU); black cup B (C, RU); brown cup A (C, RU); glass spice container B (O, RU)</x:v>
      </x:c>
      <x:c r="E116" s="4" t="n">
        <x:f>'Evaluation Plan'!E116</x:f>
        <x:v>0</x:v>
      </x:c>
      <x:c r="F116" s="4" t="n">
        <x:f>'Evaluation Plan'!F116</x:f>
        <x:v>0</x:v>
      </x:c>
      <x:c r="G116" s="5" t="str">
        <x:f>'Evaluation Plan'!G116</x:f>
        <x:v>State-word concept reference from training episode 0; black cups are globally unseen. This is an exact-scene state counterfactual pair, not a direct-name manipulation control.</x:v>
      </x:c>
      <x:c r="H116" s="5" t="str">
        <x:f>'Evaluation Plan'!H116</x:f>
        <x:v>black cup B</x:v>
      </x:c>
      <x:c r="I116" s="5"/>
      <x:c r="J116" s="19" t="str">
        <x:f>'Evaluation Plan'!J116</x:f>
        <x:v>Novel-object state reasoning</x:v>
      </x:c>
      <x:c r="K116" s="4" t="str">
        <x:f>'Evaluation Plan'!K116</x:f>
        <x:v>SR-BLACK-CF03</x:v>
      </x:c>
      <x:c r="L116" s="4" t="str">
        <x:f>'Evaluation Plan'!L116</x:f>
        <x:v>C</x:v>
      </x:c>
      <x:c r="M116" s="4" t="str">
        <x:f>'Evaluation Plan'!M116</x:f>
        <x:v>black cup</x:v>
      </x:c>
      <x:c r="N116" s="4" t="n">
        <x:f>'Evaluation Plan'!N116</x:f>
        <x:v>4</x:v>
      </x:c>
      <x:c r="O116" s="4" t="n">
        <x:f>'Evaluation Plan'!O116</x:f>
        <x:v>1</x:v>
      </x:c>
      <x:c r="P116" s="4" t="str">
        <x:f>'Evaluation Plan'!P116</x:f>
        <x:v>Empty</x:v>
      </x:c>
      <x:c r="Q116" s="5" t="str">
        <x:f>'Evaluation Plan'!Q116</x:f>
        <x:v>Exact-scene counterfactual globally unseen black-cup state reasoning</x:v>
      </x:c>
      <x:c r="R116" s="4" t="n">
        <x:f>'Evaluation Plan'!R116</x:f>
        <x:v>5</x:v>
      </x:c>
      <x:c r="S116" s="5" t="str">
        <x:f>'Evaluation Plan'!S116</x:f>
        <x:v>Build the listed scene with both black cups and an empty bowl.</x:v>
      </x:c>
      <x:c r="T116" s="5" t="str">
        <x:f>'Evaluation Plan'!T116</x:f>
        <x:v>Counterfactual C/O pair: both black cups and every distractor are RU; only the queried state word changes the correct black cup.</x:v>
      </x:c>
      <x:c r="U116" s="5" t="n">
        <x:f>'Evaluation Plan'!U116</x:f>
        <x:v>0</x:v>
      </x:c>
    </x:row>
    <x:row r="117" ht="51" customHeight="1">
      <x:c r="A117" s="11" t="s">
        <x:v>181</x:v>
      </x:c>
      <x:c r="B117" s="10" t="n">
        <x:f>'Evaluation Plan'!B117</x:f>
        <x:v>115</x:v>
      </x:c>
      <x:c r="C117" s="11" t="str">
        <x:f>'Evaluation Plan'!C117</x:f>
        <x:v>Place the open black cup in the bowl.</x:v>
      </x:c>
      <x:c r="D117" s="11" t="str">
        <x:f>'Evaluation Plan'!D117</x:f>
        <x:v>black cup A (O, RU); black cup B (C, RU); brown cup A (C, RU); glass spice container B (O, RU)</x:v>
      </x:c>
      <x:c r="E117" s="10" t="n">
        <x:f>'Evaluation Plan'!E117</x:f>
        <x:v>114</x:v>
      </x:c>
      <x:c r="F117" s="10" t="n">
        <x:f>'Evaluation Plan'!F117</x:f>
        <x:v>101</x:v>
      </x:c>
      <x:c r="G117" s="11" t="str">
        <x:f>'Evaluation Plan'!G117</x:f>
        <x:v>State-word concept reference from training episode 101; black cups are globally unseen. This is an exact-scene state counterfactual pair, not a direct-name manipulation control.</x:v>
      </x:c>
      <x:c r="H117" s="11" t="str">
        <x:f>'Evaluation Plan'!H117</x:f>
        <x:v>black cup A</x:v>
      </x:c>
      <x:c r="I117" s="11"/>
      <x:c r="J117" s="19" t="str">
        <x:f>'Evaluation Plan'!J117</x:f>
        <x:v>Novel-object state reasoning</x:v>
      </x:c>
      <x:c r="K117" s="10" t="str">
        <x:f>'Evaluation Plan'!K117</x:f>
        <x:v>SR-BLACK-CF03</x:v>
      </x:c>
      <x:c r="L117" s="10" t="str">
        <x:f>'Evaluation Plan'!L117</x:f>
        <x:v>O</x:v>
      </x:c>
      <x:c r="M117" s="10" t="str">
        <x:f>'Evaluation Plan'!M117</x:f>
        <x:v>black cup</x:v>
      </x:c>
      <x:c r="N117" s="10" t="n">
        <x:f>'Evaluation Plan'!N117</x:f>
        <x:v>4</x:v>
      </x:c>
      <x:c r="O117" s="10" t="n">
        <x:f>'Evaluation Plan'!O117</x:f>
        <x:v>1</x:v>
      </x:c>
      <x:c r="P117" s="10" t="str">
        <x:f>'Evaluation Plan'!P117</x:f>
        <x:v>Empty</x:v>
      </x:c>
      <x:c r="Q117" s="11" t="str">
        <x:f>'Evaluation Plan'!Q117</x:f>
        <x:v>Exact-scene counterfactual globally unseen black-cup state reasoning</x:v>
      </x:c>
      <x:c r="R117" s="10" t="n">
        <x:f>'Evaluation Plan'!R117</x:f>
        <x:v>5</x:v>
      </x:c>
      <x:c r="S117" s="11" t="str">
        <x:f>'Evaluation Plan'!S117</x:f>
        <x:v>Reset the moved black cup to its marked pose; preserve the exact scene and change only the state word in the prompt.</x:v>
      </x:c>
      <x:c r="T117" s="11" t="str">
        <x:f>'Evaluation Plan'!T117</x:f>
        <x:v>Counterfactual C/O pair: both black cups and every distractor are RU; only the queried state word changes the correct black cup.</x:v>
      </x:c>
      <x:c r="U117" s="11" t="n">
        <x:f>'Evaluation Plan'!U117</x:f>
        <x:v>0</x:v>
      </x:c>
    </x:row>
    <x:row r="118" ht="51" customHeight="1">
      <x:c r="A118" s="5" t="s">
        <x:v>181</x:v>
      </x:c>
      <x:c r="B118" s="4" t="n">
        <x:f>'Evaluation Plan'!B118</x:f>
        <x:v>116</x:v>
      </x:c>
      <x:c r="C118" s="5" t="str">
        <x:f>'Evaluation Plan'!C118</x:f>
        <x:v>Place the upside-down black cup in the bowl.</x:v>
      </x:c>
      <x:c r="D118" s="5" t="str">
        <x:f>'Evaluation Plan'!D118</x:f>
        <x:v>black cup A (O, RU); black cup B (O, UD)</x:v>
      </x:c>
      <x:c r="E118" s="4" t="n">
        <x:f>'Evaluation Plan'!E118</x:f>
        <x:v>0</x:v>
      </x:c>
      <x:c r="F118" s="4" t="n">
        <x:f>'Evaluation Plan'!F118</x:f>
        <x:v>78</x:v>
      </x:c>
      <x:c r="G118" s="5" t="str">
        <x:f>'Evaluation Plan'!G118</x:f>
        <x:v>State-word concept reference from training episode 78; black cups are globally unseen. This is an exact-scene state counterfactual pair, not a direct-name manipulation control.</x:v>
      </x:c>
      <x:c r="H118" s="5" t="str">
        <x:f>'Evaluation Plan'!H118</x:f>
        <x:v>black cup B</x:v>
      </x:c>
      <x:c r="I118" s="5"/>
      <x:c r="J118" s="19" t="str">
        <x:f>'Evaluation Plan'!J118</x:f>
        <x:v>Novel-object state reasoning</x:v>
      </x:c>
      <x:c r="K118" s="4" t="str">
        <x:f>'Evaluation Plan'!K118</x:f>
        <x:v>SR-BLACK-CF04</x:v>
      </x:c>
      <x:c r="L118" s="4" t="str">
        <x:f>'Evaluation Plan'!L118</x:f>
        <x:v>UD</x:v>
      </x:c>
      <x:c r="M118" s="4" t="str">
        <x:f>'Evaluation Plan'!M118</x:f>
        <x:v>black cup</x:v>
      </x:c>
      <x:c r="N118" s="4" t="n">
        <x:f>'Evaluation Plan'!N118</x:f>
        <x:v>2</x:v>
      </x:c>
      <x:c r="O118" s="4" t="n">
        <x:f>'Evaluation Plan'!O118</x:f>
        <x:v>1</x:v>
      </x:c>
      <x:c r="P118" s="4" t="str">
        <x:f>'Evaluation Plan'!P118</x:f>
        <x:v>Empty</x:v>
      </x:c>
      <x:c r="Q118" s="5" t="str">
        <x:f>'Evaluation Plan'!Q118</x:f>
        <x:v>Exact-scene counterfactual globally unseen black-cup state reasoning</x:v>
      </x:c>
      <x:c r="R118" s="4" t="n">
        <x:f>'Evaluation Plan'!R118</x:f>
        <x:v>5</x:v>
      </x:c>
      <x:c r="S118" s="5" t="str">
        <x:f>'Evaluation Plan'!S118</x:f>
        <x:v>Build the listed scene with both black cups and an empty bowl.</x:v>
      </x:c>
      <x:c r="T118" s="5" t="str">
        <x:f>'Evaluation Plan'!T118</x:f>
        <x:v>Counterfactual UD/RU pair: both black cups share the orthogonal C/O state (O); only the queried state word changes the correct black cup.</x:v>
      </x:c>
      <x:c r="U118" s="5" t="n">
        <x:f>'Evaluation Plan'!U118</x:f>
        <x:v>0</x:v>
      </x:c>
    </x:row>
    <x:row r="119" ht="51" customHeight="1">
      <x:c r="A119" s="11" t="s">
        <x:v>181</x:v>
      </x:c>
      <x:c r="B119" s="10" t="n">
        <x:f>'Evaluation Plan'!B119</x:f>
        <x:v>117</x:v>
      </x:c>
      <x:c r="C119" s="11" t="str">
        <x:f>'Evaluation Plan'!C119</x:f>
        <x:v>Place the upright black cup in the bowl.</x:v>
      </x:c>
      <x:c r="D119" s="11" t="str">
        <x:f>'Evaluation Plan'!D119</x:f>
        <x:v>black cup A (O, RU); black cup B (O, UD)</x:v>
      </x:c>
      <x:c r="E119" s="10" t="n">
        <x:f>'Evaluation Plan'!E119</x:f>
        <x:v>116</x:v>
      </x:c>
      <x:c r="F119" s="10" t="n">
        <x:f>'Evaluation Plan'!F119</x:f>
        <x:v>26</x:v>
      </x:c>
      <x:c r="G119" s="11" t="str">
        <x:f>'Evaluation Plan'!G119</x:f>
        <x:v>State-word concept reference from training episode 26; black cups are globally unseen. This is an exact-scene state counterfactual pair, not a direct-name manipulation control.</x:v>
      </x:c>
      <x:c r="H119" s="11" t="str">
        <x:f>'Evaluation Plan'!H119</x:f>
        <x:v>black cup A</x:v>
      </x:c>
      <x:c r="I119" s="11"/>
      <x:c r="J119" s="19" t="str">
        <x:f>'Evaluation Plan'!J119</x:f>
        <x:v>Novel-object state reasoning</x:v>
      </x:c>
      <x:c r="K119" s="10" t="str">
        <x:f>'Evaluation Plan'!K119</x:f>
        <x:v>SR-BLACK-CF04</x:v>
      </x:c>
      <x:c r="L119" s="10" t="str">
        <x:f>'Evaluation Plan'!L119</x:f>
        <x:v>RU</x:v>
      </x:c>
      <x:c r="M119" s="10" t="str">
        <x:f>'Evaluation Plan'!M119</x:f>
        <x:v>black cup</x:v>
      </x:c>
      <x:c r="N119" s="10" t="n">
        <x:f>'Evaluation Plan'!N119</x:f>
        <x:v>2</x:v>
      </x:c>
      <x:c r="O119" s="10" t="n">
        <x:f>'Evaluation Plan'!O119</x:f>
        <x:v>1</x:v>
      </x:c>
      <x:c r="P119" s="10" t="str">
        <x:f>'Evaluation Plan'!P119</x:f>
        <x:v>Empty</x:v>
      </x:c>
      <x:c r="Q119" s="11" t="str">
        <x:f>'Evaluation Plan'!Q119</x:f>
        <x:v>Exact-scene counterfactual globally unseen black-cup state reasoning</x:v>
      </x:c>
      <x:c r="R119" s="10" t="n">
        <x:f>'Evaluation Plan'!R119</x:f>
        <x:v>5</x:v>
      </x:c>
      <x:c r="S119" s="11" t="str">
        <x:f>'Evaluation Plan'!S119</x:f>
        <x:v>Reset the moved black cup to its marked pose; preserve the exact scene and change only the state word in the prompt.</x:v>
      </x:c>
      <x:c r="T119" s="11" t="str">
        <x:f>'Evaluation Plan'!T119</x:f>
        <x:v>Counterfactual UD/RU pair: both black cups share the orthogonal C/O state (O); only the queried state word changes the correct black cup.</x:v>
      </x:c>
      <x:c r="U119" s="11" t="n">
        <x:f>'Evaluation Plan'!U119</x:f>
        <x:v>0</x:v>
      </x:c>
    </x:row>
    <x:row r="120" ht="51" customHeight="1">
      <x:c r="A120" s="5" t="s">
        <x:v>181</x:v>
      </x:c>
      <x:c r="B120" s="4" t="n">
        <x:f>'Evaluation Plan'!B120</x:f>
        <x:v>118</x:v>
      </x:c>
      <x:c r="C120" s="5" t="str">
        <x:f>'Evaluation Plan'!C120</x:f>
        <x:v>Place the closed black cup in the bowl.</x:v>
      </x:c>
      <x:c r="D120" s="5" t="str">
        <x:f>'Evaluation Plan'!D120</x:f>
        <x:v>black cup A (C, RU); black cup B (O, RU); white cup A (C, RU)</x:v>
      </x:c>
      <x:c r="E120" s="4" t="n">
        <x:f>'Evaluation Plan'!E120</x:f>
        <x:v>0</x:v>
      </x:c>
      <x:c r="F120" s="4" t="n">
        <x:f>'Evaluation Plan'!F120</x:f>
        <x:v>0</x:v>
      </x:c>
      <x:c r="G120" s="5" t="str">
        <x:f>'Evaluation Plan'!G120</x:f>
        <x:v>State-word concept reference from training episode 0; black cups are globally unseen. This is an exact-scene state counterfactual pair, not a direct-name manipulation control.</x:v>
      </x:c>
      <x:c r="H120" s="5" t="str">
        <x:f>'Evaluation Plan'!H120</x:f>
        <x:v>black cup A</x:v>
      </x:c>
      <x:c r="I120" s="5"/>
      <x:c r="J120" s="19" t="str">
        <x:f>'Evaluation Plan'!J120</x:f>
        <x:v>Novel-object state reasoning</x:v>
      </x:c>
      <x:c r="K120" s="4" t="str">
        <x:f>'Evaluation Plan'!K120</x:f>
        <x:v>SR-BLACK-CF05</x:v>
      </x:c>
      <x:c r="L120" s="4" t="str">
        <x:f>'Evaluation Plan'!L120</x:f>
        <x:v>C</x:v>
      </x:c>
      <x:c r="M120" s="4" t="str">
        <x:f>'Evaluation Plan'!M120</x:f>
        <x:v>black cup</x:v>
      </x:c>
      <x:c r="N120" s="4" t="n">
        <x:f>'Evaluation Plan'!N120</x:f>
        <x:v>3</x:v>
      </x:c>
      <x:c r="O120" s="4" t="n">
        <x:f>'Evaluation Plan'!O120</x:f>
        <x:v>1</x:v>
      </x:c>
      <x:c r="P120" s="4" t="str">
        <x:f>'Evaluation Plan'!P120</x:f>
        <x:v>Empty</x:v>
      </x:c>
      <x:c r="Q120" s="5" t="str">
        <x:f>'Evaluation Plan'!Q120</x:f>
        <x:v>Exact-scene counterfactual globally unseen black-cup state reasoning</x:v>
      </x:c>
      <x:c r="R120" s="4" t="n">
        <x:f>'Evaluation Plan'!R120</x:f>
        <x:v>5</x:v>
      </x:c>
      <x:c r="S120" s="5" t="str">
        <x:f>'Evaluation Plan'!S120</x:f>
        <x:v>Build the listed scene with both black cups and an empty bowl.</x:v>
      </x:c>
      <x:c r="T120" s="5" t="str">
        <x:f>'Evaluation Plan'!T120</x:f>
        <x:v>Counterfactual C/O pair: both black cups and every distractor are RU; only the queried state word changes the correct black cup.</x:v>
      </x:c>
      <x:c r="U120" s="5" t="n">
        <x:f>'Evaluation Plan'!U120</x:f>
        <x:v>0</x:v>
      </x:c>
    </x:row>
    <x:row r="121" ht="51" customHeight="1">
      <x:c r="A121" s="11" t="s">
        <x:v>181</x:v>
      </x:c>
      <x:c r="B121" s="10" t="n">
        <x:f>'Evaluation Plan'!B121</x:f>
        <x:v>119</x:v>
      </x:c>
      <x:c r="C121" s="11" t="str">
        <x:f>'Evaluation Plan'!C121</x:f>
        <x:v>Place the open black cup in the bowl.</x:v>
      </x:c>
      <x:c r="D121" s="11" t="str">
        <x:f>'Evaluation Plan'!D121</x:f>
        <x:v>black cup A (C, RU); black cup B (O, RU); white cup A (C, RU)</x:v>
      </x:c>
      <x:c r="E121" s="10" t="n">
        <x:f>'Evaluation Plan'!E121</x:f>
        <x:v>118</x:v>
      </x:c>
      <x:c r="F121" s="10" t="n">
        <x:f>'Evaluation Plan'!F121</x:f>
        <x:v>101</x:v>
      </x:c>
      <x:c r="G121" s="11" t="str">
        <x:f>'Evaluation Plan'!G121</x:f>
        <x:v>State-word concept reference from training episode 101; black cups are globally unseen. This is an exact-scene state counterfactual pair, not a direct-name manipulation control.</x:v>
      </x:c>
      <x:c r="H121" s="11" t="str">
        <x:f>'Evaluation Plan'!H121</x:f>
        <x:v>black cup B</x:v>
      </x:c>
      <x:c r="I121" s="11"/>
      <x:c r="J121" s="19" t="str">
        <x:f>'Evaluation Plan'!J121</x:f>
        <x:v>Novel-object state reasoning</x:v>
      </x:c>
      <x:c r="K121" s="10" t="str">
        <x:f>'Evaluation Plan'!K121</x:f>
        <x:v>SR-BLACK-CF05</x:v>
      </x:c>
      <x:c r="L121" s="10" t="str">
        <x:f>'Evaluation Plan'!L121</x:f>
        <x:v>O</x:v>
      </x:c>
      <x:c r="M121" s="10" t="str">
        <x:f>'Evaluation Plan'!M121</x:f>
        <x:v>black cup</x:v>
      </x:c>
      <x:c r="N121" s="10" t="n">
        <x:f>'Evaluation Plan'!N121</x:f>
        <x:v>3</x:v>
      </x:c>
      <x:c r="O121" s="10" t="n">
        <x:f>'Evaluation Plan'!O121</x:f>
        <x:v>1</x:v>
      </x:c>
      <x:c r="P121" s="10" t="str">
        <x:f>'Evaluation Plan'!P121</x:f>
        <x:v>Empty</x:v>
      </x:c>
      <x:c r="Q121" s="11" t="str">
        <x:f>'Evaluation Plan'!Q121</x:f>
        <x:v>Exact-scene counterfactual globally unseen black-cup state reasoning</x:v>
      </x:c>
      <x:c r="R121" s="10" t="n">
        <x:f>'Evaluation Plan'!R121</x:f>
        <x:v>5</x:v>
      </x:c>
      <x:c r="S121" s="11" t="str">
        <x:f>'Evaluation Plan'!S121</x:f>
        <x:v>Reset the moved black cup to its marked pose; preserve the exact scene and change only the state word in the prompt.</x:v>
      </x:c>
      <x:c r="T121" s="11" t="str">
        <x:f>'Evaluation Plan'!T121</x:f>
        <x:v>Counterfactual C/O pair: both black cups and every distractor are RU; only the queried state word changes the correct black cup.</x:v>
      </x:c>
      <x:c r="U121" s="11" t="n">
        <x:f>'Evaluation Plan'!U121</x:f>
        <x:v>0</x:v>
      </x:c>
    </x:row>
    <x:row r="122" ht="51" customHeight="1">
      <x:c r="A122" s="5" t="s">
        <x:v>181</x:v>
      </x:c>
      <x:c r="B122" s="4" t="n">
        <x:f>'Evaluation Plan'!B122</x:f>
        <x:v>120</x:v>
      </x:c>
      <x:c r="C122" s="5" t="str">
        <x:f>'Evaluation Plan'!C122</x:f>
        <x:v>Place the upside-down black cup in the bowl.</x:v>
      </x:c>
      <x:c r="D122" s="5" t="str">
        <x:f>'Evaluation Plan'!D122</x:f>
        <x:v>black cup A (C, UD); black cup B (C, RU); yellow-white striped cup B (O, UD); brown cup A (C, RU)</x:v>
      </x:c>
      <x:c r="E122" s="4" t="n">
        <x:f>'Evaluation Plan'!E122</x:f>
        <x:v>0</x:v>
      </x:c>
      <x:c r="F122" s="4" t="n">
        <x:f>'Evaluation Plan'!F122</x:f>
        <x:v>78</x:v>
      </x:c>
      <x:c r="G122" s="5" t="str">
        <x:f>'Evaluation Plan'!G122</x:f>
        <x:v>State-word concept reference from training episode 78; black cups are globally unseen. This is an exact-scene state counterfactual pair, not a direct-name manipulation control.</x:v>
      </x:c>
      <x:c r="H122" s="5" t="str">
        <x:f>'Evaluation Plan'!H122</x:f>
        <x:v>black cup A</x:v>
      </x:c>
      <x:c r="I122" s="5"/>
      <x:c r="J122" s="19" t="str">
        <x:f>'Evaluation Plan'!J122</x:f>
        <x:v>Novel-object state reasoning</x:v>
      </x:c>
      <x:c r="K122" s="4" t="str">
        <x:f>'Evaluation Plan'!K122</x:f>
        <x:v>SR-BLACK-CF06</x:v>
      </x:c>
      <x:c r="L122" s="4" t="str">
        <x:f>'Evaluation Plan'!L122</x:f>
        <x:v>UD</x:v>
      </x:c>
      <x:c r="M122" s="4" t="str">
        <x:f>'Evaluation Plan'!M122</x:f>
        <x:v>black cup</x:v>
      </x:c>
      <x:c r="N122" s="4" t="n">
        <x:f>'Evaluation Plan'!N122</x:f>
        <x:v>4</x:v>
      </x:c>
      <x:c r="O122" s="4" t="n">
        <x:f>'Evaluation Plan'!O122</x:f>
        <x:v>1</x:v>
      </x:c>
      <x:c r="P122" s="4" t="str">
        <x:f>'Evaluation Plan'!P122</x:f>
        <x:v>Empty</x:v>
      </x:c>
      <x:c r="Q122" s="5" t="str">
        <x:f>'Evaluation Plan'!Q122</x:f>
        <x:v>Exact-scene counterfactual globally unseen black-cup state reasoning</x:v>
      </x:c>
      <x:c r="R122" s="4" t="n">
        <x:f>'Evaluation Plan'!R122</x:f>
        <x:v>5</x:v>
      </x:c>
      <x:c r="S122" s="5" t="str">
        <x:f>'Evaluation Plan'!S122</x:f>
        <x:v>Build the listed scene with both black cups and an empty bowl.</x:v>
      </x:c>
      <x:c r="T122" s="5" t="str">
        <x:f>'Evaluation Plan'!T122</x:f>
        <x:v>Counterfactual UD/RU pair: both black cups share the orthogonal C/O state (C); only the queried state word changes the correct black cup.</x:v>
      </x:c>
      <x:c r="U122" s="5" t="n">
        <x:f>'Evaluation Plan'!U122</x:f>
        <x:v>0</x:v>
      </x:c>
    </x:row>
    <x:row r="123" ht="51" customHeight="1">
      <x:c r="A123" s="11" t="s">
        <x:v>181</x:v>
      </x:c>
      <x:c r="B123" s="10" t="n">
        <x:f>'Evaluation Plan'!B123</x:f>
        <x:v>121</x:v>
      </x:c>
      <x:c r="C123" s="11" t="str">
        <x:f>'Evaluation Plan'!C123</x:f>
        <x:v>Place the upright black cup in the bowl.</x:v>
      </x:c>
      <x:c r="D123" s="11" t="str">
        <x:f>'Evaluation Plan'!D123</x:f>
        <x:v>black cup A (C, UD); black cup B (C, RU); yellow-white striped cup B (O, UD); brown cup A (C, RU)</x:v>
      </x:c>
      <x:c r="E123" s="10" t="n">
        <x:f>'Evaluation Plan'!E123</x:f>
        <x:v>120</x:v>
      </x:c>
      <x:c r="F123" s="10" t="n">
        <x:f>'Evaluation Plan'!F123</x:f>
        <x:v>26</x:v>
      </x:c>
      <x:c r="G123" s="11" t="str">
        <x:f>'Evaluation Plan'!G123</x:f>
        <x:v>State-word concept reference from training episode 26; black cups are globally unseen. This is an exact-scene state counterfactual pair, not a direct-name manipulation control.</x:v>
      </x:c>
      <x:c r="H123" s="11" t="str">
        <x:f>'Evaluation Plan'!H123</x:f>
        <x:v>black cup B</x:v>
      </x:c>
      <x:c r="I123" s="11"/>
      <x:c r="J123" s="19" t="str">
        <x:f>'Evaluation Plan'!J123</x:f>
        <x:v>Novel-object state reasoning</x:v>
      </x:c>
      <x:c r="K123" s="10" t="str">
        <x:f>'Evaluation Plan'!K123</x:f>
        <x:v>SR-BLACK-CF06</x:v>
      </x:c>
      <x:c r="L123" s="10" t="str">
        <x:f>'Evaluation Plan'!L123</x:f>
        <x:v>RU</x:v>
      </x:c>
      <x:c r="M123" s="10" t="str">
        <x:f>'Evaluation Plan'!M123</x:f>
        <x:v>black cup</x:v>
      </x:c>
      <x:c r="N123" s="10" t="n">
        <x:f>'Evaluation Plan'!N123</x:f>
        <x:v>4</x:v>
      </x:c>
      <x:c r="O123" s="10" t="n">
        <x:f>'Evaluation Plan'!O123</x:f>
        <x:v>1</x:v>
      </x:c>
      <x:c r="P123" s="10" t="str">
        <x:f>'Evaluation Plan'!P123</x:f>
        <x:v>Empty</x:v>
      </x:c>
      <x:c r="Q123" s="11" t="str">
        <x:f>'Evaluation Plan'!Q123</x:f>
        <x:v>Exact-scene counterfactual globally unseen black-cup state reasoning</x:v>
      </x:c>
      <x:c r="R123" s="10" t="n">
        <x:f>'Evaluation Plan'!R123</x:f>
        <x:v>5</x:v>
      </x:c>
      <x:c r="S123" s="11" t="str">
        <x:f>'Evaluation Plan'!S123</x:f>
        <x:v>Reset the moved black cup to its marked pose; preserve the exact scene and change only the state word in the prompt.</x:v>
      </x:c>
      <x:c r="T123" s="11" t="str">
        <x:f>'Evaluation Plan'!T123</x:f>
        <x:v>Counterfactual UD/RU pair: both black cups share the orthogonal C/O state (C); only the queried state word changes the correct black cup.</x:v>
      </x:c>
      <x:c r="U123" s="11" t="n">
        <x:f>'Evaluation Plan'!U123</x:f>
        <x:v>0</x:v>
      </x:c>
    </x:row>
    <x:row r="124" ht="51" customHeight="1">
      <x:c r="A124" s="5" t="s">
        <x:v>181</x:v>
      </x:c>
      <x:c r="B124" s="4" t="n">
        <x:f>'Evaluation Plan'!B124</x:f>
        <x:v>122</x:v>
      </x:c>
      <x:c r="C124" s="5" t="str">
        <x:f>'Evaluation Plan'!C124</x:f>
        <x:v>Place the closed black cup in the bowl.</x:v>
      </x:c>
      <x:c r="D124" s="5" t="str">
        <x:f>'Evaluation Plan'!D124</x:f>
        <x:v>black cup A (O, RU); black cup B (C, RU)</x:v>
      </x:c>
      <x:c r="E124" s="4" t="n">
        <x:f>'Evaluation Plan'!E124</x:f>
        <x:v>0</x:v>
      </x:c>
      <x:c r="F124" s="4" t="n">
        <x:f>'Evaluation Plan'!F124</x:f>
        <x:v>0</x:v>
      </x:c>
      <x:c r="G124" s="5" t="str">
        <x:f>'Evaluation Plan'!G124</x:f>
        <x:v>State-word concept reference from training episode 0; black cups are globally unseen. This is an exact-scene state counterfactual pair, not a direct-name manipulation control.</x:v>
      </x:c>
      <x:c r="H124" s="5" t="str">
        <x:f>'Evaluation Plan'!H124</x:f>
        <x:v>black cup B</x:v>
      </x:c>
      <x:c r="I124" s="5"/>
      <x:c r="J124" s="19" t="str">
        <x:f>'Evaluation Plan'!J124</x:f>
        <x:v>Novel-object state reasoning</x:v>
      </x:c>
      <x:c r="K124" s="4" t="str">
        <x:f>'Evaluation Plan'!K124</x:f>
        <x:v>SR-BLACK-CF07</x:v>
      </x:c>
      <x:c r="L124" s="4" t="str">
        <x:f>'Evaluation Plan'!L124</x:f>
        <x:v>C</x:v>
      </x:c>
      <x:c r="M124" s="4" t="str">
        <x:f>'Evaluation Plan'!M124</x:f>
        <x:v>black cup</x:v>
      </x:c>
      <x:c r="N124" s="4" t="n">
        <x:f>'Evaluation Plan'!N124</x:f>
        <x:v>2</x:v>
      </x:c>
      <x:c r="O124" s="4" t="n">
        <x:f>'Evaluation Plan'!O124</x:f>
        <x:v>1</x:v>
      </x:c>
      <x:c r="P124" s="4" t="str">
        <x:f>'Evaluation Plan'!P124</x:f>
        <x:v>Empty</x:v>
      </x:c>
      <x:c r="Q124" s="5" t="str">
        <x:f>'Evaluation Plan'!Q124</x:f>
        <x:v>Exact-scene counterfactual globally unseen black-cup state reasoning</x:v>
      </x:c>
      <x:c r="R124" s="4" t="n">
        <x:f>'Evaluation Plan'!R124</x:f>
        <x:v>5</x:v>
      </x:c>
      <x:c r="S124" s="5" t="str">
        <x:f>'Evaluation Plan'!S124</x:f>
        <x:v>Build the listed scene with both black cups and an empty bowl.</x:v>
      </x:c>
      <x:c r="T124" s="5" t="str">
        <x:f>'Evaluation Plan'!T124</x:f>
        <x:v>Counterfactual C/O pair: both black cups and every distractor are RU; only the queried state word changes the correct black cup.</x:v>
      </x:c>
      <x:c r="U124" s="5" t="n">
        <x:f>'Evaluation Plan'!U124</x:f>
        <x:v>0</x:v>
      </x:c>
    </x:row>
    <x:row r="125" ht="51" customHeight="1">
      <x:c r="A125" s="11" t="s">
        <x:v>181</x:v>
      </x:c>
      <x:c r="B125" s="10" t="n">
        <x:f>'Evaluation Plan'!B125</x:f>
        <x:v>123</x:v>
      </x:c>
      <x:c r="C125" s="11" t="str">
        <x:f>'Evaluation Plan'!C125</x:f>
        <x:v>Place the open black cup in the bowl.</x:v>
      </x:c>
      <x:c r="D125" s="11" t="str">
        <x:f>'Evaluation Plan'!D125</x:f>
        <x:v>black cup A (O, RU); black cup B (C, RU)</x:v>
      </x:c>
      <x:c r="E125" s="10" t="n">
        <x:f>'Evaluation Plan'!E125</x:f>
        <x:v>122</x:v>
      </x:c>
      <x:c r="F125" s="10" t="n">
        <x:f>'Evaluation Plan'!F125</x:f>
        <x:v>101</x:v>
      </x:c>
      <x:c r="G125" s="11" t="str">
        <x:f>'Evaluation Plan'!G125</x:f>
        <x:v>State-word concept reference from training episode 101; black cups are globally unseen. This is an exact-scene state counterfactual pair, not a direct-name manipulation control.</x:v>
      </x:c>
      <x:c r="H125" s="11" t="str">
        <x:f>'Evaluation Plan'!H125</x:f>
        <x:v>black cup A</x:v>
      </x:c>
      <x:c r="I125" s="11"/>
      <x:c r="J125" s="19" t="str">
        <x:f>'Evaluation Plan'!J125</x:f>
        <x:v>Novel-object state reasoning</x:v>
      </x:c>
      <x:c r="K125" s="10" t="str">
        <x:f>'Evaluation Plan'!K125</x:f>
        <x:v>SR-BLACK-CF07</x:v>
      </x:c>
      <x:c r="L125" s="10" t="str">
        <x:f>'Evaluation Plan'!L125</x:f>
        <x:v>O</x:v>
      </x:c>
      <x:c r="M125" s="10" t="str">
        <x:f>'Evaluation Plan'!M125</x:f>
        <x:v>black cup</x:v>
      </x:c>
      <x:c r="N125" s="10" t="n">
        <x:f>'Evaluation Plan'!N125</x:f>
        <x:v>2</x:v>
      </x:c>
      <x:c r="O125" s="10" t="n">
        <x:f>'Evaluation Plan'!O125</x:f>
        <x:v>1</x:v>
      </x:c>
      <x:c r="P125" s="10" t="str">
        <x:f>'Evaluation Plan'!P125</x:f>
        <x:v>Empty</x:v>
      </x:c>
      <x:c r="Q125" s="11" t="str">
        <x:f>'Evaluation Plan'!Q125</x:f>
        <x:v>Exact-scene counterfactual globally unseen black-cup state reasoning</x:v>
      </x:c>
      <x:c r="R125" s="10" t="n">
        <x:f>'Evaluation Plan'!R125</x:f>
        <x:v>5</x:v>
      </x:c>
      <x:c r="S125" s="11" t="str">
        <x:f>'Evaluation Plan'!S125</x:f>
        <x:v>Reset the moved black cup to its marked pose; preserve the exact scene and change only the state word in the prompt.</x:v>
      </x:c>
      <x:c r="T125" s="11" t="str">
        <x:f>'Evaluation Plan'!T125</x:f>
        <x:v>Counterfactual C/O pair: both black cups and every distractor are RU; only the queried state word changes the correct black cup.</x:v>
      </x:c>
      <x:c r="U125" s="11" t="n">
        <x:f>'Evaluation Plan'!U125</x:f>
        <x:v>0</x:v>
      </x:c>
    </x:row>
    <x:row r="126" ht="51" customHeight="1">
      <x:c r="A126" s="5" t="s">
        <x:v>181</x:v>
      </x:c>
      <x:c r="B126" s="4" t="n">
        <x:f>'Evaluation Plan'!B126</x:f>
        <x:v>124</x:v>
      </x:c>
      <x:c r="C126" s="5" t="str">
        <x:f>'Evaluation Plan'!C126</x:f>
        <x:v>Place the upside-down black cup in the bowl.</x:v>
      </x:c>
      <x:c r="D126" s="5" t="str">
        <x:f>'Evaluation Plan'!D126</x:f>
        <x:v>black cup A (O, RU); black cup B (O, UD); glass spice container B (O, UD)</x:v>
      </x:c>
      <x:c r="E126" s="4" t="n">
        <x:f>'Evaluation Plan'!E126</x:f>
        <x:v>0</x:v>
      </x:c>
      <x:c r="F126" s="4" t="n">
        <x:f>'Evaluation Plan'!F126</x:f>
        <x:v>78</x:v>
      </x:c>
      <x:c r="G126" s="5" t="str">
        <x:f>'Evaluation Plan'!G126</x:f>
        <x:v>State-word concept reference from training episode 78; black cups are globally unseen. This is an exact-scene state counterfactual pair, not a direct-name manipulation control.</x:v>
      </x:c>
      <x:c r="H126" s="5" t="str">
        <x:f>'Evaluation Plan'!H126</x:f>
        <x:v>black cup B</x:v>
      </x:c>
      <x:c r="I126" s="5"/>
      <x:c r="J126" s="19" t="str">
        <x:f>'Evaluation Plan'!J126</x:f>
        <x:v>Novel-object state reasoning</x:v>
      </x:c>
      <x:c r="K126" s="4" t="str">
        <x:f>'Evaluation Plan'!K126</x:f>
        <x:v>SR-BLACK-CF08</x:v>
      </x:c>
      <x:c r="L126" s="4" t="str">
        <x:f>'Evaluation Plan'!L126</x:f>
        <x:v>UD</x:v>
      </x:c>
      <x:c r="M126" s="4" t="str">
        <x:f>'Evaluation Plan'!M126</x:f>
        <x:v>black cup</x:v>
      </x:c>
      <x:c r="N126" s="4" t="n">
        <x:f>'Evaluation Plan'!N126</x:f>
        <x:v>3</x:v>
      </x:c>
      <x:c r="O126" s="4" t="n">
        <x:f>'Evaluation Plan'!O126</x:f>
        <x:v>1</x:v>
      </x:c>
      <x:c r="P126" s="4" t="str">
        <x:f>'Evaluation Plan'!P126</x:f>
        <x:v>Empty</x:v>
      </x:c>
      <x:c r="Q126" s="5" t="str">
        <x:f>'Evaluation Plan'!Q126</x:f>
        <x:v>Exact-scene counterfactual globally unseen black-cup state reasoning</x:v>
      </x:c>
      <x:c r="R126" s="4" t="n">
        <x:f>'Evaluation Plan'!R126</x:f>
        <x:v>5</x:v>
      </x:c>
      <x:c r="S126" s="5" t="str">
        <x:f>'Evaluation Plan'!S126</x:f>
        <x:v>Build the listed scene with both black cups and an empty bowl.</x:v>
      </x:c>
      <x:c r="T126" s="5" t="str">
        <x:f>'Evaluation Plan'!T126</x:f>
        <x:v>Counterfactual UD/RU pair: both black cups share the orthogonal C/O state (O); only the queried state word changes the correct black cup.</x:v>
      </x:c>
      <x:c r="U126" s="5" t="n">
        <x:f>'Evaluation Plan'!U126</x:f>
        <x:v>0</x:v>
      </x:c>
    </x:row>
    <x:row r="127" ht="51" customHeight="1">
      <x:c r="A127" s="11" t="s">
        <x:v>181</x:v>
      </x:c>
      <x:c r="B127" s="10" t="n">
        <x:f>'Evaluation Plan'!B127</x:f>
        <x:v>125</x:v>
      </x:c>
      <x:c r="C127" s="11" t="str">
        <x:f>'Evaluation Plan'!C127</x:f>
        <x:v>Place the upright black cup in the bowl.</x:v>
      </x:c>
      <x:c r="D127" s="11" t="str">
        <x:f>'Evaluation Plan'!D127</x:f>
        <x:v>black cup A (O, RU); black cup B (O, UD); glass spice container B (O, UD)</x:v>
      </x:c>
      <x:c r="E127" s="10" t="n">
        <x:f>'Evaluation Plan'!E127</x:f>
        <x:v>124</x:v>
      </x:c>
      <x:c r="F127" s="10" t="n">
        <x:f>'Evaluation Plan'!F127</x:f>
        <x:v>26</x:v>
      </x:c>
      <x:c r="G127" s="11" t="str">
        <x:f>'Evaluation Plan'!G127</x:f>
        <x:v>State-word concept reference from training episode 26; black cups are globally unseen. This is an exact-scene state counterfactual pair, not a direct-name manipulation control.</x:v>
      </x:c>
      <x:c r="H127" s="11" t="str">
        <x:f>'Evaluation Plan'!H127</x:f>
        <x:v>black cup A</x:v>
      </x:c>
      <x:c r="I127" s="11"/>
      <x:c r="J127" s="19" t="str">
        <x:f>'Evaluation Plan'!J127</x:f>
        <x:v>Novel-object state reasoning</x:v>
      </x:c>
      <x:c r="K127" s="10" t="str">
        <x:f>'Evaluation Plan'!K127</x:f>
        <x:v>SR-BLACK-CF08</x:v>
      </x:c>
      <x:c r="L127" s="10" t="str">
        <x:f>'Evaluation Plan'!L127</x:f>
        <x:v>RU</x:v>
      </x:c>
      <x:c r="M127" s="10" t="str">
        <x:f>'Evaluation Plan'!M127</x:f>
        <x:v>black cup</x:v>
      </x:c>
      <x:c r="N127" s="10" t="n">
        <x:f>'Evaluation Plan'!N127</x:f>
        <x:v>3</x:v>
      </x:c>
      <x:c r="O127" s="10" t="n">
        <x:f>'Evaluation Plan'!O127</x:f>
        <x:v>1</x:v>
      </x:c>
      <x:c r="P127" s="10" t="str">
        <x:f>'Evaluation Plan'!P127</x:f>
        <x:v>Empty</x:v>
      </x:c>
      <x:c r="Q127" s="11" t="str">
        <x:f>'Evaluation Plan'!Q127</x:f>
        <x:v>Exact-scene counterfactual globally unseen black-cup state reasoning</x:v>
      </x:c>
      <x:c r="R127" s="10" t="n">
        <x:f>'Evaluation Plan'!R127</x:f>
        <x:v>5</x:v>
      </x:c>
      <x:c r="S127" s="11" t="str">
        <x:f>'Evaluation Plan'!S127</x:f>
        <x:v>Reset the moved black cup to its marked pose; preserve the exact scene and change only the state word in the prompt.</x:v>
      </x:c>
      <x:c r="T127" s="11" t="str">
        <x:f>'Evaluation Plan'!T127</x:f>
        <x:v>Counterfactual UD/RU pair: both black cups share the orthogonal C/O state (O); only the queried state word changes the correct black cup.</x:v>
      </x:c>
      <x:c r="U127" s="11" t="n">
        <x:f>'Evaluation Plan'!U127</x:f>
        <x:v>0</x:v>
      </x:c>
    </x:row>
    <x:row r="128" ht="51" customHeight="1">
      <x:c r="A128" s="5" t="s">
        <x:v>181</x:v>
      </x:c>
      <x:c r="B128" s="4" t="n">
        <x:f>'Evaluation Plan'!B128</x:f>
        <x:v>126</x:v>
      </x:c>
      <x:c r="C128" s="5" t="str">
        <x:f>'Evaluation Plan'!C128</x:f>
        <x:v>Place the closed black cup in the bowl.</x:v>
      </x:c>
      <x:c r="D128" s="5" t="str">
        <x:f>'Evaluation Plan'!D128</x:f>
        <x:v>black cup A (C, RU); black cup B (O, RU); white cup A (C, RU); yellow-white striped cup B (O, RU)</x:v>
      </x:c>
      <x:c r="E128" s="4" t="n">
        <x:f>'Evaluation Plan'!E128</x:f>
        <x:v>0</x:v>
      </x:c>
      <x:c r="F128" s="4" t="n">
        <x:f>'Evaluation Plan'!F128</x:f>
        <x:v>0</x:v>
      </x:c>
      <x:c r="G128" s="5" t="str">
        <x:f>'Evaluation Plan'!G128</x:f>
        <x:v>State-word concept reference from training episode 0; black cups are globally unseen. This is an exact-scene state counterfactual pair, not a direct-name manipulation control.</x:v>
      </x:c>
      <x:c r="H128" s="5" t="str">
        <x:f>'Evaluation Plan'!H128</x:f>
        <x:v>black cup A</x:v>
      </x:c>
      <x:c r="I128" s="5"/>
      <x:c r="J128" s="19" t="str">
        <x:f>'Evaluation Plan'!J128</x:f>
        <x:v>Novel-object state reasoning</x:v>
      </x:c>
      <x:c r="K128" s="4" t="str">
        <x:f>'Evaluation Plan'!K128</x:f>
        <x:v>SR-BLACK-CF09</x:v>
      </x:c>
      <x:c r="L128" s="4" t="str">
        <x:f>'Evaluation Plan'!L128</x:f>
        <x:v>C</x:v>
      </x:c>
      <x:c r="M128" s="4" t="str">
        <x:f>'Evaluation Plan'!M128</x:f>
        <x:v>black cup</x:v>
      </x:c>
      <x:c r="N128" s="4" t="n">
        <x:f>'Evaluation Plan'!N128</x:f>
        <x:v>4</x:v>
      </x:c>
      <x:c r="O128" s="4" t="n">
        <x:f>'Evaluation Plan'!O128</x:f>
        <x:v>1</x:v>
      </x:c>
      <x:c r="P128" s="4" t="str">
        <x:f>'Evaluation Plan'!P128</x:f>
        <x:v>Empty</x:v>
      </x:c>
      <x:c r="Q128" s="5" t="str">
        <x:f>'Evaluation Plan'!Q128</x:f>
        <x:v>Exact-scene counterfactual globally unseen black-cup state reasoning</x:v>
      </x:c>
      <x:c r="R128" s="4" t="n">
        <x:f>'Evaluation Plan'!R128</x:f>
        <x:v>5</x:v>
      </x:c>
      <x:c r="S128" s="5" t="str">
        <x:f>'Evaluation Plan'!S128</x:f>
        <x:v>Build the listed scene with both black cups and an empty bowl.</x:v>
      </x:c>
      <x:c r="T128" s="5" t="str">
        <x:f>'Evaluation Plan'!T128</x:f>
        <x:v>Counterfactual C/O pair: both black cups and every distractor are RU; only the queried state word changes the correct black cup.</x:v>
      </x:c>
      <x:c r="U128" s="5" t="n">
        <x:f>'Evaluation Plan'!U128</x:f>
        <x:v>0</x:v>
      </x:c>
    </x:row>
    <x:row r="129" ht="51" customHeight="1">
      <x:c r="A129" s="11" t="s">
        <x:v>181</x:v>
      </x:c>
      <x:c r="B129" s="10" t="n">
        <x:f>'Evaluation Plan'!B129</x:f>
        <x:v>127</x:v>
      </x:c>
      <x:c r="C129" s="11" t="str">
        <x:f>'Evaluation Plan'!C129</x:f>
        <x:v>Place the open black cup in the bowl.</x:v>
      </x:c>
      <x:c r="D129" s="11" t="str">
        <x:f>'Evaluation Plan'!D129</x:f>
        <x:v>black cup A (C, RU); black cup B (O, RU); white cup A (C, RU); yellow-white striped cup B (O, RU)</x:v>
      </x:c>
      <x:c r="E129" s="10" t="n">
        <x:f>'Evaluation Plan'!E129</x:f>
        <x:v>126</x:v>
      </x:c>
      <x:c r="F129" s="10" t="n">
        <x:f>'Evaluation Plan'!F129</x:f>
        <x:v>101</x:v>
      </x:c>
      <x:c r="G129" s="11" t="str">
        <x:f>'Evaluation Plan'!G129</x:f>
        <x:v>State-word concept reference from training episode 101; black cups are globally unseen. This is an exact-scene state counterfactual pair, not a direct-name manipulation control.</x:v>
      </x:c>
      <x:c r="H129" s="11" t="str">
        <x:f>'Evaluation Plan'!H129</x:f>
        <x:v>black cup B</x:v>
      </x:c>
      <x:c r="I129" s="11"/>
      <x:c r="J129" s="19" t="str">
        <x:f>'Evaluation Plan'!J129</x:f>
        <x:v>Novel-object state reasoning</x:v>
      </x:c>
      <x:c r="K129" s="10" t="str">
        <x:f>'Evaluation Plan'!K129</x:f>
        <x:v>SR-BLACK-CF09</x:v>
      </x:c>
      <x:c r="L129" s="10" t="str">
        <x:f>'Evaluation Plan'!L129</x:f>
        <x:v>O</x:v>
      </x:c>
      <x:c r="M129" s="10" t="str">
        <x:f>'Evaluation Plan'!M129</x:f>
        <x:v>black cup</x:v>
      </x:c>
      <x:c r="N129" s="10" t="n">
        <x:f>'Evaluation Plan'!N129</x:f>
        <x:v>4</x:v>
      </x:c>
      <x:c r="O129" s="10" t="n">
        <x:f>'Evaluation Plan'!O129</x:f>
        <x:v>1</x:v>
      </x:c>
      <x:c r="P129" s="10" t="str">
        <x:f>'Evaluation Plan'!P129</x:f>
        <x:v>Empty</x:v>
      </x:c>
      <x:c r="Q129" s="11" t="str">
        <x:f>'Evaluation Plan'!Q129</x:f>
        <x:v>Exact-scene counterfactual globally unseen black-cup state reasoning</x:v>
      </x:c>
      <x:c r="R129" s="10" t="n">
        <x:f>'Evaluation Plan'!R129</x:f>
        <x:v>5</x:v>
      </x:c>
      <x:c r="S129" s="11" t="str">
        <x:f>'Evaluation Plan'!S129</x:f>
        <x:v>Reset the moved black cup to its marked pose; preserve the exact scene and change only the state word in the prompt.</x:v>
      </x:c>
      <x:c r="T129" s="11" t="str">
        <x:f>'Evaluation Plan'!T129</x:f>
        <x:v>Counterfactual C/O pair: both black cups and every distractor are RU; only the queried state word changes the correct black cup.</x:v>
      </x:c>
      <x:c r="U129" s="11" t="n">
        <x:f>'Evaluation Plan'!U129</x:f>
        <x:v>0</x:v>
      </x:c>
    </x:row>
    <x:row r="130" ht="51" customHeight="1">
      <x:c r="A130" s="5" t="s">
        <x:v>181</x:v>
      </x:c>
      <x:c r="B130" s="4" t="n">
        <x:f>'Evaluation Plan'!B130</x:f>
        <x:v>128</x:v>
      </x:c>
      <x:c r="C130" s="5" t="str">
        <x:f>'Evaluation Plan'!C130</x:f>
        <x:v>Place the upside-down black cup in the bowl.</x:v>
      </x:c>
      <x:c r="D130" s="5" t="str">
        <x:f>'Evaluation Plan'!D130</x:f>
        <x:v>black cup A (C, UD); black cup B (C, RU); yellow-white striped cup B (O, UD)</x:v>
      </x:c>
      <x:c r="E130" s="4" t="n">
        <x:f>'Evaluation Plan'!E130</x:f>
        <x:v>0</x:v>
      </x:c>
      <x:c r="F130" s="4" t="n">
        <x:f>'Evaluation Plan'!F130</x:f>
        <x:v>78</x:v>
      </x:c>
      <x:c r="G130" s="5" t="str">
        <x:f>'Evaluation Plan'!G130</x:f>
        <x:v>State-word concept reference from training episode 78; black cups are globally unseen. This is an exact-scene state counterfactual pair, not a direct-name manipulation control.</x:v>
      </x:c>
      <x:c r="H130" s="5" t="str">
        <x:f>'Evaluation Plan'!H130</x:f>
        <x:v>black cup A</x:v>
      </x:c>
      <x:c r="I130" s="5"/>
      <x:c r="J130" s="19" t="str">
        <x:f>'Evaluation Plan'!J130</x:f>
        <x:v>Novel-object state reasoning</x:v>
      </x:c>
      <x:c r="K130" s="4" t="str">
        <x:f>'Evaluation Plan'!K130</x:f>
        <x:v>SR-BLACK-CF10</x:v>
      </x:c>
      <x:c r="L130" s="4" t="str">
        <x:f>'Evaluation Plan'!L130</x:f>
        <x:v>UD</x:v>
      </x:c>
      <x:c r="M130" s="4" t="str">
        <x:f>'Evaluation Plan'!M130</x:f>
        <x:v>black cup</x:v>
      </x:c>
      <x:c r="N130" s="4" t="n">
        <x:f>'Evaluation Plan'!N130</x:f>
        <x:v>3</x:v>
      </x:c>
      <x:c r="O130" s="4" t="n">
        <x:f>'Evaluation Plan'!O130</x:f>
        <x:v>1</x:v>
      </x:c>
      <x:c r="P130" s="4" t="str">
        <x:f>'Evaluation Plan'!P130</x:f>
        <x:v>Empty</x:v>
      </x:c>
      <x:c r="Q130" s="5" t="str">
        <x:f>'Evaluation Plan'!Q130</x:f>
        <x:v>Exact-scene counterfactual globally unseen black-cup state reasoning</x:v>
      </x:c>
      <x:c r="R130" s="4" t="n">
        <x:f>'Evaluation Plan'!R130</x:f>
        <x:v>5</x:v>
      </x:c>
      <x:c r="S130" s="5" t="str">
        <x:f>'Evaluation Plan'!S130</x:f>
        <x:v>Build the listed scene with both black cups and an empty bowl.</x:v>
      </x:c>
      <x:c r="T130" s="5" t="str">
        <x:f>'Evaluation Plan'!T130</x:f>
        <x:v>Counterfactual UD/RU pair: both black cups share the orthogonal C/O state (C); only the queried state word changes the correct black cup.</x:v>
      </x:c>
      <x:c r="U130" s="5" t="n">
        <x:f>'Evaluation Plan'!U130</x:f>
        <x:v>0</x:v>
      </x:c>
    </x:row>
    <x:row r="131" ht="51" customHeight="1">
      <x:c r="A131" s="11" t="s">
        <x:v>181</x:v>
      </x:c>
      <x:c r="B131" s="10" t="n">
        <x:f>'Evaluation Plan'!B131</x:f>
        <x:v>129</x:v>
      </x:c>
      <x:c r="C131" s="11" t="str">
        <x:f>'Evaluation Plan'!C131</x:f>
        <x:v>Place the upright black cup in the bowl.</x:v>
      </x:c>
      <x:c r="D131" s="11" t="str">
        <x:f>'Evaluation Plan'!D131</x:f>
        <x:v>black cup A (C, UD); black cup B (C, RU); yellow-white striped cup B (O, UD)</x:v>
      </x:c>
      <x:c r="E131" s="10" t="n">
        <x:f>'Evaluation Plan'!E131</x:f>
        <x:v>128</x:v>
      </x:c>
      <x:c r="F131" s="10" t="n">
        <x:f>'Evaluation Plan'!F131</x:f>
        <x:v>26</x:v>
      </x:c>
      <x:c r="G131" s="11" t="str">
        <x:f>'Evaluation Plan'!G131</x:f>
        <x:v>State-word concept reference from training episode 26; black cups are globally unseen. This is an exact-scene state counterfactual pair, not a direct-name manipulation control.</x:v>
      </x:c>
      <x:c r="H131" s="11" t="str">
        <x:f>'Evaluation Plan'!H131</x:f>
        <x:v>black cup B</x:v>
      </x:c>
      <x:c r="I131" s="11"/>
      <x:c r="J131" s="19" t="str">
        <x:f>'Evaluation Plan'!J131</x:f>
        <x:v>Novel-object state reasoning</x:v>
      </x:c>
      <x:c r="K131" s="10" t="str">
        <x:f>'Evaluation Plan'!K131</x:f>
        <x:v>SR-BLACK-CF10</x:v>
      </x:c>
      <x:c r="L131" s="10" t="str">
        <x:f>'Evaluation Plan'!L131</x:f>
        <x:v>RU</x:v>
      </x:c>
      <x:c r="M131" s="10" t="str">
        <x:f>'Evaluation Plan'!M131</x:f>
        <x:v>black cup</x:v>
      </x:c>
      <x:c r="N131" s="10" t="n">
        <x:f>'Evaluation Plan'!N131</x:f>
        <x:v>3</x:v>
      </x:c>
      <x:c r="O131" s="10" t="n">
        <x:f>'Evaluation Plan'!O131</x:f>
        <x:v>1</x:v>
      </x:c>
      <x:c r="P131" s="10" t="str">
        <x:f>'Evaluation Plan'!P131</x:f>
        <x:v>Empty</x:v>
      </x:c>
      <x:c r="Q131" s="11" t="str">
        <x:f>'Evaluation Plan'!Q131</x:f>
        <x:v>Exact-scene counterfactual globally unseen black-cup state reasoning</x:v>
      </x:c>
      <x:c r="R131" s="10" t="n">
        <x:f>'Evaluation Plan'!R131</x:f>
        <x:v>5</x:v>
      </x:c>
      <x:c r="S131" s="11" t="str">
        <x:f>'Evaluation Plan'!S131</x:f>
        <x:v>Reset the moved black cup to its marked pose; preserve the exact scene and change only the state word in the prompt.</x:v>
      </x:c>
      <x:c r="T131" s="11" t="str">
        <x:f>'Evaluation Plan'!T131</x:f>
        <x:v>Counterfactual UD/RU pair: both black cups share the orthogonal C/O state (C); only the queried state word changes the correct black cup.</x:v>
      </x:c>
      <x:c r="U131" s="11" t="n">
        <x:f>'Evaluation Plan'!U131</x:f>
        <x:v>0</x:v>
      </x:c>
    </x:row>
    <x:row r="132" ht="51" customHeight="1">
      <x:c r="A132" s="5" t="s">
        <x:v>181</x:v>
      </x:c>
      <x:c r="B132" s="4" t="n">
        <x:f>'Evaluation Plan'!B132</x:f>
        <x:v>130</x:v>
      </x:c>
      <x:c r="C132" s="5" t="str">
        <x:f>'Evaluation Plan'!C132</x:f>
        <x:v>Place the closed white cup in the bowl.</x:v>
      </x:c>
      <x:c r="D132" s="5" t="str">
        <x:f>'Evaluation Plan'!D132</x:f>
        <x:v>white cup A (O, RU); white cup B (O, RU)</x:v>
      </x:c>
      <x:c r="E132" s="4" t="n">
        <x:f>'Evaluation Plan'!E132</x:f>
        <x:v>0</x:v>
      </x:c>
      <x:c r="F132" s="4" t="str">
        <x:f>'Evaluation Plan'!F132</x:f>
        <x:v>0</x:v>
      </x:c>
      <x:c r="G132" s="5" t="str">
        <x:f>'Evaluation Plan'!G132</x:f>
        <x:v>The state-object concept is explicitly trained, but training does not contain a no-satisfying-target abstention trajectory. All objects are upright, matching the context of every explicit open/closed training demonstration.</x:v>
      </x:c>
      <x:c r="H132" s="5" t="str">
        <x:f>'Evaluation Plan'!H132</x:f>
        <x:v>NO-OP; no object has state C, so nothing should be picked up</x:v>
      </x:c>
      <x:c r="I132" s="5"/>
      <x:c r="J132" s="7" t="str">
        <x:f>'Evaluation Plan'!J132</x:f>
        <x:v>No valid target / no movement</x:v>
      </x:c>
      <x:c r="K132" s="4" t="str">
        <x:f>'Evaluation Plan'!K132</x:f>
        <x:v>SR-NOOP01</x:v>
      </x:c>
      <x:c r="L132" s="4" t="str">
        <x:f>'Evaluation Plan'!L132</x:f>
        <x:v>C</x:v>
      </x:c>
      <x:c r="M132" s="4" t="str">
        <x:f>'Evaluation Plan'!M132</x:f>
        <x:v>white cup</x:v>
      </x:c>
      <x:c r="N132" s="4" t="n">
        <x:f>'Evaluation Plan'!N132</x:f>
        <x:v>2</x:v>
      </x:c>
      <x:c r="O132" s="4" t="n">
        <x:f>'Evaluation Plan'!O132</x:f>
        <x:v>0</x:v>
      </x:c>
      <x:c r="P132" s="4" t="str">
        <x:f>'Evaluation Plan'!P132</x:f>
        <x:v>Empty</x:v>
      </x:c>
      <x:c r="Q132" s="5" t="str">
        <x:f>'Evaluation Plan'!Q132</x:f>
        <x:v>No satisfying state present; bowl remains empty</x:v>
      </x:c>
      <x:c r="R132" s="4" t="n">
        <x:f>'Evaluation Plan'!R132</x:f>
        <x:v>6</x:v>
      </x:c>
      <x:c r="S132" s="5" t="str">
        <x:f>'Evaluation Plan'!S132</x:f>
        <x:v>Build the listed no-match scene and confirm the bowl is empty.</x:v>
      </x:c>
      <x:c r="T132" s="5" t="str">
        <x:f>'Evaluation Plan'!T132</x:f>
        <x:v>No object in the entire scene has the queried state. The prompt uses the same canonical frame as active trials, and the queried state-object cell is training-supported. The orthogonal orientation axis is fixed: every object is RU.</x:v>
      </x:c>
      <x:c r="U132" s="5" t="n">
        <x:f>'Evaluation Plan'!U132</x:f>
        <x:v>0</x:v>
      </x:c>
    </x:row>
    <x:row r="133" ht="51" customHeight="1">
      <x:c r="A133" s="11" t="s">
        <x:v>181</x:v>
      </x:c>
      <x:c r="B133" s="10" t="n">
        <x:f>'Evaluation Plan'!B133</x:f>
        <x:v>131</x:v>
      </x:c>
      <x:c r="C133" s="11" t="str">
        <x:f>'Evaluation Plan'!C133</x:f>
        <x:v>Place the upside-down yellow-white striped cup in the bowl.</x:v>
      </x:c>
      <x:c r="D133" s="11" t="str">
        <x:f>'Evaluation Plan'!D133</x:f>
        <x:v>yellow-white striped cup A (C, RU); yellow-white striped cup B (C, RU); brown cup B (O, RU)</x:v>
      </x:c>
      <x:c r="E133" s="10" t="n">
        <x:f>'Evaluation Plan'!E133</x:f>
        <x:v>0</x:v>
      </x:c>
      <x:c r="F133" s="10" t="str">
        <x:f>'Evaluation Plan'!F133</x:f>
        <x:v>78</x:v>
      </x:c>
      <x:c r="G133" s="11" t="str">
        <x:f>'Evaluation Plan'!G133</x:f>
        <x:v>The state-object concept is explicitly trained, but training does not contain a no-satisfying-target abstention trajectory.</x:v>
      </x:c>
      <x:c r="H133" s="11" t="str">
        <x:f>'Evaluation Plan'!H133</x:f>
        <x:v>NO-OP; no object has state UD, so nothing should be picked up</x:v>
      </x:c>
      <x:c r="I133" s="11"/>
      <x:c r="J133" s="7" t="str">
        <x:f>'Evaluation Plan'!J133</x:f>
        <x:v>No valid target / no movement</x:v>
      </x:c>
      <x:c r="K133" s="10" t="str">
        <x:f>'Evaluation Plan'!K133</x:f>
        <x:v>SR-NOOP02</x:v>
      </x:c>
      <x:c r="L133" s="10" t="str">
        <x:f>'Evaluation Plan'!L133</x:f>
        <x:v>UD</x:v>
      </x:c>
      <x:c r="M133" s="10" t="str">
        <x:f>'Evaluation Plan'!M133</x:f>
        <x:v>yellow-white striped cup</x:v>
      </x:c>
      <x:c r="N133" s="10" t="n">
        <x:f>'Evaluation Plan'!N133</x:f>
        <x:v>3</x:v>
      </x:c>
      <x:c r="O133" s="10" t="n">
        <x:f>'Evaluation Plan'!O133</x:f>
        <x:v>0</x:v>
      </x:c>
      <x:c r="P133" s="10" t="str">
        <x:f>'Evaluation Plan'!P133</x:f>
        <x:v>Empty</x:v>
      </x:c>
      <x:c r="Q133" s="11" t="str">
        <x:f>'Evaluation Plan'!Q133</x:f>
        <x:v>No satisfying state present; bowl remains empty</x:v>
      </x:c>
      <x:c r="R133" s="10" t="n">
        <x:f>'Evaluation Plan'!R133</x:f>
        <x:v>6</x:v>
      </x:c>
      <x:c r="S133" s="11" t="str">
        <x:f>'Evaluation Plan'!S133</x:f>
        <x:v>Build the listed no-match scene and confirm the bowl is empty.</x:v>
      </x:c>
      <x:c r="T133" s="11" t="str">
        <x:f>'Evaluation Plan'!T133</x:f>
        <x:v>No object in the entire scene has the queried state. The prompt uses the same canonical frame as active trials, and the queried state-object cell is training-supported. The same-category candidates share the orthogonal C/O state (C).</x:v>
      </x:c>
      <x:c r="U133" s="11" t="n">
        <x:f>'Evaluation Plan'!U133</x:f>
        <x:v>0</x:v>
      </x:c>
    </x:row>
    <x:row r="134" ht="51" customHeight="1">
      <x:c r="A134" s="5" t="s">
        <x:v>181</x:v>
      </x:c>
      <x:c r="B134" s="4" t="n">
        <x:f>'Evaluation Plan'!B134</x:f>
        <x:v>132</x:v>
      </x:c>
      <x:c r="C134" s="5" t="str">
        <x:f>'Evaluation Plan'!C134</x:f>
        <x:v>Place the open brown cup in the bowl.</x:v>
      </x:c>
      <x:c r="D134" s="5" t="str">
        <x:f>'Evaluation Plan'!D134</x:f>
        <x:v>brown cup A (C, RU); brown cup B (C, RU); glass spice container A (C, RU); white cup B (C, RU)</x:v>
      </x:c>
      <x:c r="E134" s="4" t="n">
        <x:f>'Evaluation Plan'!E134</x:f>
        <x:v>0</x:v>
      </x:c>
      <x:c r="F134" s="4" t="str">
        <x:f>'Evaluation Plan'!F134</x:f>
        <x:v>101</x:v>
      </x:c>
      <x:c r="G134" s="5" t="str">
        <x:f>'Evaluation Plan'!G134</x:f>
        <x:v>The state-object concept is explicitly trained, but training does not contain a no-satisfying-target abstention trajectory. All objects are upright, matching the context of every explicit open/closed training demonstration.</x:v>
      </x:c>
      <x:c r="H134" s="5" t="str">
        <x:f>'Evaluation Plan'!H134</x:f>
        <x:v>NO-OP; no object has state O, so nothing should be picked up</x:v>
      </x:c>
      <x:c r="I134" s="5"/>
      <x:c r="J134" s="7" t="str">
        <x:f>'Evaluation Plan'!J134</x:f>
        <x:v>No valid target / no movement</x:v>
      </x:c>
      <x:c r="K134" s="4" t="str">
        <x:f>'Evaluation Plan'!K134</x:f>
        <x:v>SR-NOOP03</x:v>
      </x:c>
      <x:c r="L134" s="4" t="str">
        <x:f>'Evaluation Plan'!L134</x:f>
        <x:v>O</x:v>
      </x:c>
      <x:c r="M134" s="4" t="str">
        <x:f>'Evaluation Plan'!M134</x:f>
        <x:v>brown cup</x:v>
      </x:c>
      <x:c r="N134" s="4" t="n">
        <x:f>'Evaluation Plan'!N134</x:f>
        <x:v>4</x:v>
      </x:c>
      <x:c r="O134" s="4" t="n">
        <x:f>'Evaluation Plan'!O134</x:f>
        <x:v>0</x:v>
      </x:c>
      <x:c r="P134" s="4" t="str">
        <x:f>'Evaluation Plan'!P134</x:f>
        <x:v>Empty</x:v>
      </x:c>
      <x:c r="Q134" s="5" t="str">
        <x:f>'Evaluation Plan'!Q134</x:f>
        <x:v>No satisfying state present; bowl remains empty</x:v>
      </x:c>
      <x:c r="R134" s="4" t="n">
        <x:f>'Evaluation Plan'!R134</x:f>
        <x:v>6</x:v>
      </x:c>
      <x:c r="S134" s="5" t="str">
        <x:f>'Evaluation Plan'!S134</x:f>
        <x:v>Build the listed no-match scene and confirm the bowl is empty.</x:v>
      </x:c>
      <x:c r="T134" s="5" t="str">
        <x:f>'Evaluation Plan'!T134</x:f>
        <x:v>No object in the entire scene has the queried state. The prompt uses the same canonical frame as active trials, and the queried state-object cell is training-supported. The orthogonal orientation axis is fixed: every object is RU.</x:v>
      </x:c>
      <x:c r="U134" s="5" t="n">
        <x:f>'Evaluation Plan'!U134</x:f>
        <x:v>0</x:v>
      </x:c>
    </x:row>
    <x:row r="135" ht="51" customHeight="1">
      <x:c r="A135" s="11" t="s">
        <x:v>181</x:v>
      </x:c>
      <x:c r="B135" s="10" t="n">
        <x:f>'Evaluation Plan'!B135</x:f>
        <x:v>133</x:v>
      </x:c>
      <x:c r="C135" s="11" t="str">
        <x:f>'Evaluation Plan'!C135</x:f>
        <x:v>Place the closed glass spice container in the bowl.</x:v>
      </x:c>
      <x:c r="D135" s="11" t="str">
        <x:f>'Evaluation Plan'!D135</x:f>
        <x:v>glass spice container A (O, RU); glass spice container B (O, RU)</x:v>
      </x:c>
      <x:c r="E135" s="10" t="n">
        <x:f>'Evaluation Plan'!E135</x:f>
        <x:v>0</x:v>
      </x:c>
      <x:c r="F135" s="10" t="str">
        <x:f>'Evaluation Plan'!F135</x:f>
        <x:v>151</x:v>
      </x:c>
      <x:c r="G135" s="11" t="str">
        <x:f>'Evaluation Plan'!G135</x:f>
        <x:v>The state-object concept is explicitly trained, but training does not contain a no-satisfying-target abstention trajectory. All objects are upright, matching the context of every explicit open/closed training demonstration.</x:v>
      </x:c>
      <x:c r="H135" s="11" t="str">
        <x:f>'Evaluation Plan'!H135</x:f>
        <x:v>NO-OP; no object has state C, so nothing should be picked up</x:v>
      </x:c>
      <x:c r="I135" s="11"/>
      <x:c r="J135" s="7" t="str">
        <x:f>'Evaluation Plan'!J135</x:f>
        <x:v>No valid target / no movement</x:v>
      </x:c>
      <x:c r="K135" s="10" t="str">
        <x:f>'Evaluation Plan'!K135</x:f>
        <x:v>SR-NOOP04</x:v>
      </x:c>
      <x:c r="L135" s="10" t="str">
        <x:f>'Evaluation Plan'!L135</x:f>
        <x:v>C</x:v>
      </x:c>
      <x:c r="M135" s="10" t="str">
        <x:f>'Evaluation Plan'!M135</x:f>
        <x:v>glass spice container</x:v>
      </x:c>
      <x:c r="N135" s="10" t="n">
        <x:f>'Evaluation Plan'!N135</x:f>
        <x:v>2</x:v>
      </x:c>
      <x:c r="O135" s="10" t="n">
        <x:f>'Evaluation Plan'!O135</x:f>
        <x:v>0</x:v>
      </x:c>
      <x:c r="P135" s="10" t="str">
        <x:f>'Evaluation Plan'!P135</x:f>
        <x:v>Empty</x:v>
      </x:c>
      <x:c r="Q135" s="11" t="str">
        <x:f>'Evaluation Plan'!Q135</x:f>
        <x:v>No satisfying state present; bowl remains empty</x:v>
      </x:c>
      <x:c r="R135" s="10" t="n">
        <x:f>'Evaluation Plan'!R135</x:f>
        <x:v>6</x:v>
      </x:c>
      <x:c r="S135" s="11" t="str">
        <x:f>'Evaluation Plan'!S135</x:f>
        <x:v>Build the listed no-match scene and confirm the bowl is empty.</x:v>
      </x:c>
      <x:c r="T135" s="11" t="str">
        <x:f>'Evaluation Plan'!T135</x:f>
        <x:v>No object in the entire scene has the queried state. The prompt uses the same canonical frame as active trials, and the queried state-object cell is training-supported. The orthogonal orientation axis is fixed: every object is RU.</x:v>
      </x:c>
      <x:c r="U135" s="11" t="n">
        <x:f>'Evaluation Plan'!U135</x:f>
        <x:v>0</x:v>
      </x:c>
    </x:row>
    <x:row r="136" ht="51" customHeight="1">
      <x:c r="A136" s="5" t="s">
        <x:v>181</x:v>
      </x:c>
      <x:c r="B136" s="4" t="n">
        <x:f>'Evaluation Plan'!B136</x:f>
        <x:v>134</x:v>
      </x:c>
      <x:c r="C136" s="5" t="str">
        <x:f>'Evaluation Plan'!C136</x:f>
        <x:v>Place the open white cup in the bowl.</x:v>
      </x:c>
      <x:c r="D136" s="5" t="str">
        <x:f>'Evaluation Plan'!D136</x:f>
        <x:v>white cup A (C, RU); white cup B (C, RU); glass spice container B (C, RU)</x:v>
      </x:c>
      <x:c r="E136" s="4" t="n">
        <x:f>'Evaluation Plan'!E136</x:f>
        <x:v>0</x:v>
      </x:c>
      <x:c r="F136" s="4" t="str">
        <x:f>'Evaluation Plan'!F136</x:f>
        <x:v>1</x:v>
      </x:c>
      <x:c r="G136" s="5" t="str">
        <x:f>'Evaluation Plan'!G136</x:f>
        <x:v>The state-object concept is explicitly trained, but training does not contain a no-satisfying-target abstention trajectory. All objects are upright, matching the context of every explicit open/closed training demonstration.</x:v>
      </x:c>
      <x:c r="H136" s="5" t="str">
        <x:f>'Evaluation Plan'!H136</x:f>
        <x:v>NO-OP; no object has state O, so nothing should be picked up</x:v>
      </x:c>
      <x:c r="I136" s="5"/>
      <x:c r="J136" s="7" t="str">
        <x:f>'Evaluation Plan'!J136</x:f>
        <x:v>No valid target / no movement</x:v>
      </x:c>
      <x:c r="K136" s="4" t="str">
        <x:f>'Evaluation Plan'!K136</x:f>
        <x:v>SR-NOOP05</x:v>
      </x:c>
      <x:c r="L136" s="4" t="str">
        <x:f>'Evaluation Plan'!L136</x:f>
        <x:v>O</x:v>
      </x:c>
      <x:c r="M136" s="4" t="str">
        <x:f>'Evaluation Plan'!M136</x:f>
        <x:v>white cup</x:v>
      </x:c>
      <x:c r="N136" s="4" t="n">
        <x:f>'Evaluation Plan'!N136</x:f>
        <x:v>3</x:v>
      </x:c>
      <x:c r="O136" s="4" t="n">
        <x:f>'Evaluation Plan'!O136</x:f>
        <x:v>0</x:v>
      </x:c>
      <x:c r="P136" s="4" t="str">
        <x:f>'Evaluation Plan'!P136</x:f>
        <x:v>Empty</x:v>
      </x:c>
      <x:c r="Q136" s="5" t="str">
        <x:f>'Evaluation Plan'!Q136</x:f>
        <x:v>No satisfying state present; bowl remains empty</x:v>
      </x:c>
      <x:c r="R136" s="4" t="n">
        <x:f>'Evaluation Plan'!R136</x:f>
        <x:v>6</x:v>
      </x:c>
      <x:c r="S136" s="5" t="str">
        <x:f>'Evaluation Plan'!S136</x:f>
        <x:v>Build the listed no-match scene and confirm the bowl is empty.</x:v>
      </x:c>
      <x:c r="T136" s="5" t="str">
        <x:f>'Evaluation Plan'!T136</x:f>
        <x:v>No object in the entire scene has the queried state. The prompt uses the same canonical frame as active trials, and the queried state-object cell is training-supported. The orthogonal orientation axis is fixed: every object is RU.</x:v>
      </x:c>
      <x:c r="U136" s="5" t="n">
        <x:f>'Evaluation Plan'!U136</x:f>
        <x:v>0</x:v>
      </x:c>
    </x:row>
    <x:row r="137" ht="51" customHeight="1">
      <x:c r="A137" s="11" t="s">
        <x:v>181</x:v>
      </x:c>
      <x:c r="B137" s="10" t="n">
        <x:f>'Evaluation Plan'!B137</x:f>
        <x:v>135</x:v>
      </x:c>
      <x:c r="C137" s="11" t="str">
        <x:f>'Evaluation Plan'!C137</x:f>
        <x:v>Place the upright yellow-white striped cup in the bowl.</x:v>
      </x:c>
      <x:c r="D137" s="11" t="str">
        <x:f>'Evaluation Plan'!D137</x:f>
        <x:v>yellow-white striped cup A (O, UD); yellow-white striped cup B (O, UD); white cup A (C, UD); brown cup B (O, UD)</x:v>
      </x:c>
      <x:c r="E137" s="10" t="n">
        <x:f>'Evaluation Plan'!E137</x:f>
        <x:v>0</x:v>
      </x:c>
      <x:c r="F137" s="10" t="str">
        <x:f>'Evaluation Plan'!F137</x:f>
        <x:v>75</x:v>
      </x:c>
      <x:c r="G137" s="11" t="str">
        <x:f>'Evaluation Plan'!G137</x:f>
        <x:v>The state-object concept is explicitly trained, but training does not contain a no-satisfying-target abstention trajectory.</x:v>
      </x:c>
      <x:c r="H137" s="11" t="str">
        <x:f>'Evaluation Plan'!H137</x:f>
        <x:v>NO-OP; no object has state RU, so nothing should be picked up</x:v>
      </x:c>
      <x:c r="I137" s="11"/>
      <x:c r="J137" s="7" t="str">
        <x:f>'Evaluation Plan'!J137</x:f>
        <x:v>No valid target / no movement</x:v>
      </x:c>
      <x:c r="K137" s="10" t="str">
        <x:f>'Evaluation Plan'!K137</x:f>
        <x:v>SR-NOOP06</x:v>
      </x:c>
      <x:c r="L137" s="10" t="str">
        <x:f>'Evaluation Plan'!L137</x:f>
        <x:v>RU</x:v>
      </x:c>
      <x:c r="M137" s="10" t="str">
        <x:f>'Evaluation Plan'!M137</x:f>
        <x:v>yellow-white striped cup</x:v>
      </x:c>
      <x:c r="N137" s="10" t="n">
        <x:f>'Evaluation Plan'!N137</x:f>
        <x:v>4</x:v>
      </x:c>
      <x:c r="O137" s="10" t="n">
        <x:f>'Evaluation Plan'!O137</x:f>
        <x:v>0</x:v>
      </x:c>
      <x:c r="P137" s="10" t="str">
        <x:f>'Evaluation Plan'!P137</x:f>
        <x:v>Empty</x:v>
      </x:c>
      <x:c r="Q137" s="11" t="str">
        <x:f>'Evaluation Plan'!Q137</x:f>
        <x:v>No satisfying state present; bowl remains empty</x:v>
      </x:c>
      <x:c r="R137" s="10" t="n">
        <x:f>'Evaluation Plan'!R137</x:f>
        <x:v>6</x:v>
      </x:c>
      <x:c r="S137" s="11" t="str">
        <x:f>'Evaluation Plan'!S137</x:f>
        <x:v>Build the listed no-match scene and confirm the bowl is empty.</x:v>
      </x:c>
      <x:c r="T137" s="11" t="str">
        <x:f>'Evaluation Plan'!T137</x:f>
        <x:v>No object in the entire scene has the queried state. The prompt uses the same canonical frame as active trials, and the queried state-object cell is training-supported. The same-category candidates share the orthogonal C/O state (O).</x:v>
      </x:c>
      <x:c r="U137" s="11" t="n">
        <x:f>'Evaluation Plan'!U137</x:f>
        <x:v>0</x:v>
      </x:c>
    </x:row>
    <x:row r="138" ht="51" customHeight="1">
      <x:c r="A138" s="5" t="s">
        <x:v>181</x:v>
      </x:c>
      <x:c r="B138" s="4" t="n">
        <x:f>'Evaluation Plan'!B138</x:f>
        <x:v>136</x:v>
      </x:c>
      <x:c r="C138" s="5" t="str">
        <x:f>'Evaluation Plan'!C138</x:f>
        <x:v>Place the upside-down brown cup in the bowl.</x:v>
      </x:c>
      <x:c r="D138" s="5" t="str">
        <x:f>'Evaluation Plan'!D138</x:f>
        <x:v>brown cup A (O, RU); brown cup B (O, RU)</x:v>
      </x:c>
      <x:c r="E138" s="4" t="n">
        <x:f>'Evaluation Plan'!E138</x:f>
        <x:v>0</x:v>
      </x:c>
      <x:c r="F138" s="4" t="str">
        <x:f>'Evaluation Plan'!F138</x:f>
        <x:v>125</x:v>
      </x:c>
      <x:c r="G138" s="5" t="str">
        <x:f>'Evaluation Plan'!G138</x:f>
        <x:v>The state-object concept is explicitly trained, but training does not contain a no-satisfying-target abstention trajectory.</x:v>
      </x:c>
      <x:c r="H138" s="5" t="str">
        <x:f>'Evaluation Plan'!H138</x:f>
        <x:v>NO-OP; no object has state UD, so nothing should be picked up</x:v>
      </x:c>
      <x:c r="I138" s="5"/>
      <x:c r="J138" s="7" t="str">
        <x:f>'Evaluation Plan'!J138</x:f>
        <x:v>No valid target / no movement</x:v>
      </x:c>
      <x:c r="K138" s="4" t="str">
        <x:f>'Evaluation Plan'!K138</x:f>
        <x:v>SR-NOOP07</x:v>
      </x:c>
      <x:c r="L138" s="4" t="str">
        <x:f>'Evaluation Plan'!L138</x:f>
        <x:v>UD</x:v>
      </x:c>
      <x:c r="M138" s="4" t="str">
        <x:f>'Evaluation Plan'!M138</x:f>
        <x:v>brown cup</x:v>
      </x:c>
      <x:c r="N138" s="4" t="n">
        <x:f>'Evaluation Plan'!N138</x:f>
        <x:v>2</x:v>
      </x:c>
      <x:c r="O138" s="4" t="n">
        <x:f>'Evaluation Plan'!O138</x:f>
        <x:v>0</x:v>
      </x:c>
      <x:c r="P138" s="4" t="str">
        <x:f>'Evaluation Plan'!P138</x:f>
        <x:v>Empty</x:v>
      </x:c>
      <x:c r="Q138" s="5" t="str">
        <x:f>'Evaluation Plan'!Q138</x:f>
        <x:v>No satisfying state present; bowl remains empty</x:v>
      </x:c>
      <x:c r="R138" s="4" t="n">
        <x:f>'Evaluation Plan'!R138</x:f>
        <x:v>6</x:v>
      </x:c>
      <x:c r="S138" s="5" t="str">
        <x:f>'Evaluation Plan'!S138</x:f>
        <x:v>Build the listed no-match scene and confirm the bowl is empty.</x:v>
      </x:c>
      <x:c r="T138" s="5" t="str">
        <x:f>'Evaluation Plan'!T138</x:f>
        <x:v>No object in the entire scene has the queried state. The prompt uses the same canonical frame as active trials, and the queried state-object cell is training-supported. The same-category candidates share the orthogonal C/O state (O).</x:v>
      </x:c>
      <x:c r="U138" s="5" t="n">
        <x:f>'Evaluation Plan'!U138</x:f>
        <x:v>0</x:v>
      </x:c>
    </x:row>
    <x:row r="139" ht="51" customHeight="1">
      <x:c r="A139" s="11" t="s">
        <x:v>181</x:v>
      </x:c>
      <x:c r="B139" s="10" t="n">
        <x:f>'Evaluation Plan'!B139</x:f>
        <x:v>137</x:v>
      </x:c>
      <x:c r="C139" s="11" t="str">
        <x:f>'Evaluation Plan'!C139</x:f>
        <x:v>Place the open glass spice container in the bowl.</x:v>
      </x:c>
      <x:c r="D139" s="11" t="str">
        <x:f>'Evaluation Plan'!D139</x:f>
        <x:v>glass spice container A (C, RU); glass spice container B (C, RU); brown cup A (C, RU)</x:v>
      </x:c>
      <x:c r="E139" s="10" t="n">
        <x:f>'Evaluation Plan'!E139</x:f>
        <x:v>0</x:v>
      </x:c>
      <x:c r="F139" s="10" t="str">
        <x:f>'Evaluation Plan'!F139</x:f>
        <x:v>150</x:v>
      </x:c>
      <x:c r="G139" s="11" t="str">
        <x:f>'Evaluation Plan'!G139</x:f>
        <x:v>The state-object concept is explicitly trained, but training does not contain a no-satisfying-target abstention trajectory. All objects are upright, matching the context of every explicit open/closed training demonstration.</x:v>
      </x:c>
      <x:c r="H139" s="11" t="str">
        <x:f>'Evaluation Plan'!H139</x:f>
        <x:v>NO-OP; no object has state O, so nothing should be picked up</x:v>
      </x:c>
      <x:c r="I139" s="11"/>
      <x:c r="J139" s="7" t="str">
        <x:f>'Evaluation Plan'!J139</x:f>
        <x:v>No valid target / no movement</x:v>
      </x:c>
      <x:c r="K139" s="10" t="str">
        <x:f>'Evaluation Plan'!K139</x:f>
        <x:v>SR-NOOP08</x:v>
      </x:c>
      <x:c r="L139" s="10" t="str">
        <x:f>'Evaluation Plan'!L139</x:f>
        <x:v>O</x:v>
      </x:c>
      <x:c r="M139" s="10" t="str">
        <x:f>'Evaluation Plan'!M139</x:f>
        <x:v>glass spice container</x:v>
      </x:c>
      <x:c r="N139" s="10" t="n">
        <x:f>'Evaluation Plan'!N139</x:f>
        <x:v>3</x:v>
      </x:c>
      <x:c r="O139" s="10" t="n">
        <x:f>'Evaluation Plan'!O139</x:f>
        <x:v>0</x:v>
      </x:c>
      <x:c r="P139" s="10" t="str">
        <x:f>'Evaluation Plan'!P139</x:f>
        <x:v>Empty</x:v>
      </x:c>
      <x:c r="Q139" s="11" t="str">
        <x:f>'Evaluation Plan'!Q139</x:f>
        <x:v>No satisfying state present; bowl remains empty</x:v>
      </x:c>
      <x:c r="R139" s="10" t="n">
        <x:f>'Evaluation Plan'!R139</x:f>
        <x:v>6</x:v>
      </x:c>
      <x:c r="S139" s="11" t="str">
        <x:f>'Evaluation Plan'!S139</x:f>
        <x:v>Build the listed no-match scene and confirm the bowl is empty.</x:v>
      </x:c>
      <x:c r="T139" s="11" t="str">
        <x:f>'Evaluation Plan'!T139</x:f>
        <x:v>No object in the entire scene has the queried state. The prompt uses the same canonical frame as active trials, and the queried state-object cell is training-supported. The orthogonal orientation axis is fixed: every object is RU.</x:v>
      </x:c>
      <x:c r="U139" s="11" t="n">
        <x:f>'Evaluation Plan'!U139</x:f>
        <x:v>0</x:v>
      </x:c>
    </x:row>
    <x:row r="140" ht="51" customHeight="1">
      <x:c r="A140" s="5" t="s">
        <x:v>181</x:v>
      </x:c>
      <x:c r="B140" s="4" t="n">
        <x:f>'Evaluation Plan'!B140</x:f>
        <x:v>138</x:v>
      </x:c>
      <x:c r="C140" s="5" t="str">
        <x:f>'Evaluation Plan'!C140</x:f>
        <x:v>Place the upright white cup in the bowl.</x:v>
      </x:c>
      <x:c r="D140" s="5" t="str">
        <x:f>'Evaluation Plan'!D140</x:f>
        <x:v>white cup A (C, UD); white cup B (C, UD); brown cup A (C, UD); glass spice container B (O, UD)</x:v>
      </x:c>
      <x:c r="E140" s="4" t="n">
        <x:f>'Evaluation Plan'!E140</x:f>
        <x:v>0</x:v>
      </x:c>
      <x:c r="F140" s="4" t="str">
        <x:f>'Evaluation Plan'!F140</x:f>
        <x:v>26</x:v>
      </x:c>
      <x:c r="G140" s="5" t="str">
        <x:f>'Evaluation Plan'!G140</x:f>
        <x:v>The state-object concept is explicitly trained, but training does not contain a no-satisfying-target abstention trajectory.</x:v>
      </x:c>
      <x:c r="H140" s="5" t="str">
        <x:f>'Evaluation Plan'!H140</x:f>
        <x:v>NO-OP; no object has state RU, so nothing should be picked up</x:v>
      </x:c>
      <x:c r="I140" s="5"/>
      <x:c r="J140" s="7" t="str">
        <x:f>'Evaluation Plan'!J140</x:f>
        <x:v>No valid target / no movement</x:v>
      </x:c>
      <x:c r="K140" s="4" t="str">
        <x:f>'Evaluation Plan'!K140</x:f>
        <x:v>SR-NOOP09</x:v>
      </x:c>
      <x:c r="L140" s="4" t="str">
        <x:f>'Evaluation Plan'!L140</x:f>
        <x:v>RU</x:v>
      </x:c>
      <x:c r="M140" s="4" t="str">
        <x:f>'Evaluation Plan'!M140</x:f>
        <x:v>white cup</x:v>
      </x:c>
      <x:c r="N140" s="4" t="n">
        <x:f>'Evaluation Plan'!N140</x:f>
        <x:v>4</x:v>
      </x:c>
      <x:c r="O140" s="4" t="n">
        <x:f>'Evaluation Plan'!O140</x:f>
        <x:v>0</x:v>
      </x:c>
      <x:c r="P140" s="4" t="str">
        <x:f>'Evaluation Plan'!P140</x:f>
        <x:v>Empty</x:v>
      </x:c>
      <x:c r="Q140" s="5" t="str">
        <x:f>'Evaluation Plan'!Q140</x:f>
        <x:v>No satisfying state present; bowl remains empty</x:v>
      </x:c>
      <x:c r="R140" s="4" t="n">
        <x:f>'Evaluation Plan'!R140</x:f>
        <x:v>6</x:v>
      </x:c>
      <x:c r="S140" s="5" t="str">
        <x:f>'Evaluation Plan'!S140</x:f>
        <x:v>Build the listed no-match scene and confirm the bowl is empty.</x:v>
      </x:c>
      <x:c r="T140" s="5" t="str">
        <x:f>'Evaluation Plan'!T140</x:f>
        <x:v>No object in the entire scene has the queried state. The prompt uses the same canonical frame as active trials, and the queried state-object cell is training-supported. The same-category candidates share the orthogonal C/O state (C).</x:v>
      </x:c>
      <x:c r="U140" s="5" t="n">
        <x:f>'Evaluation Plan'!U140</x:f>
        <x:v>0</x:v>
      </x:c>
    </x:row>
    <x:row r="141" ht="51" customHeight="1">
      <x:c r="A141" s="11" t="s">
        <x:v>181</x:v>
      </x:c>
      <x:c r="B141" s="10" t="n">
        <x:f>'Evaluation Plan'!B141</x:f>
        <x:v>139</x:v>
      </x:c>
      <x:c r="C141" s="11" t="str">
        <x:f>'Evaluation Plan'!C141</x:f>
        <x:v>Place the closed yellow-white striped cup in the bowl.</x:v>
      </x:c>
      <x:c r="D141" s="11" t="str">
        <x:f>'Evaluation Plan'!D141</x:f>
        <x:v>yellow-white striped cup A (O, RU); yellow-white striped cup B (O, RU)</x:v>
      </x:c>
      <x:c r="E141" s="10" t="n">
        <x:f>'Evaluation Plan'!E141</x:f>
        <x:v>0</x:v>
      </x:c>
      <x:c r="F141" s="10" t="str">
        <x:f>'Evaluation Plan'!F141</x:f>
        <x:v>51</x:v>
      </x:c>
      <x:c r="G141" s="11" t="str">
        <x:f>'Evaluation Plan'!G141</x:f>
        <x:v>The state-object concept is explicitly trained, but training does not contain a no-satisfying-target abstention trajectory. All objects are upright, matching the context of every explicit open/closed training demonstration.</x:v>
      </x:c>
      <x:c r="H141" s="11" t="str">
        <x:f>'Evaluation Plan'!H141</x:f>
        <x:v>NO-OP; no object has state C, so nothing should be picked up</x:v>
      </x:c>
      <x:c r="I141" s="11"/>
      <x:c r="J141" s="7" t="str">
        <x:f>'Evaluation Plan'!J141</x:f>
        <x:v>No valid target / no movement</x:v>
      </x:c>
      <x:c r="K141" s="10" t="str">
        <x:f>'Evaluation Plan'!K141</x:f>
        <x:v>SR-NOOP10</x:v>
      </x:c>
      <x:c r="L141" s="10" t="str">
        <x:f>'Evaluation Plan'!L141</x:f>
        <x:v>C</x:v>
      </x:c>
      <x:c r="M141" s="10" t="str">
        <x:f>'Evaluation Plan'!M141</x:f>
        <x:v>yellow-white striped cup</x:v>
      </x:c>
      <x:c r="N141" s="10" t="n">
        <x:f>'Evaluation Plan'!N141</x:f>
        <x:v>2</x:v>
      </x:c>
      <x:c r="O141" s="10" t="n">
        <x:f>'Evaluation Plan'!O141</x:f>
        <x:v>0</x:v>
      </x:c>
      <x:c r="P141" s="10" t="str">
        <x:f>'Evaluation Plan'!P141</x:f>
        <x:v>Empty</x:v>
      </x:c>
      <x:c r="Q141" s="11" t="str">
        <x:f>'Evaluation Plan'!Q141</x:f>
        <x:v>No satisfying state present; bowl remains empty</x:v>
      </x:c>
      <x:c r="R141" s="10" t="n">
        <x:f>'Evaluation Plan'!R141</x:f>
        <x:v>6</x:v>
      </x:c>
      <x:c r="S141" s="11" t="str">
        <x:f>'Evaluation Plan'!S141</x:f>
        <x:v>Build the listed no-match scene and confirm the bowl is empty.</x:v>
      </x:c>
      <x:c r="T141" s="11" t="str">
        <x:f>'Evaluation Plan'!T141</x:f>
        <x:v>No object in the entire scene has the queried state. The prompt uses the same canonical frame as active trials, and the queried state-object cell is training-supported. The orthogonal orientation axis is fixed: every object is RU.</x:v>
      </x:c>
      <x:c r="U141" s="11" t="n">
        <x:f>'Evaluation Plan'!U141</x:f>
        <x:v>0</x:v>
      </x:c>
    </x:row>
    <x:row r="142" ht="51" customHeight="1">
      <x:c r="A142" s="5" t="s">
        <x:v>181</x:v>
      </x:c>
      <x:c r="B142" s="4" t="n">
        <x:f>'Evaluation Plan'!B142</x:f>
        <x:v>140</x:v>
      </x:c>
      <x:c r="C142" s="5" t="str">
        <x:f>'Evaluation Plan'!C142</x:f>
        <x:v>Place the upright brown cup in the bowl.</x:v>
      </x:c>
      <x:c r="D142" s="5" t="str">
        <x:f>'Evaluation Plan'!D142</x:f>
        <x:v>brown cup A (C, UD); brown cup B (C, UD); white cup A (C, UD)</x:v>
      </x:c>
      <x:c r="E142" s="4" t="n">
        <x:f>'Evaluation Plan'!E142</x:f>
        <x:v>0</x:v>
      </x:c>
      <x:c r="F142" s="4" t="str">
        <x:f>'Evaluation Plan'!F142</x:f>
        <x:v>128</x:v>
      </x:c>
      <x:c r="G142" s="5" t="str">
        <x:f>'Evaluation Plan'!G142</x:f>
        <x:v>The state-object concept is explicitly trained, but training does not contain a no-satisfying-target abstention trajectory.</x:v>
      </x:c>
      <x:c r="H142" s="5" t="str">
        <x:f>'Evaluation Plan'!H142</x:f>
        <x:v>NO-OP; no object has state RU, so nothing should be picked up</x:v>
      </x:c>
      <x:c r="I142" s="5"/>
      <x:c r="J142" s="7" t="str">
        <x:f>'Evaluation Plan'!J142</x:f>
        <x:v>No valid target / no movement</x:v>
      </x:c>
      <x:c r="K142" s="4" t="str">
        <x:f>'Evaluation Plan'!K142</x:f>
        <x:v>SR-NOOP11</x:v>
      </x:c>
      <x:c r="L142" s="4" t="str">
        <x:f>'Evaluation Plan'!L142</x:f>
        <x:v>RU</x:v>
      </x:c>
      <x:c r="M142" s="4" t="str">
        <x:f>'Evaluation Plan'!M142</x:f>
        <x:v>brown cup</x:v>
      </x:c>
      <x:c r="N142" s="4" t="n">
        <x:f>'Evaluation Plan'!N142</x:f>
        <x:v>3</x:v>
      </x:c>
      <x:c r="O142" s="4" t="n">
        <x:f>'Evaluation Plan'!O142</x:f>
        <x:v>0</x:v>
      </x:c>
      <x:c r="P142" s="4" t="str">
        <x:f>'Evaluation Plan'!P142</x:f>
        <x:v>Empty</x:v>
      </x:c>
      <x:c r="Q142" s="5" t="str">
        <x:f>'Evaluation Plan'!Q142</x:f>
        <x:v>No satisfying state present; bowl remains empty</x:v>
      </x:c>
      <x:c r="R142" s="4" t="n">
        <x:f>'Evaluation Plan'!R142</x:f>
        <x:v>6</x:v>
      </x:c>
      <x:c r="S142" s="5" t="str">
        <x:f>'Evaluation Plan'!S142</x:f>
        <x:v>Build the listed no-match scene and confirm the bowl is empty.</x:v>
      </x:c>
      <x:c r="T142" s="5" t="str">
        <x:f>'Evaluation Plan'!T142</x:f>
        <x:v>No object in the entire scene has the queried state. The prompt uses the same canonical frame as active trials, and the queried state-object cell is training-supported. The same-category candidates share the orthogonal C/O state (C).</x:v>
      </x:c>
      <x:c r="U142" s="5" t="n">
        <x:f>'Evaluation Plan'!U142</x:f>
        <x:v>0</x:v>
      </x:c>
    </x:row>
    <x:row r="143" ht="51" customHeight="1">
      <x:c r="A143" s="11" t="s">
        <x:v>181</x:v>
      </x:c>
      <x:c r="B143" s="10" t="n">
        <x:f>'Evaluation Plan'!B143</x:f>
        <x:v>141</x:v>
      </x:c>
      <x:c r="C143" s="11" t="str">
        <x:f>'Evaluation Plan'!C143</x:f>
        <x:v>Place the upside-down glass spice container in the bowl.</x:v>
      </x:c>
      <x:c r="D143" s="11" t="str">
        <x:f>'Evaluation Plan'!D143</x:f>
        <x:v>glass spice container A (C, RU); glass spice container B (C, RU); yellow-white striped cup B (O, RU); brown cup A (C, RU)</x:v>
      </x:c>
      <x:c r="E143" s="10" t="n">
        <x:f>'Evaluation Plan'!E143</x:f>
        <x:v>0</x:v>
      </x:c>
      <x:c r="F143" s="10" t="str">
        <x:f>'Evaluation Plan'!F143</x:f>
        <x:v>176</x:v>
      </x:c>
      <x:c r="G143" s="11" t="str">
        <x:f>'Evaluation Plan'!G143</x:f>
        <x:v>The state-object concept is explicitly trained, but training does not contain a no-satisfying-target abstention trajectory.</x:v>
      </x:c>
      <x:c r="H143" s="11" t="str">
        <x:f>'Evaluation Plan'!H143</x:f>
        <x:v>NO-OP; no object has state UD, so nothing should be picked up</x:v>
      </x:c>
      <x:c r="I143" s="11"/>
      <x:c r="J143" s="7" t="str">
        <x:f>'Evaluation Plan'!J143</x:f>
        <x:v>No valid target / no movement</x:v>
      </x:c>
      <x:c r="K143" s="10" t="str">
        <x:f>'Evaluation Plan'!K143</x:f>
        <x:v>SR-NOOP12</x:v>
      </x:c>
      <x:c r="L143" s="10" t="str">
        <x:f>'Evaluation Plan'!L143</x:f>
        <x:v>UD</x:v>
      </x:c>
      <x:c r="M143" s="10" t="str">
        <x:f>'Evaluation Plan'!M143</x:f>
        <x:v>glass spice container</x:v>
      </x:c>
      <x:c r="N143" s="10" t="n">
        <x:f>'Evaluation Plan'!N143</x:f>
        <x:v>4</x:v>
      </x:c>
      <x:c r="O143" s="10" t="n">
        <x:f>'Evaluation Plan'!O143</x:f>
        <x:v>0</x:v>
      </x:c>
      <x:c r="P143" s="10" t="str">
        <x:f>'Evaluation Plan'!P143</x:f>
        <x:v>Empty</x:v>
      </x:c>
      <x:c r="Q143" s="11" t="str">
        <x:f>'Evaluation Plan'!Q143</x:f>
        <x:v>No satisfying state present; bowl remains empty</x:v>
      </x:c>
      <x:c r="R143" s="10" t="n">
        <x:f>'Evaluation Plan'!R143</x:f>
        <x:v>6</x:v>
      </x:c>
      <x:c r="S143" s="11" t="str">
        <x:f>'Evaluation Plan'!S143</x:f>
        <x:v>Build the listed no-match scene and confirm the bowl is empty.</x:v>
      </x:c>
      <x:c r="T143" s="11" t="str">
        <x:f>'Evaluation Plan'!T143</x:f>
        <x:v>No object in the entire scene has the queried state. The prompt uses the same canonical frame as active trials, and the queried state-object cell is training-supported. The same-category candidates share the orthogonal C/O state (C).</x:v>
      </x:c>
      <x:c r="U143" s="11" t="n">
        <x:f>'Evaluation Plan'!U143</x:f>
        <x:v>0</x:v>
      </x:c>
    </x:row>
    <x:row r="144" ht="51" customHeight="1">
      <x:c r="A144" s="5" t="s">
        <x:v>181</x:v>
      </x:c>
      <x:c r="B144" s="4" t="n">
        <x:f>'Evaluation Plan'!B144</x:f>
        <x:v>142</x:v>
      </x:c>
      <x:c r="C144" s="5" t="str">
        <x:f>'Evaluation Plan'!C144</x:f>
        <x:v>Place the closed white cup in the bowl.</x:v>
      </x:c>
      <x:c r="D144" s="5" t="str">
        <x:f>'Evaluation Plan'!D144</x:f>
        <x:v>white cup A (O, RU); white cup B (O, RU)</x:v>
      </x:c>
      <x:c r="E144" s="4" t="n">
        <x:f>'Evaluation Plan'!E144</x:f>
        <x:v>0</x:v>
      </x:c>
      <x:c r="F144" s="4" t="str">
        <x:f>'Evaluation Plan'!F144</x:f>
        <x:v>3</x:v>
      </x:c>
      <x:c r="G144" s="5" t="str">
        <x:f>'Evaluation Plan'!G144</x:f>
        <x:v>The state-object concept is explicitly trained, but training does not contain a no-satisfying-target abstention trajectory. All objects are upright, matching the context of every explicit open/closed training demonstration.</x:v>
      </x:c>
      <x:c r="H144" s="5" t="str">
        <x:f>'Evaluation Plan'!H144</x:f>
        <x:v>NO-OP; no object has state C, so nothing should be picked up</x:v>
      </x:c>
      <x:c r="I144" s="5"/>
      <x:c r="J144" s="7" t="str">
        <x:f>'Evaluation Plan'!J144</x:f>
        <x:v>No valid target / no movement</x:v>
      </x:c>
      <x:c r="K144" s="4" t="str">
        <x:f>'Evaluation Plan'!K144</x:f>
        <x:v>SR-NOOP13</x:v>
      </x:c>
      <x:c r="L144" s="4" t="str">
        <x:f>'Evaluation Plan'!L144</x:f>
        <x:v>C</x:v>
      </x:c>
      <x:c r="M144" s="4" t="str">
        <x:f>'Evaluation Plan'!M144</x:f>
        <x:v>white cup</x:v>
      </x:c>
      <x:c r="N144" s="4" t="n">
        <x:f>'Evaluation Plan'!N144</x:f>
        <x:v>2</x:v>
      </x:c>
      <x:c r="O144" s="4" t="n">
        <x:f>'Evaluation Plan'!O144</x:f>
        <x:v>0</x:v>
      </x:c>
      <x:c r="P144" s="4" t="str">
        <x:f>'Evaluation Plan'!P144</x:f>
        <x:v>Empty</x:v>
      </x:c>
      <x:c r="Q144" s="5" t="str">
        <x:f>'Evaluation Plan'!Q144</x:f>
        <x:v>No satisfying state present; bowl remains empty</x:v>
      </x:c>
      <x:c r="R144" s="4" t="n">
        <x:f>'Evaluation Plan'!R144</x:f>
        <x:v>6</x:v>
      </x:c>
      <x:c r="S144" s="5" t="str">
        <x:f>'Evaluation Plan'!S144</x:f>
        <x:v>Build the listed no-match scene and confirm the bowl is empty.</x:v>
      </x:c>
      <x:c r="T144" s="5" t="str">
        <x:f>'Evaluation Plan'!T144</x:f>
        <x:v>No object in the entire scene has the queried state. The prompt uses the same canonical frame as active trials, and the queried state-object cell is training-supported. The orthogonal orientation axis is fixed: every object is RU.</x:v>
      </x:c>
      <x:c r="U144" s="5" t="n">
        <x:f>'Evaluation Plan'!U144</x:f>
        <x:v>0</x:v>
      </x:c>
    </x:row>
    <x:row r="145" ht="51" customHeight="1">
      <x:c r="A145" s="11" t="s">
        <x:v>181</x:v>
      </x:c>
      <x:c r="B145" s="10" t="n">
        <x:f>'Evaluation Plan'!B145</x:f>
        <x:v>143</x:v>
      </x:c>
      <x:c r="C145" s="11" t="str">
        <x:f>'Evaluation Plan'!C145</x:f>
        <x:v>Place the upside-down yellow-white striped cup in the bowl.</x:v>
      </x:c>
      <x:c r="D145" s="11" t="str">
        <x:f>'Evaluation Plan'!D145</x:f>
        <x:v>yellow-white striped cup A (O, RU); yellow-white striped cup B (O, RU); brown cup A (C, RU)</x:v>
      </x:c>
      <x:c r="E145" s="10" t="n">
        <x:f>'Evaluation Plan'!E145</x:f>
        <x:v>0</x:v>
      </x:c>
      <x:c r="F145" s="10" t="str">
        <x:f>'Evaluation Plan'!F145</x:f>
        <x:v>83</x:v>
      </x:c>
      <x:c r="G145" s="11" t="str">
        <x:f>'Evaluation Plan'!G145</x:f>
        <x:v>The state-object concept is explicitly trained, but training does not contain a no-satisfying-target abstention trajectory.</x:v>
      </x:c>
      <x:c r="H145" s="11" t="str">
        <x:f>'Evaluation Plan'!H145</x:f>
        <x:v>NO-OP; no object has state UD, so nothing should be picked up</x:v>
      </x:c>
      <x:c r="I145" s="11"/>
      <x:c r="J145" s="7" t="str">
        <x:f>'Evaluation Plan'!J145</x:f>
        <x:v>No valid target / no movement</x:v>
      </x:c>
      <x:c r="K145" s="10" t="str">
        <x:f>'Evaluation Plan'!K145</x:f>
        <x:v>SR-NOOP14</x:v>
      </x:c>
      <x:c r="L145" s="10" t="str">
        <x:f>'Evaluation Plan'!L145</x:f>
        <x:v>UD</x:v>
      </x:c>
      <x:c r="M145" s="10" t="str">
        <x:f>'Evaluation Plan'!M145</x:f>
        <x:v>yellow-white striped cup</x:v>
      </x:c>
      <x:c r="N145" s="10" t="n">
        <x:f>'Evaluation Plan'!N145</x:f>
        <x:v>3</x:v>
      </x:c>
      <x:c r="O145" s="10" t="n">
        <x:f>'Evaluation Plan'!O145</x:f>
        <x:v>0</x:v>
      </x:c>
      <x:c r="P145" s="10" t="str">
        <x:f>'Evaluation Plan'!P145</x:f>
        <x:v>Empty</x:v>
      </x:c>
      <x:c r="Q145" s="11" t="str">
        <x:f>'Evaluation Plan'!Q145</x:f>
        <x:v>No satisfying state present; bowl remains empty</x:v>
      </x:c>
      <x:c r="R145" s="10" t="n">
        <x:f>'Evaluation Plan'!R145</x:f>
        <x:v>6</x:v>
      </x:c>
      <x:c r="S145" s="11" t="str">
        <x:f>'Evaluation Plan'!S145</x:f>
        <x:v>Build the listed no-match scene and confirm the bowl is empty.</x:v>
      </x:c>
      <x:c r="T145" s="11" t="str">
        <x:f>'Evaluation Plan'!T145</x:f>
        <x:v>No object in the entire scene has the queried state. The prompt uses the same canonical frame as active trials, and the queried state-object cell is training-supported. The same-category candidates share the orthogonal C/O state (O).</x:v>
      </x:c>
      <x:c r="U145" s="11" t="n">
        <x:f>'Evaluation Plan'!U145</x:f>
        <x:v>0</x:v>
      </x:c>
    </x:row>
    <x:row r="146" ht="51" customHeight="1">
      <x:c r="A146" s="5" t="s">
        <x:v>181</x:v>
      </x:c>
      <x:c r="B146" s="4" t="n">
        <x:f>'Evaluation Plan'!B146</x:f>
        <x:v>144</x:v>
      </x:c>
      <x:c r="C146" s="5" t="str">
        <x:f>'Evaluation Plan'!C146</x:f>
        <x:v>Place the upside-down brown cup in the bowl.</x:v>
      </x:c>
      <x:c r="D146" s="5" t="str">
        <x:f>'Evaluation Plan'!D146</x:f>
        <x:v>brown cup A (O, RU); brown cup B (O, RU); glass spice container B (O, RU); white cup A (C, RU)</x:v>
      </x:c>
      <x:c r="E146" s="4" t="n">
        <x:f>'Evaluation Plan'!E146</x:f>
        <x:v>0</x:v>
      </x:c>
      <x:c r="F146" s="4" t="str">
        <x:f>'Evaluation Plan'!F146</x:f>
        <x:v>127</x:v>
      </x:c>
      <x:c r="G146" s="5" t="str">
        <x:f>'Evaluation Plan'!G146</x:f>
        <x:v>The state-object concept is explicitly trained, but training does not contain a no-satisfying-target abstention trajectory.</x:v>
      </x:c>
      <x:c r="H146" s="5" t="str">
        <x:f>'Evaluation Plan'!H146</x:f>
        <x:v>NO-OP; no object has state UD, so nothing should be picked up</x:v>
      </x:c>
      <x:c r="I146" s="5"/>
      <x:c r="J146" s="7" t="str">
        <x:f>'Evaluation Plan'!J146</x:f>
        <x:v>No valid target / no movement</x:v>
      </x:c>
      <x:c r="K146" s="4" t="str">
        <x:f>'Evaluation Plan'!K146</x:f>
        <x:v>SR-NOOP15</x:v>
      </x:c>
      <x:c r="L146" s="4" t="str">
        <x:f>'Evaluation Plan'!L146</x:f>
        <x:v>UD</x:v>
      </x:c>
      <x:c r="M146" s="4" t="str">
        <x:f>'Evaluation Plan'!M146</x:f>
        <x:v>brown cup</x:v>
      </x:c>
      <x:c r="N146" s="4" t="n">
        <x:f>'Evaluation Plan'!N146</x:f>
        <x:v>4</x:v>
      </x:c>
      <x:c r="O146" s="4" t="n">
        <x:f>'Evaluation Plan'!O146</x:f>
        <x:v>0</x:v>
      </x:c>
      <x:c r="P146" s="4" t="str">
        <x:f>'Evaluation Plan'!P146</x:f>
        <x:v>Empty</x:v>
      </x:c>
      <x:c r="Q146" s="5" t="str">
        <x:f>'Evaluation Plan'!Q146</x:f>
        <x:v>No satisfying state present; bowl remains empty</x:v>
      </x:c>
      <x:c r="R146" s="4" t="n">
        <x:f>'Evaluation Plan'!R146</x:f>
        <x:v>6</x:v>
      </x:c>
      <x:c r="S146" s="5" t="str">
        <x:f>'Evaluation Plan'!S146</x:f>
        <x:v>Build the listed no-match scene and confirm the bowl is empty.</x:v>
      </x:c>
      <x:c r="T146" s="5" t="str">
        <x:f>'Evaluation Plan'!T146</x:f>
        <x:v>No object in the entire scene has the queried state. The prompt uses the same canonical frame as active trials, and the queried state-object cell is training-supported. The same-category candidates share the orthogonal C/O state (O).</x:v>
      </x:c>
      <x:c r="U146" s="5" t="n">
        <x:f>'Evaluation Plan'!U146</x:f>
        <x:v>0</x:v>
      </x:c>
    </x:row>
    <x:row r="147" ht="51" customHeight="1">
      <x:c r="A147" s="11" t="s">
        <x:v>181</x:v>
      </x:c>
      <x:c r="B147" s="10" t="n">
        <x:f>'Evaluation Plan'!B147</x:f>
        <x:v>145</x:v>
      </x:c>
      <x:c r="C147" s="11" t="str">
        <x:f>'Evaluation Plan'!C147</x:f>
        <x:v>Place the closed glass spice container in the bowl.</x:v>
      </x:c>
      <x:c r="D147" s="11" t="str">
        <x:f>'Evaluation Plan'!D147</x:f>
        <x:v>glass spice container A (O, RU); glass spice container B (O, RU)</x:v>
      </x:c>
      <x:c r="E147" s="10" t="n">
        <x:f>'Evaluation Plan'!E147</x:f>
        <x:v>0</x:v>
      </x:c>
      <x:c r="F147" s="10" t="str">
        <x:f>'Evaluation Plan'!F147</x:f>
        <x:v>152</x:v>
      </x:c>
      <x:c r="G147" s="11" t="str">
        <x:f>'Evaluation Plan'!G147</x:f>
        <x:v>The state-object concept is explicitly trained, but training does not contain a no-satisfying-target abstention trajectory. All objects are upright, matching the context of every explicit open/closed training demonstration.</x:v>
      </x:c>
      <x:c r="H147" s="11" t="str">
        <x:f>'Evaluation Plan'!H147</x:f>
        <x:v>NO-OP; no object has state C, so nothing should be picked up</x:v>
      </x:c>
      <x:c r="I147" s="11"/>
      <x:c r="J147" s="7" t="str">
        <x:f>'Evaluation Plan'!J147</x:f>
        <x:v>No valid target / no movement</x:v>
      </x:c>
      <x:c r="K147" s="10" t="str">
        <x:f>'Evaluation Plan'!K147</x:f>
        <x:v>SR-NOOP16</x:v>
      </x:c>
      <x:c r="L147" s="10" t="str">
        <x:f>'Evaluation Plan'!L147</x:f>
        <x:v>C</x:v>
      </x:c>
      <x:c r="M147" s="10" t="str">
        <x:f>'Evaluation Plan'!M147</x:f>
        <x:v>glass spice container</x:v>
      </x:c>
      <x:c r="N147" s="10" t="n">
        <x:f>'Evaluation Plan'!N147</x:f>
        <x:v>2</x:v>
      </x:c>
      <x:c r="O147" s="10" t="n">
        <x:f>'Evaluation Plan'!O147</x:f>
        <x:v>0</x:v>
      </x:c>
      <x:c r="P147" s="10" t="str">
        <x:f>'Evaluation Plan'!P147</x:f>
        <x:v>Empty</x:v>
      </x:c>
      <x:c r="Q147" s="11" t="str">
        <x:f>'Evaluation Plan'!Q147</x:f>
        <x:v>No satisfying state present; bowl remains empty</x:v>
      </x:c>
      <x:c r="R147" s="10" t="n">
        <x:f>'Evaluation Plan'!R147</x:f>
        <x:v>6</x:v>
      </x:c>
      <x:c r="S147" s="11" t="str">
        <x:f>'Evaluation Plan'!S147</x:f>
        <x:v>Build the listed no-match scene and confirm the bowl is empty.</x:v>
      </x:c>
      <x:c r="T147" s="11" t="str">
        <x:f>'Evaluation Plan'!T147</x:f>
        <x:v>No object in the entire scene has the queried state. The prompt uses the same canonical frame as active trials, and the queried state-object cell is training-supported. The orthogonal orientation axis is fixed: every object is RU.</x:v>
      </x:c>
      <x:c r="U147" s="11" t="n">
        <x:f>'Evaluation Plan'!U147</x:f>
        <x:v>0</x:v>
      </x:c>
    </x:row>
    <x:row r="148" ht="51" customHeight="1">
      <x:c r="A148" s="5" t="s">
        <x:v>181</x:v>
      </x:c>
      <x:c r="B148" s="4" t="n">
        <x:f>'Evaluation Plan'!B148</x:f>
        <x:v>146</x:v>
      </x:c>
      <x:c r="C148" s="5" t="str">
        <x:f>'Evaluation Plan'!C148</x:f>
        <x:v>Place the open white cup in the bowl.</x:v>
      </x:c>
      <x:c r="D148" s="5" t="str">
        <x:f>'Evaluation Plan'!D148</x:f>
        <x:v>white cup A (C, RU); white cup B (C, RU); glass spice container A (C, RU)</x:v>
      </x:c>
      <x:c r="E148" s="4" t="n">
        <x:f>'Evaluation Plan'!E148</x:f>
        <x:v>0</x:v>
      </x:c>
      <x:c r="F148" s="4" t="str">
        <x:f>'Evaluation Plan'!F148</x:f>
        <x:v>2</x:v>
      </x:c>
      <x:c r="G148" s="5" t="str">
        <x:f>'Evaluation Plan'!G148</x:f>
        <x:v>The state-object concept is explicitly trained, but training does not contain a no-satisfying-target abstention trajectory. All objects are upright, matching the context of every explicit open/closed training demonstration.</x:v>
      </x:c>
      <x:c r="H148" s="5" t="str">
        <x:f>'Evaluation Plan'!H148</x:f>
        <x:v>NO-OP; no object has state O, so nothing should be picked up</x:v>
      </x:c>
      <x:c r="I148" s="5"/>
      <x:c r="J148" s="7" t="str">
        <x:f>'Evaluation Plan'!J148</x:f>
        <x:v>No valid target / no movement</x:v>
      </x:c>
      <x:c r="K148" s="4" t="str">
        <x:f>'Evaluation Plan'!K148</x:f>
        <x:v>SR-NOOP17</x:v>
      </x:c>
      <x:c r="L148" s="4" t="str">
        <x:f>'Evaluation Plan'!L148</x:f>
        <x:v>O</x:v>
      </x:c>
      <x:c r="M148" s="4" t="str">
        <x:f>'Evaluation Plan'!M148</x:f>
        <x:v>white cup</x:v>
      </x:c>
      <x:c r="N148" s="4" t="n">
        <x:f>'Evaluation Plan'!N148</x:f>
        <x:v>3</x:v>
      </x:c>
      <x:c r="O148" s="4" t="n">
        <x:f>'Evaluation Plan'!O148</x:f>
        <x:v>0</x:v>
      </x:c>
      <x:c r="P148" s="4" t="str">
        <x:f>'Evaluation Plan'!P148</x:f>
        <x:v>Empty</x:v>
      </x:c>
      <x:c r="Q148" s="5" t="str">
        <x:f>'Evaluation Plan'!Q148</x:f>
        <x:v>No satisfying state present; bowl remains empty</x:v>
      </x:c>
      <x:c r="R148" s="4" t="n">
        <x:f>'Evaluation Plan'!R148</x:f>
        <x:v>6</x:v>
      </x:c>
      <x:c r="S148" s="5" t="str">
        <x:f>'Evaluation Plan'!S148</x:f>
        <x:v>Build the listed no-match scene and confirm the bowl is empty.</x:v>
      </x:c>
      <x:c r="T148" s="5" t="str">
        <x:f>'Evaluation Plan'!T148</x:f>
        <x:v>No object in the entire scene has the queried state. The prompt uses the same canonical frame as active trials, and the queried state-object cell is training-supported. The orthogonal orientation axis is fixed: every object is RU.</x:v>
      </x:c>
      <x:c r="U148" s="5" t="n">
        <x:f>'Evaluation Plan'!U148</x:f>
        <x:v>0</x:v>
      </x:c>
    </x:row>
    <x:row r="149" ht="51" customHeight="1">
      <x:c r="A149" s="11" t="s">
        <x:v>181</x:v>
      </x:c>
      <x:c r="B149" s="10" t="n">
        <x:f>'Evaluation Plan'!B149</x:f>
        <x:v>147</x:v>
      </x:c>
      <x:c r="C149" s="11" t="str">
        <x:f>'Evaluation Plan'!C149</x:f>
        <x:v>Place the upright yellow-white striped cup in the bowl.</x:v>
      </x:c>
      <x:c r="D149" s="11" t="str">
        <x:f>'Evaluation Plan'!D149</x:f>
        <x:v>yellow-white striped cup A (C, UD); yellow-white striped cup B (C, UD); white cup B (O, UD); brown cup A (C, UD)</x:v>
      </x:c>
      <x:c r="E149" s="10" t="n">
        <x:f>'Evaluation Plan'!E149</x:f>
        <x:v>0</x:v>
      </x:c>
      <x:c r="F149" s="10" t="str">
        <x:f>'Evaluation Plan'!F149</x:f>
        <x:v>76</x:v>
      </x:c>
      <x:c r="G149" s="11" t="str">
        <x:f>'Evaluation Plan'!G149</x:f>
        <x:v>The state-object concept is explicitly trained, but training does not contain a no-satisfying-target abstention trajectory.</x:v>
      </x:c>
      <x:c r="H149" s="11" t="str">
        <x:f>'Evaluation Plan'!H149</x:f>
        <x:v>NO-OP; no object has state RU, so nothing should be picked up</x:v>
      </x:c>
      <x:c r="I149" s="11"/>
      <x:c r="J149" s="7" t="str">
        <x:f>'Evaluation Plan'!J149</x:f>
        <x:v>No valid target / no movement</x:v>
      </x:c>
      <x:c r="K149" s="10" t="str">
        <x:f>'Evaluation Plan'!K149</x:f>
        <x:v>SR-NOOP18</x:v>
      </x:c>
      <x:c r="L149" s="10" t="str">
        <x:f>'Evaluation Plan'!L149</x:f>
        <x:v>RU</x:v>
      </x:c>
      <x:c r="M149" s="10" t="str">
        <x:f>'Evaluation Plan'!M149</x:f>
        <x:v>yellow-white striped cup</x:v>
      </x:c>
      <x:c r="N149" s="10" t="n">
        <x:f>'Evaluation Plan'!N149</x:f>
        <x:v>4</x:v>
      </x:c>
      <x:c r="O149" s="10" t="n">
        <x:f>'Evaluation Plan'!O149</x:f>
        <x:v>0</x:v>
      </x:c>
      <x:c r="P149" s="10" t="str">
        <x:f>'Evaluation Plan'!P149</x:f>
        <x:v>Empty</x:v>
      </x:c>
      <x:c r="Q149" s="11" t="str">
        <x:f>'Evaluation Plan'!Q149</x:f>
        <x:v>No satisfying state present; bowl remains empty</x:v>
      </x:c>
      <x:c r="R149" s="10" t="n">
        <x:f>'Evaluation Plan'!R149</x:f>
        <x:v>6</x:v>
      </x:c>
      <x:c r="S149" s="11" t="str">
        <x:f>'Evaluation Plan'!S149</x:f>
        <x:v>Build the listed no-match scene and confirm the bowl is empty.</x:v>
      </x:c>
      <x:c r="T149" s="11" t="str">
        <x:f>'Evaluation Plan'!T149</x:f>
        <x:v>No object in the entire scene has the queried state. The prompt uses the same canonical frame as active trials, and the queried state-object cell is training-supported. The same-category candidates share the orthogonal C/O state (C).</x:v>
      </x:c>
      <x:c r="U149" s="11" t="n">
        <x:f>'Evaluation Plan'!U149</x:f>
        <x:v>0</x:v>
      </x:c>
    </x:row>
    <x:row r="150" ht="51" customHeight="1">
      <x:c r="A150" s="5" t="s">
        <x:v>181</x:v>
      </x:c>
      <x:c r="B150" s="4" t="n">
        <x:f>'Evaluation Plan'!B150</x:f>
        <x:v>148</x:v>
      </x:c>
      <x:c r="C150" s="5" t="str">
        <x:f>'Evaluation Plan'!C150</x:f>
        <x:v>Place the upright brown cup in the bowl.</x:v>
      </x:c>
      <x:c r="D150" s="5" t="str">
        <x:f>'Evaluation Plan'!D150</x:f>
        <x:v>brown cup A (C, UD); brown cup B (C, UD)</x:v>
      </x:c>
      <x:c r="E150" s="4" t="n">
        <x:f>'Evaluation Plan'!E150</x:f>
        <x:v>0</x:v>
      </x:c>
      <x:c r="F150" s="4" t="str">
        <x:f>'Evaluation Plan'!F150</x:f>
        <x:v>130</x:v>
      </x:c>
      <x:c r="G150" s="5" t="str">
        <x:f>'Evaluation Plan'!G150</x:f>
        <x:v>The state-object concept is explicitly trained, but training does not contain a no-satisfying-target abstention trajectory.</x:v>
      </x:c>
      <x:c r="H150" s="5" t="str">
        <x:f>'Evaluation Plan'!H150</x:f>
        <x:v>NO-OP; no object has state RU, so nothing should be picked up</x:v>
      </x:c>
      <x:c r="I150" s="5"/>
      <x:c r="J150" s="7" t="str">
        <x:f>'Evaluation Plan'!J150</x:f>
        <x:v>No valid target / no movement</x:v>
      </x:c>
      <x:c r="K150" s="4" t="str">
        <x:f>'Evaluation Plan'!K150</x:f>
        <x:v>SR-NOOP19</x:v>
      </x:c>
      <x:c r="L150" s="4" t="str">
        <x:f>'Evaluation Plan'!L150</x:f>
        <x:v>RU</x:v>
      </x:c>
      <x:c r="M150" s="4" t="str">
        <x:f>'Evaluation Plan'!M150</x:f>
        <x:v>brown cup</x:v>
      </x:c>
      <x:c r="N150" s="4" t="n">
        <x:f>'Evaluation Plan'!N150</x:f>
        <x:v>2</x:v>
      </x:c>
      <x:c r="O150" s="4" t="n">
        <x:f>'Evaluation Plan'!O150</x:f>
        <x:v>0</x:v>
      </x:c>
      <x:c r="P150" s="4" t="str">
        <x:f>'Evaluation Plan'!P150</x:f>
        <x:v>Empty</x:v>
      </x:c>
      <x:c r="Q150" s="5" t="str">
        <x:f>'Evaluation Plan'!Q150</x:f>
        <x:v>No satisfying state present; bowl remains empty</x:v>
      </x:c>
      <x:c r="R150" s="4" t="n">
        <x:f>'Evaluation Plan'!R150</x:f>
        <x:v>6</x:v>
      </x:c>
      <x:c r="S150" s="5" t="str">
        <x:f>'Evaluation Plan'!S150</x:f>
        <x:v>Build the listed no-match scene and confirm the bowl is empty.</x:v>
      </x:c>
      <x:c r="T150" s="5" t="str">
        <x:f>'Evaluation Plan'!T150</x:f>
        <x:v>No object in the entire scene has the queried state. The prompt uses the same canonical frame as active trials, and the queried state-object cell is training-supported. The same-category candidates share the orthogonal C/O state (C).</x:v>
      </x:c>
      <x:c r="U150" s="5" t="n">
        <x:f>'Evaluation Plan'!U150</x:f>
        <x:v>0</x:v>
      </x:c>
    </x:row>
    <x:row r="151" ht="51" customHeight="1">
      <x:c r="A151" s="11" t="s">
        <x:v>181</x:v>
      </x:c>
      <x:c r="B151" s="10" t="n">
        <x:f>'Evaluation Plan'!B151</x:f>
        <x:v>149</x:v>
      </x:c>
      <x:c r="C151" s="11" t="str">
        <x:f>'Evaluation Plan'!C151</x:f>
        <x:v>Place the open glass spice container in the bowl.</x:v>
      </x:c>
      <x:c r="D151" s="11" t="str">
        <x:f>'Evaluation Plan'!D151</x:f>
        <x:v>glass spice container A (C, RU); glass spice container B (C, RU); brown cup B (C, RU)</x:v>
      </x:c>
      <x:c r="E151" s="10" t="n">
        <x:f>'Evaluation Plan'!E151</x:f>
        <x:v>0</x:v>
      </x:c>
      <x:c r="F151" s="10" t="str">
        <x:f>'Evaluation Plan'!F151</x:f>
        <x:v>154</x:v>
      </x:c>
      <x:c r="G151" s="11" t="str">
        <x:f>'Evaluation Plan'!G151</x:f>
        <x:v>The state-object concept is explicitly trained, but training does not contain a no-satisfying-target abstention trajectory. All objects are upright, matching the context of every explicit open/closed training demonstration.</x:v>
      </x:c>
      <x:c r="H151" s="11" t="str">
        <x:f>'Evaluation Plan'!H151</x:f>
        <x:v>NO-OP; no object has state O, so nothing should be picked up</x:v>
      </x:c>
      <x:c r="I151" s="11"/>
      <x:c r="J151" s="7" t="str">
        <x:f>'Evaluation Plan'!J151</x:f>
        <x:v>No valid target / no movement</x:v>
      </x:c>
      <x:c r="K151" s="10" t="str">
        <x:f>'Evaluation Plan'!K151</x:f>
        <x:v>SR-NOOP20</x:v>
      </x:c>
      <x:c r="L151" s="10" t="str">
        <x:f>'Evaluation Plan'!L151</x:f>
        <x:v>O</x:v>
      </x:c>
      <x:c r="M151" s="10" t="str">
        <x:f>'Evaluation Plan'!M151</x:f>
        <x:v>glass spice container</x:v>
      </x:c>
      <x:c r="N151" s="10" t="n">
        <x:f>'Evaluation Plan'!N151</x:f>
        <x:v>3</x:v>
      </x:c>
      <x:c r="O151" s="10" t="n">
        <x:f>'Evaluation Plan'!O151</x:f>
        <x:v>0</x:v>
      </x:c>
      <x:c r="P151" s="10" t="str">
        <x:f>'Evaluation Plan'!P151</x:f>
        <x:v>Empty</x:v>
      </x:c>
      <x:c r="Q151" s="11" t="str">
        <x:f>'Evaluation Plan'!Q151</x:f>
        <x:v>No satisfying state present; bowl remains empty</x:v>
      </x:c>
      <x:c r="R151" s="10" t="n">
        <x:f>'Evaluation Plan'!R151</x:f>
        <x:v>6</x:v>
      </x:c>
      <x:c r="S151" s="11" t="str">
        <x:f>'Evaluation Plan'!S151</x:f>
        <x:v>Build the listed no-match scene and confirm the bowl is empty.</x:v>
      </x:c>
      <x:c r="T151" s="11" t="str">
        <x:f>'Evaluation Plan'!T151</x:f>
        <x:v>No object in the entire scene has the queried state. The prompt uses the same canonical frame as active trials, and the queried state-object cell is training-supported. The orthogonal orientation axis is fixed: every object is RU.</x:v>
      </x:c>
      <x:c r="U151" s="11" t="n">
        <x:f>'Evaluation Plan'!U151</x:f>
        <x:v>0</x:v>
      </x:c>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P131">
    <x:cfRule type="expression" dxfId="5" priority="1">
      <x:formula>$A2="Success"</x:formula>
    </x:cfRule>
  </x:conditionalFormatting>
  <x:conditionalFormatting sqref="A2:P131">
    <x:cfRule type="expression" dxfId="6" priority="2">
      <x:formula>$A2="Failure"</x:formula>
    </x:cfRule>
  </x:conditionalFormatting>
  <x:conditionalFormatting sqref="H2:H131">
    <x:cfRule type="containsText" dxfId="8" priority="3" operator="containsText" text="Exact-scene opposite-state contrast">
      <x:formula>NOT(ISERROR(SEARCH(("Exact-scene opposite-state contrast"),(H2))))</x:formula>
    </x:cfRule>
  </x:conditionalFormatting>
  <x:conditionalFormatting sqref="A2:U151">
    <x:cfRule type="expression" dxfId="12" priority="4">
      <x:formula>$A2="Success"</x:formula>
    </x:cfRule>
  </x:conditionalFormatting>
  <x:conditionalFormatting sqref="A2:U151">
    <x:cfRule type="expression" dxfId="13" priority="5">
      <x:formula>$A2="Failure"</x:formula>
    </x:cfRule>
  </x:conditionalFormatting>
  <x:dataValidations count="1">
    <x:dataValidation type="list" allowBlank="1" sqref="A2:A151">
      <x:formula1>"Not collected,Success,Failure"</x:formula1>
    </x:dataValidation>
  </x:dataValidations>
  <x:pageMargins left="0.7" right="0.7" top="0.75" bottom="0.75" header="0.3" footer="0.3"/>
</x:worksheet>
</file>